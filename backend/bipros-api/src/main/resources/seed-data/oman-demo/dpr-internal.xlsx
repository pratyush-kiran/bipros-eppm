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D:\Sarooj\AIC\Formats\"/>
    </mc:Choice>
  </mc:AlternateContent>
  <xr:revisionPtr revIDLastSave="0" documentId="13_ncr:1_{FF93784B-A86E-4B5F-9038-9C3FAD6F299B}" xr6:coauthVersionLast="47" xr6:coauthVersionMax="47" xr10:uidLastSave="{00000000-0000-0000-0000-000000000000}"/>
  <bookViews>
    <workbookView xWindow="-108" yWindow="-108" windowWidth="23256" windowHeight="12456" xr2:uid="{00000000-000D-0000-FFFF-FFFF00000000}"/>
  </bookViews>
  <sheets>
    <sheet name="Summary" sheetId="1" r:id="rId1"/>
    <sheet name="Projection Vs Ach Summary" sheetId="2" r:id="rId2"/>
    <sheet name="DPR" sheetId="3" r:id="rId3"/>
    <sheet name="Resource" sheetId="4" r:id="rId4"/>
    <sheet name="DPR-0044 Site Picture" sheetId="5" r:id="rId5"/>
    <sheet name="Area Concerns" sheetId="7"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h">#REF!</definedName>
    <definedName name="\i">#REF!</definedName>
    <definedName name="\p">#N/A</definedName>
    <definedName name="\q">#REF!</definedName>
    <definedName name="\r">#REF!</definedName>
    <definedName name="\s">#REF!</definedName>
    <definedName name="\t">#REF!</definedName>
    <definedName name="\u">#REF!</definedName>
    <definedName name="\v">#REF!</definedName>
    <definedName name="\w">#REF!</definedName>
    <definedName name="\x">#REF!</definedName>
    <definedName name="\y">#REF!</definedName>
    <definedName name="\z">#REF!</definedName>
    <definedName name="_" hidden="1">#REF!</definedName>
    <definedName name="_____" hidden="1">#REF!</definedName>
    <definedName name="_______BQB1">#REF!</definedName>
    <definedName name="_______BQB2">#REF!</definedName>
    <definedName name="_______BQB3">#REF!</definedName>
    <definedName name="_______BQB4">#REF!</definedName>
    <definedName name="_______BQB5">#REF!</definedName>
    <definedName name="_______BQB6">#REF!</definedName>
    <definedName name="_______BQB7">#REF!</definedName>
    <definedName name="_______BQB8">#REF!</definedName>
    <definedName name="_______BQB9">#REF!</definedName>
    <definedName name="_______BQU03">#REF!</definedName>
    <definedName name="_______CAL01">#REF!</definedName>
    <definedName name="_______CAL02">#REF!</definedName>
    <definedName name="_______CAL03">#REF!</definedName>
    <definedName name="_______CAL04">#REF!</definedName>
    <definedName name="_______CCC1">#REF!</definedName>
    <definedName name="_______GNR1">#REF!</definedName>
    <definedName name="_______ING01">#REF!</definedName>
    <definedName name="_______ING02">#REF!</definedName>
    <definedName name="_______MDS01">#REF!</definedName>
    <definedName name="_______MVE01">#REF!</definedName>
    <definedName name="_______PAG01">#REF!</definedName>
    <definedName name="_______PAG02">#REF!</definedName>
    <definedName name="_______PHN01">#REF!</definedName>
    <definedName name="_______PHN02">#REF!</definedName>
    <definedName name="_______QQQ1">#REF!</definedName>
    <definedName name="_______RGF01">#REF!</definedName>
    <definedName name="_______RHN01">#REF!</definedName>
    <definedName name="_______RHN02">#REF!</definedName>
    <definedName name="_______RHN03">#REF!</definedName>
    <definedName name="_______RHN04">#REF!</definedName>
    <definedName name="_______RNC1">#REF!</definedName>
    <definedName name="_______RRR01">#REF!</definedName>
    <definedName name="_______WCP1">#REF!</definedName>
    <definedName name="_______WCY01">#REF!</definedName>
    <definedName name="_______WW01">#REF!</definedName>
    <definedName name="_______WW02">#REF!</definedName>
    <definedName name="_______WW03">#REF!</definedName>
    <definedName name="_______WWW1">#REF!</definedName>
    <definedName name="_______WWW2">#REF!</definedName>
    <definedName name="_______WWW3">#REF!</definedName>
    <definedName name="______BQB1">#REF!</definedName>
    <definedName name="______BQB2">#REF!</definedName>
    <definedName name="______BQB3">#REF!</definedName>
    <definedName name="______BQB4">#REF!</definedName>
    <definedName name="______BQB5">#REF!</definedName>
    <definedName name="______BQB6">#REF!</definedName>
    <definedName name="______BQB7">#REF!</definedName>
    <definedName name="______BQB8">#REF!</definedName>
    <definedName name="______BQB9">#REF!</definedName>
    <definedName name="______BQU03">#REF!</definedName>
    <definedName name="______CAL01">#REF!</definedName>
    <definedName name="______CAL02">#REF!</definedName>
    <definedName name="______CAL03">#REF!</definedName>
    <definedName name="______CAL04">#REF!</definedName>
    <definedName name="______CCC1">#REF!</definedName>
    <definedName name="______GNR1">#REF!</definedName>
    <definedName name="______ING01">#REF!</definedName>
    <definedName name="______ING02">#REF!</definedName>
    <definedName name="______MDS01">#REF!</definedName>
    <definedName name="______MVE01">#REF!</definedName>
    <definedName name="______PAG01">#REF!</definedName>
    <definedName name="______PAG02">#REF!</definedName>
    <definedName name="______PHN01">#REF!</definedName>
    <definedName name="______PHN02">#REF!</definedName>
    <definedName name="______QQQ1">#REF!</definedName>
    <definedName name="______RGF01">#REF!</definedName>
    <definedName name="______RHN01">#REF!</definedName>
    <definedName name="______RHN02">#REF!</definedName>
    <definedName name="______RHN03">#REF!</definedName>
    <definedName name="______RHN04">#REF!</definedName>
    <definedName name="______RNC1">#REF!</definedName>
    <definedName name="______RRR01">#REF!</definedName>
    <definedName name="______WCP1">#REF!</definedName>
    <definedName name="______WCY01">#REF!</definedName>
    <definedName name="______WW01">#REF!</definedName>
    <definedName name="______WW02">#REF!</definedName>
    <definedName name="______WW03">#REF!</definedName>
    <definedName name="______WWW1">#REF!</definedName>
    <definedName name="______WWW2">#REF!</definedName>
    <definedName name="______WWW3">#REF!</definedName>
    <definedName name="_____BQB1">#REF!</definedName>
    <definedName name="_____BQB2">#REF!</definedName>
    <definedName name="_____BQB3">#REF!</definedName>
    <definedName name="_____BQB4">#REF!</definedName>
    <definedName name="_____BQB5">#REF!</definedName>
    <definedName name="_____BQB6">#REF!</definedName>
    <definedName name="_____BQB7">#REF!</definedName>
    <definedName name="_____BQB8">#REF!</definedName>
    <definedName name="_____BQB9">#REF!</definedName>
    <definedName name="_____BQU03">#REF!</definedName>
    <definedName name="_____CAL01">#REF!</definedName>
    <definedName name="_____CAL02">#REF!</definedName>
    <definedName name="_____CAL03">#REF!</definedName>
    <definedName name="_____CAL04">#REF!</definedName>
    <definedName name="_____CCC1">#REF!</definedName>
    <definedName name="_____GNR1">#REF!</definedName>
    <definedName name="_____ING01">#REF!</definedName>
    <definedName name="_____ING02">#REF!</definedName>
    <definedName name="_____MDS01">#REF!</definedName>
    <definedName name="_____MVE01">#REF!</definedName>
    <definedName name="_____PAG01">#REF!</definedName>
    <definedName name="_____PAG02">#REF!</definedName>
    <definedName name="_____PHN01">#REF!</definedName>
    <definedName name="_____PHN02">#REF!</definedName>
    <definedName name="_____QQQ1">#REF!</definedName>
    <definedName name="_____RGF01">#REF!</definedName>
    <definedName name="_____RHN01">#REF!</definedName>
    <definedName name="_____RHN02">#REF!</definedName>
    <definedName name="_____RHN03">#REF!</definedName>
    <definedName name="_____RHN04">#REF!</definedName>
    <definedName name="_____RNC1">#REF!</definedName>
    <definedName name="_____RRR01">#REF!</definedName>
    <definedName name="_____WCP1">#REF!</definedName>
    <definedName name="_____WCY01">#REF!</definedName>
    <definedName name="_____WW01">#REF!</definedName>
    <definedName name="_____WW02">#REF!</definedName>
    <definedName name="_____WW03">#REF!</definedName>
    <definedName name="_____WWW1">#REF!</definedName>
    <definedName name="_____WWW2">#REF!</definedName>
    <definedName name="_____WWW3">#REF!</definedName>
    <definedName name="____BQB1">#REF!</definedName>
    <definedName name="____BQB2">#REF!</definedName>
    <definedName name="____BQB3">#REF!</definedName>
    <definedName name="____BQB4">#REF!</definedName>
    <definedName name="____BQB5">#REF!</definedName>
    <definedName name="____BQB6">#REF!</definedName>
    <definedName name="____BQB7">#REF!</definedName>
    <definedName name="____BQB8">#REF!</definedName>
    <definedName name="____BQB9">#REF!</definedName>
    <definedName name="____BQU03">#REF!</definedName>
    <definedName name="____CAL01">#REF!</definedName>
    <definedName name="____CAL02">#REF!</definedName>
    <definedName name="____CAL03">#REF!</definedName>
    <definedName name="____CAL04">#REF!</definedName>
    <definedName name="____CCC1">#REF!</definedName>
    <definedName name="____GNR1">#REF!</definedName>
    <definedName name="____ING01">#REF!</definedName>
    <definedName name="____ING02">#REF!</definedName>
    <definedName name="____MDS01">#REF!</definedName>
    <definedName name="____MVE01">#REF!</definedName>
    <definedName name="____PAG01">#REF!</definedName>
    <definedName name="____PAG02">#REF!</definedName>
    <definedName name="____PHN01">#REF!</definedName>
    <definedName name="____PHN02">#REF!</definedName>
    <definedName name="____QQQ1">#REF!</definedName>
    <definedName name="____RGF01">#REF!</definedName>
    <definedName name="____RHN01">#REF!</definedName>
    <definedName name="____RHN02">#REF!</definedName>
    <definedName name="____RHN03">#REF!</definedName>
    <definedName name="____RHN04">#REF!</definedName>
    <definedName name="____RNC1">#REF!</definedName>
    <definedName name="____RRR01">#REF!</definedName>
    <definedName name="____WCP1">#REF!</definedName>
    <definedName name="____WCY01">#REF!</definedName>
    <definedName name="____WW01">#REF!</definedName>
    <definedName name="____WW02">#REF!</definedName>
    <definedName name="____WW03">#REF!</definedName>
    <definedName name="____WWW1">#REF!</definedName>
    <definedName name="____WWW2">#REF!</definedName>
    <definedName name="____WWW3">#REF!</definedName>
    <definedName name="____xx1" hidden="1">{"'Typical Costs Estimates'!$C$158:$H$161"}</definedName>
    <definedName name="___BQB1">#REF!</definedName>
    <definedName name="___BQB2">#REF!</definedName>
    <definedName name="___BQB3">#REF!</definedName>
    <definedName name="___BQB4">#REF!</definedName>
    <definedName name="___BQB5">#REF!</definedName>
    <definedName name="___BQB6">#REF!</definedName>
    <definedName name="___BQB7">#REF!</definedName>
    <definedName name="___BQB8">#REF!</definedName>
    <definedName name="___BQB9">#REF!</definedName>
    <definedName name="___BQU03">#REF!</definedName>
    <definedName name="___CAL01">#REF!</definedName>
    <definedName name="___CAL02">#REF!</definedName>
    <definedName name="___CAL03">#REF!</definedName>
    <definedName name="___CAL04">#REF!</definedName>
    <definedName name="___CCC1">#REF!</definedName>
    <definedName name="___GNR1">#REF!</definedName>
    <definedName name="___ING01">#REF!</definedName>
    <definedName name="___ING02">#REF!</definedName>
    <definedName name="___MDS01">#REF!</definedName>
    <definedName name="___MVE01">#REF!</definedName>
    <definedName name="___PAG01">#REF!</definedName>
    <definedName name="___PAG02">#REF!</definedName>
    <definedName name="___PHN01">#REF!</definedName>
    <definedName name="___PHN02">#REF!</definedName>
    <definedName name="___QQQ1">#REF!</definedName>
    <definedName name="___RGF01">#REF!</definedName>
    <definedName name="___RHN01">#REF!</definedName>
    <definedName name="___RHN02">#REF!</definedName>
    <definedName name="___RHN03">#REF!</definedName>
    <definedName name="___RHN04">#REF!</definedName>
    <definedName name="___RNC1">#REF!</definedName>
    <definedName name="___RRR01">#REF!</definedName>
    <definedName name="___WCP1">#REF!</definedName>
    <definedName name="___WCY01">#REF!</definedName>
    <definedName name="___WW01">#REF!</definedName>
    <definedName name="___WW02">#REF!</definedName>
    <definedName name="___WW03">#REF!</definedName>
    <definedName name="___WWW1">#REF!</definedName>
    <definedName name="___WWW2">#REF!</definedName>
    <definedName name="___WWW3">#REF!</definedName>
    <definedName name="___xx1" hidden="1">{"'Typical Costs Estimates'!$C$158:$H$161"}</definedName>
    <definedName name="__123Graph_A" hidden="1">[1]COMPLEXALL!#REF!</definedName>
    <definedName name="__123Graph_ASTATPROG" hidden="1">[1]COMPLEXALL!#REF!</definedName>
    <definedName name="__123Graph_B" hidden="1">[1]COMPLEXALL!#REF!</definedName>
    <definedName name="__123Graph_X" hidden="1">[1]COMPLEXALL!#REF!</definedName>
    <definedName name="__123Graph_XCON" hidden="1">#REF!</definedName>
    <definedName name="__123Graph_XSTATPROG" hidden="1">[1]COMPLEXALL!#REF!</definedName>
    <definedName name="__BQB1">#REF!</definedName>
    <definedName name="__BQB2">#REF!</definedName>
    <definedName name="__BQB3">#REF!</definedName>
    <definedName name="__BQB4">#REF!</definedName>
    <definedName name="__BQB5">#REF!</definedName>
    <definedName name="__BQB6">#REF!</definedName>
    <definedName name="__BQB7">#REF!</definedName>
    <definedName name="__BQB8">#REF!</definedName>
    <definedName name="__BQB9">#REF!</definedName>
    <definedName name="__BQU03">#REF!</definedName>
    <definedName name="__CAL01">#REF!</definedName>
    <definedName name="__CAL02">#REF!</definedName>
    <definedName name="__CAL03">#REF!</definedName>
    <definedName name="__CAL04">#REF!</definedName>
    <definedName name="__CCC1">#REF!</definedName>
    <definedName name="__GNR1">#REF!</definedName>
    <definedName name="__ING01">#REF!</definedName>
    <definedName name="__ING02">#REF!</definedName>
    <definedName name="__MDS01">#REF!</definedName>
    <definedName name="__MVE01">#REF!</definedName>
    <definedName name="__PAG01">#REF!</definedName>
    <definedName name="__PAG02">#REF!</definedName>
    <definedName name="__PHN01">#REF!</definedName>
    <definedName name="__PHN02">#REF!</definedName>
    <definedName name="__QQQ1">#REF!</definedName>
    <definedName name="__RGF01">#REF!</definedName>
    <definedName name="__RHN01">#REF!</definedName>
    <definedName name="__RHN02">#REF!</definedName>
    <definedName name="__RHN03">#REF!</definedName>
    <definedName name="__RHN04">#REF!</definedName>
    <definedName name="__RNC1">#REF!</definedName>
    <definedName name="__RRR01">#REF!</definedName>
    <definedName name="__WCP1">#REF!</definedName>
    <definedName name="__WCY01">#REF!</definedName>
    <definedName name="__WW01">#REF!</definedName>
    <definedName name="__WW02">#REF!</definedName>
    <definedName name="__WW03">#REF!</definedName>
    <definedName name="__WWW1">#REF!</definedName>
    <definedName name="__WWW2">#REF!</definedName>
    <definedName name="__WWW3">#REF!</definedName>
    <definedName name="__xx1" hidden="1">{"'Typical Costs Estimates'!$C$158:$H$161"}</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___123Graph_ACHART_1" hidden="1">[2]Cash2!$G$16:$G$31</definedName>
    <definedName name="_1__123Graph_ACHART_1" hidden="1">[2]Cash2!$G$16:$G$31</definedName>
    <definedName name="_10_0_0__123Graph_X" hidden="1">#REF!</definedName>
    <definedName name="_14_123Graph_X" hidden="1">#REF!</definedName>
    <definedName name="_18_0_0_F" hidden="1">[3]대비표!#REF!</definedName>
    <definedName name="_2___123Graph_ACHART_2" hidden="1">[2]Z!$T$179:$AH$179</definedName>
    <definedName name="_2__123Graph_ACHART_2" hidden="1">[2]Z!$T$179:$AH$179</definedName>
    <definedName name="_28_0__123Graph_X" hidden="1">#REF!</definedName>
    <definedName name="_3___123Graph_BCHART_2" hidden="1">[2]Z!$T$180:$AH$180</definedName>
    <definedName name="_3__123Graph_BCHART_2" hidden="1">[2]Z!$T$180:$AH$180</definedName>
    <definedName name="_4___123Graph_CCHART_1" hidden="1">[2]Cash2!$J$16:$J$36</definedName>
    <definedName name="_4__123Graph_CCHART_1" hidden="1">[2]Cash2!$J$16:$J$36</definedName>
    <definedName name="_4_123Graph_X" hidden="1">#REF!</definedName>
    <definedName name="_42_123Graph_X" hidden="1">#REF!</definedName>
    <definedName name="_5___123Graph_DCHART_1" hidden="1">[2]Cash2!$K$16:$K$36</definedName>
    <definedName name="_5__123Graph_DCHART_1" hidden="1">[2]Cash2!$K$16:$K$36</definedName>
    <definedName name="_5_0__123Graph_X" hidden="1">#REF!</definedName>
    <definedName name="_56_0_0__123Graph_X" hidden="1">#REF!</definedName>
    <definedName name="_9_123Graph_X" hidden="1">#REF!</definedName>
    <definedName name="_aa1" hidden="1">{#N/A,#N/A,FALSE,"CCTV"}</definedName>
    <definedName name="_aaa1" hidden="1">{#N/A,#N/A,FALSE,"CCTV"}</definedName>
    <definedName name="_ABC" hidden="1">[2]Cash2!$G$16:$G$31</definedName>
    <definedName name="_AtRisk_SimSetting_AutomaticallyGenerateReports" hidden="1">FALSE</definedName>
    <definedName name="_AtRisk_SimSetting_AutomaticResultsDisplayMode" hidden="1">3</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dRecalcBehavior" hidden="1">0</definedName>
    <definedName name="_AtRisk_SimSetting_StdRecalcWithoutRiskStatic" hidden="1">0</definedName>
    <definedName name="_AtRisk_SimSetting_StdRecalcWithoutRiskStaticPercentile" hidden="1">0.5</definedName>
    <definedName name="_bbb1" hidden="1">{#N/A,#N/A,FALSE,"CCTV"}</definedName>
    <definedName name="_BELLE">#REF!</definedName>
    <definedName name="_BQB1">#REF!</definedName>
    <definedName name="_BQB2">#REF!</definedName>
    <definedName name="_BQB3">#REF!</definedName>
    <definedName name="_BQB4">#REF!</definedName>
    <definedName name="_BQB5">#REF!</definedName>
    <definedName name="_BQB6">#REF!</definedName>
    <definedName name="_BQB7">#REF!</definedName>
    <definedName name="_BQB8">#REF!</definedName>
    <definedName name="_BQB9">#REF!</definedName>
    <definedName name="_BQK">#REF!</definedName>
    <definedName name="_BQU03">#REF!</definedName>
    <definedName name="_CAL01">#REF!</definedName>
    <definedName name="_CAL02">#REF!</definedName>
    <definedName name="_CAL03">#REF!</definedName>
    <definedName name="_CAL04">#REF!</definedName>
    <definedName name="_CCC1">#REF!</definedName>
    <definedName name="_Fill" hidden="1">#REF!</definedName>
    <definedName name="_Fill1" hidden="1">[4]BHANDUP!#REF!</definedName>
    <definedName name="_xlnm._FilterDatabase" localSheetId="2" hidden="1">DPR!$E$9:$F$217</definedName>
    <definedName name="_xlnm._FilterDatabase" localSheetId="0" hidden="1">Summary!$E$13:$F$227</definedName>
    <definedName name="_ING01">#REF!</definedName>
    <definedName name="_ING02">#REF!</definedName>
    <definedName name="_Key1" hidden="1">#REF!</definedName>
    <definedName name="_Key2" hidden="1">#REF!</definedName>
    <definedName name="_MATA">#REF!</definedName>
    <definedName name="_MatInverse_In" hidden="1">#REF!</definedName>
    <definedName name="_MatMult_A" hidden="1">#REF!</definedName>
    <definedName name="_MatMult_AxB" hidden="1">#REF!</definedName>
    <definedName name="_MatMult_B" hidden="1">#REF!</definedName>
    <definedName name="_MDS01">#REF!</definedName>
    <definedName name="_MVE01">#REF!</definedName>
    <definedName name="_Order1" hidden="1">255</definedName>
    <definedName name="_Order2" hidden="1">255</definedName>
    <definedName name="_PAG01">#REF!</definedName>
    <definedName name="_PAG02">#REF!</definedName>
    <definedName name="_Parse_In" hidden="1">'[5]Process Piping'!#REF!</definedName>
    <definedName name="_Parse_Out" hidden="1">[6]갑지!#REF!</definedName>
    <definedName name="_PHN01">#REF!</definedName>
    <definedName name="_PHN02">#REF!</definedName>
    <definedName name="_QQQ1">#REF!</definedName>
    <definedName name="_Regression_Int" hidden="1">1</definedName>
    <definedName name="_RGF01">#REF!</definedName>
    <definedName name="_RHN01">#REF!</definedName>
    <definedName name="_RHN02">#REF!</definedName>
    <definedName name="_RHN03">#REF!</definedName>
    <definedName name="_RHN04">#REF!</definedName>
    <definedName name="_RNC1">#REF!</definedName>
    <definedName name="_RRR01">#REF!</definedName>
    <definedName name="_Sort" hidden="1">#REF!</definedName>
    <definedName name="_STR1">[7]sc!$H$5</definedName>
    <definedName name="_Table1_In1" hidden="1">[8]inter!#REF!</definedName>
    <definedName name="_Table1_Out" hidden="1">[8]inter!#REF!</definedName>
    <definedName name="_WCP1">#REF!</definedName>
    <definedName name="_WCY01">#REF!</definedName>
    <definedName name="_WW01">#REF!</definedName>
    <definedName name="_WW02">#REF!</definedName>
    <definedName name="_WW03">#REF!</definedName>
    <definedName name="_WWW1">#REF!</definedName>
    <definedName name="_WWW2">#REF!</definedName>
    <definedName name="_WWW3">#REF!</definedName>
    <definedName name="_xx1" hidden="1">{"'Typical Costs Estimates'!$C$158:$H$161"}</definedName>
    <definedName name="A" hidden="1">{"NORMAL",#N/A,FALSE,"02"}</definedName>
    <definedName name="AA" hidden="1">{"DECIMAL",#N/A,FALSE,"02"}</definedName>
    <definedName name="AAA" hidden="1">{#N/A,#N/A,FALSE,"COPERTINA"}</definedName>
    <definedName name="AAAA" hidden="1">{#N/A,#N/A,FALSE,"Work progress mensile";#N/A,#N/A,FALSE,"Work progress mensile IE1"}</definedName>
    <definedName name="aaaa1" hidden="1">{#N/A,#N/A,FALSE,"CCTV"}</definedName>
    <definedName name="AAAAA" hidden="1">{#N/A,#N/A,FALSE,"Work progress mensile";#N/A,#N/A,FALSE,"Work progress mensile IE1"}</definedName>
    <definedName name="aaaaaa" hidden="1">{#N/A,#N/A,FALSE,"Work progress mensile";#N/A,#N/A,FALSE,"Work progress mensile IE1"}</definedName>
    <definedName name="AAAAAA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a" hidden="1">{#N/A,#N/A,FALSE,"Work progress mensile";#N/A,#N/A,FALSE,"Work progress mensile IE1"}</definedName>
    <definedName name="aaaaaaaaa" hidden="1">{#N/A,#N/A,FALSE,"Work progress mensile";#N/A,#N/A,FALSE,"Work progress mensile IE1"}</definedName>
    <definedName name="aaaaaaaaaaa" hidden="1">{"NORMAL",#N/A,FALSE,"02"}</definedName>
    <definedName name="AAADS">#REF!</definedName>
    <definedName name="aabb" hidden="1">{"VISTA_1",#N/A,FALSE,"GRAFO"}</definedName>
    <definedName name="AASD" hidden="1">{"VISTA_1",#N/A,FALSE,"GRAFO"}</definedName>
    <definedName name="AASDD" hidden="1">{"VISTA_1",#N/A,FALSE,"GRAFO"}</definedName>
    <definedName name="ab">#REF!</definedName>
    <definedName name="abc" hidden="1">{#N/A,#N/A,FALSE,"Work progress mensile";#N/A,#N/A,FALSE,"Work progress mensile IE1"}</definedName>
    <definedName name="ABCD" hidden="1">[2]Z!$T$179:$AH$179</definedName>
    <definedName name="AccessDatabase" hidden="1">"D:\Planning &amp; QS\Planning\Progress Reports\Daily Progress Report\Physical Progress.mdb"</definedName>
    <definedName name="ACT">[9]sc!$A$5</definedName>
    <definedName name="afdasgh" hidden="1">{#N/A,#N/A,FALSE,"CCTV"}</definedName>
    <definedName name="afdsfdg" hidden="1">{#N/A,#N/A,FALSE,"CCTV"}</definedName>
    <definedName name="afffgff" hidden="1">{#N/A,#N/A,FALSE,"CCTV"}</definedName>
    <definedName name="aioSignal">[10]BOQ!$B$7:$B$16,[10]BOQ!$B$21:$B$26,[10]BOQ!$B$42,[10]BOQ!$B$45,[10]BOQ!$B$48,[10]BOQ!$B$54</definedName>
    <definedName name="anscount" hidden="1">8</definedName>
    <definedName name="antonio" hidden="1">{#N/A,#N/A,FALSE,"Work progress mensile";#N/A,#N/A,FALSE,"Work progress mensile IE1"}</definedName>
    <definedName name="aq" hidden="1">{"NORMAL",#N/A,FALSE,"02"}</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ea">[11]Estimate!$F$3</definedName>
    <definedName name="AS2DocOpenMode" hidden="1">"AS2DocumentEdit"</definedName>
    <definedName name="ASSA" hidden="1">{"'Typical Costs Estimates'!$C$158:$H$161"}</definedName>
    <definedName name="b" hidden="1">#REF!</definedName>
    <definedName name="bb" hidden="1">#REF!</definedName>
    <definedName name="BBB" hidden="1">{#N/A,#N/A,FALSE,"CCTV"}</definedName>
    <definedName name="bbbb" hidden="1">{#N/A,#N/A,FALSE,"COPERTINA"}</definedName>
    <definedName name="bbbbb" hidden="1">{#N/A,#N/A,FALSE,"Work progress mensile";#N/A,#N/A,FALSE,"Work progress mensile IE1"}</definedName>
    <definedName name="BBBBBBBB" hidden="1">{"DECIMAL",#N/A,FALSE,"02"}</definedName>
    <definedName name="BENDS_45°_ASTM_A74_HUB_TYPE_CAST_IRON_SOIL_FITTINGS__BELL_AND_SPIGOT">"data"</definedName>
    <definedName name="bfbfdhfdhdfgh" hidden="1">{#N/A,#N/A,FALSE,"CCTV"}</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itumen" hidden="1">{"'Typical Costs Estimates'!$C$158:$H$161"}</definedName>
    <definedName name="BLOCK1">#REF!</definedName>
    <definedName name="BLOCK2">#REF!</definedName>
    <definedName name="BM" hidden="1">{"'Sheet1'!$A$4386:$N$4591"}</definedName>
    <definedName name="BPR_B1">#REF!</definedName>
    <definedName name="BPR_B2">#REF!</definedName>
    <definedName name="BPR_B3">#REF!</definedName>
    <definedName name="BPR_B4">#REF!</definedName>
    <definedName name="BPR_B9">#REF!</definedName>
    <definedName name="BPR_H">#REF!</definedName>
    <definedName name="BPR_U">#REF!</definedName>
    <definedName name="BPR_U03">#REF!</definedName>
    <definedName name="BPRT_A">#REF!</definedName>
    <definedName name="BPRT_B14">#REF!</definedName>
    <definedName name="BPRT_B5">#REF!</definedName>
    <definedName name="BPRT_B6">#REF!</definedName>
    <definedName name="BPRT_B7">#REF!</definedName>
    <definedName name="BPRT_B8">#REF!</definedName>
    <definedName name="BPRT_B9">#REF!</definedName>
    <definedName name="BPRT_C">#REF!</definedName>
    <definedName name="BPRT_F">#REF!</definedName>
    <definedName name="BPRT_K">#REF!</definedName>
    <definedName name="BPRT_L">#REF!</definedName>
    <definedName name="BPRT_M">#REF!</definedName>
    <definedName name="BPRT_U">#REF!</definedName>
    <definedName name="BQA">#REF!</definedName>
    <definedName name="BQC">#REF!</definedName>
    <definedName name="BQF">#REF!</definedName>
    <definedName name="BQH">#REF!</definedName>
    <definedName name="BQK">#REF!</definedName>
    <definedName name="BQL">#REF!</definedName>
    <definedName name="BQM">#REF!</definedName>
    <definedName name="BQU">#REF!</definedName>
    <definedName name="CAL_A1">#REF!</definedName>
    <definedName name="cc" hidden="1">#REF!</definedName>
    <definedName name="CCC" hidden="1">{#N/A,#N/A,FALSE,"Work progress mensile";#N/A,#N/A,FALSE,"Work progress mensile IE1"}</definedName>
    <definedName name="CCCC" hidden="1">{"NORMAL",#N/A,FALSE,"02"}</definedName>
    <definedName name="CCCCCCCCCC" hidden="1">{#N/A,#N/A,FALSE,"COPERTINA"}</definedName>
    <definedName name="CD" hidden="1">[2]Cash2!$K$16:$K$36</definedName>
    <definedName name="chemical" hidden="1">{#N/A,#N/A,FALSE,"CCTV"}</definedName>
    <definedName name="chf">0.77</definedName>
    <definedName name="Code" hidden="1">#REF!</definedName>
    <definedName name="Conert">#REF!</definedName>
    <definedName name="contactSignal">[10]BOQ!$B$34:$B$40,[10]BOQ!$B$55</definedName>
    <definedName name="Convert">#REF!</definedName>
    <definedName name="COP">#REF!</definedName>
    <definedName name="COPY01">#REF!</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urve1" hidden="1">{#N/A,#N/A,FALSE,"Work progress mensile";#N/A,#N/A,FALSE,"Work progress mensile IE1"}</definedName>
    <definedName name="d" hidden="1">#REF!</definedName>
    <definedName name="D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ATA2">#REF!</definedName>
    <definedName name="data3" hidden="1">#REF!</definedName>
    <definedName name="_xlnm.Database">#REF!</definedName>
    <definedName name="dbm" hidden="1">{"'Sheet1'!$A$4386:$N$4591"}</definedName>
    <definedName name="DDD" hidden="1">{#N/A,#N/A,FALSE,"Work progress mensile";#N/A,#N/A,FALSE,"Work progress mensile IE1"}</definedName>
    <definedName name="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FD" hidden="1">{#N/A,#N/A,FALSE,"CCTV"}</definedName>
    <definedName name="DecimalPlaces">[12]SystemData!$B$4</definedName>
    <definedName name="Deckungsbeitrag1">'[13]ToS-Detailed'!$E$6:$Q$63</definedName>
    <definedName name="dem">1.95583/eur</definedName>
    <definedName name="derg" hidden="1">{"'Typical Costs Estimates'!$C$158:$H$161"}</definedName>
    <definedName name="dfs" hidden="1">{"'Typical Costs Estimates'!$C$158:$H$161"}</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gjgj" hidden="1">{#N/A,#N/A,FALSE,"CCTV"}</definedName>
    <definedName name="DHTML" hidden="1">{"'Sheet1'!$A$4386:$N$4591"}</definedName>
    <definedName name="Discount" hidden="1">#REF!</definedName>
    <definedName name="display_area_2" hidden="1">#REF!</definedName>
    <definedName name="Document_array">{"Book1","sch1222-01.xls"}</definedName>
    <definedName name="Drainage" hidden="1">{"'Typical Costs Estimates'!$C$158:$H$161"}</definedName>
    <definedName name="DSA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bv" hidden="1">{#N/A,#N/A,FALSE,"CCTV"}</definedName>
    <definedName name="DWPRICE" hidden="1">#REF!</definedName>
    <definedName name="E" hidden="1">{#N/A,#N/A,FALSE,"Work progress mensile";#N/A,#N/A,FALSE,"Work progress mensile IE1"}</definedName>
    <definedName name="E_BQ">#REF!</definedName>
    <definedName name="EC" hidden="1">{#N/A,#N/A,FALSE,"CCTV"}</definedName>
    <definedName name="ED" hidden="1">{#N/A,#N/A,FALSE,"CCTV"}</definedName>
    <definedName name="ee" hidden="1">{"NORMAL",#N/A,FALSE,"02"}</definedName>
    <definedName name="eee" hidden="1">{#N/A,#N/A,FALSE,"Work progress mensile";#N/A,#N/A,FALSE,"Work progress mensile IE1"}</definedName>
    <definedName name="EF">[9]sc!$E$5</definedName>
    <definedName name="EFA">[9]sc!$H$5</definedName>
    <definedName name="egp">5.7525</definedName>
    <definedName name="equip"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ER" hidden="1">{#N/A,#N/A,FALSE,"CCTV"}</definedName>
    <definedName name="ES">[9]sc!#REF!</definedName>
    <definedName name="ESA">[9]sc!#REF!</definedName>
    <definedName name="est">[11]Estimate!$E$4</definedName>
    <definedName name="ET" hidden="1">{#N/A,#N/A,FALSE,"CCTV"}</definedName>
    <definedName name="eur">1.3434</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X" hidden="1">{#N/A,#N/A,FALSE,"CCTV"}</definedName>
    <definedName name="ExchangeRate">[12]SystemData!$B$5</definedName>
    <definedName name="eyteyt" hidden="1">{#N/A,#N/A,FALSE,"CCTV"}</definedName>
    <definedName name="fd" hidden="1">{"'Typical Costs Estimates'!$C$158:$H$161"}</definedName>
    <definedName name="fda">#N/A</definedName>
    <definedName name="fddfhdfhdgh" hidden="1">{#N/A,#N/A,FALSE,"CCTV"}</definedName>
    <definedName name="FD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f" hidden="1">{#N/A,#N/A,FALSE,"CCTV"}</definedName>
    <definedName name="FDFDF" hidden="1">{#N/A,#N/A,FALSE,"CCTV"}</definedName>
    <definedName name="FDSA" hidden="1">{#N/A,#N/A,FALSE,"CCTV"}</definedName>
    <definedName name="ff" hidden="1">#REF!</definedName>
    <definedName name="FFFFF" hidden="1">{#N/A,#N/A,FALSE,"CCTV"}</definedName>
    <definedName name="ffffff" hidden="1">{#N/A,#N/A,FALSE,"CCTV"}</definedName>
    <definedName name="FGF" hidden="1">{#N/A,#N/A,FALSE,"CCTV"}</definedName>
    <definedName name="fhgjfghfghgf" hidden="1">{#N/A,#N/A,FALSE,"CCTV"}</definedName>
    <definedName name="from" hidden="1">{"'Typical Costs Estimates'!$C$158:$H$161"}</definedName>
    <definedName name="F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 hidden="1">{"'Typical Costs Estimates'!$C$158:$H$161"}</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S" hidden="1">{#N/A,#N/A,FALSE,"CCTV"}</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jgfh" hidden="1">{#N/A,#N/A,FALSE,"CCTV"}</definedName>
    <definedName name="gfjgfhfg" hidden="1">{#N/A,#N/A,FALSE,"CCTV"}</definedName>
    <definedName name="gg" hidden="1">#REF!</definedName>
    <definedName name="ggg" hidden="1">{"DECIMAL",#N/A,FALSE,"02"}</definedName>
    <definedName name="gggg" hidden="1">{"DECIMAL",#N/A,FALSE,"02"}</definedName>
    <definedName name="ghgh" hidden="1">{#N/A,#N/A,FALSE,"CCTV"}</definedName>
    <definedName name="GNRL">#REF!</definedName>
    <definedName name="GRP">1.9</definedName>
    <definedName name="h" hidden="1">{"NORMAL",#N/A,FALSE,"02"}</definedName>
    <definedName name="hdsusdhggj" hidden="1">{"'Typical Costs Estimates'!$C$158:$H$161"}</definedName>
    <definedName name="HEADDAYA3">[14]Calendar!$U$65:$AA$70,[14]Calendar!$L$65:$R$70,[14]Calendar!$C$65:$I$70,[14]Calendar!$C$51:$I$56,[14]Calendar!$L$51:$R$56,[14]Calendar!$U$51:$AA$56,[14]Calendar!$U$37:$AA$42,[14]Calendar!$L$37:$R$41,[14]Calendar!$L$42:$R$42,[14]Calendar!$C$37:$I$42,[14]Calendar!$C$23:$I$28,[14]Calendar!$L$23:$R$28,[14]Calendar!$U$23:$AA$28</definedName>
    <definedName name="HEADDAYA4">[14]Calendar!$C$23:$I$28,[14]Calendar!$L$23,[14]Calendar!$R$23,[14]Calendar!$L$23:$R$28,[14]Calendar!$U$23:$AA$28,[14]Calendar!$C$37:$I$42,[14]Calendar!$L$37:$R$42,[14]Calendar!$U$37:$AA$42,[14]Calendar!$C$51:$I$56,[14]Calendar!$L$51:$R$55,[14]Calendar!$L$51:$R$56,[14]Calendar!$U$51:$AA$55,[14]Calendar!$AA$55,[14]Calendar!$U$51:$AA$56,[14]Calendar!$C$65:$I$70,[14]Calendar!$L$65:$R$70,[14]Calendar!$U$65:$AA$70</definedName>
    <definedName name="HEADWEEKA3">[14]Calendar!$C$22:$I$22,[14]Calendar!$L$22:$R$22,[14]Calendar!$U$22:$AA$22,[14]Calendar!$C$36:$I$36,[14]Calendar!$L$36:$R$36,[14]Calendar!$U$36:$AA$36,[14]Calendar!$C$50:$I$50,[14]Calendar!$L$50:$R$50,[14]Calendar!$U$50:$AA$50,[14]Calendar!$C$64:$I$64,[14]Calendar!$L$64:$R$64,[14]Calendar!$U$64:$AA$64</definedName>
    <definedName name="HEADWEEKA4">[14]Calendar!$C$22:$I$22,[14]Calendar!$L$22:$R$22,[14]Calendar!$U$22:$AA$22,[14]Calendar!$U$36:$AA$36,[14]Calendar!$L$36:$R$36,[14]Calendar!$C$36:$I$36,[14]Calendar!$U$50:$AA$50,[14]Calendar!$L$50:$R$50,[14]Calendar!$C$50:$I$50,[14]Calendar!$U$64:$AA$64,[14]Calendar!$L$64:$R$64,[14]Calendar!$C$64:$I$64</definedName>
    <definedName name="hfdgfdg" hidden="1">{#N/A,#N/A,FALSE,"CCTV"}</definedName>
    <definedName name="hfjhhjj" hidden="1">{#N/A,#N/A,FALSE,"CCTV"}</definedName>
    <definedName name="hgjfgh" hidden="1">{#N/A,#N/A,FALSE,"CCTV"}</definedName>
    <definedName name="hgjgfhgh" hidden="1">{#N/A,#N/A,FALSE,"CCTV"}</definedName>
    <definedName name="HHH" hidden="1">{#N/A,#N/A,FALSE,"CCTV"}</definedName>
    <definedName name="HiddenRows" hidden="1">#REF!</definedName>
    <definedName name="HTML_CodePage" hidden="1">949</definedName>
    <definedName name="HTML_Control" hidden="1">{"'장비'!$A$3:$M$12"}</definedName>
    <definedName name="HTML_Description" hidden="1">""</definedName>
    <definedName name="HTML_Email" hidden="1">""</definedName>
    <definedName name="HTML_Header" hidden="1">"장비"</definedName>
    <definedName name="HTML_LastUpdate" hidden="1">"97-08-05"</definedName>
    <definedName name="HTML_LineAfter" hidden="1">FALSE</definedName>
    <definedName name="HTML_LineBefore" hidden="1">FALSE</definedName>
    <definedName name="HTML_Name" hidden="1">"이진화"</definedName>
    <definedName name="HTML_OBDlg2" hidden="1">TRUE</definedName>
    <definedName name="HTML_OBDlg4" hidden="1">TRUE</definedName>
    <definedName name="HTML_OS" hidden="1">0</definedName>
    <definedName name="HTML_PathFile" hidden="1">"C:\My Documents\MyHTML.htm"</definedName>
    <definedName name="HTML_Title" hidden="1">"가산동미라보"</definedName>
    <definedName name="IGLE" hidden="1">[15]BM!#REF!</definedName>
    <definedName name="iiouolkll" hidden="1">{#N/A,#N/A,FALSE,"CCTV"}</definedName>
    <definedName name="IK" hidden="1">{"NORMAL",#N/A,FALSE,"02"}</definedName>
    <definedName name="incassi" hidden="1">{#N/A,#N/A,FALSE,"Work progress mensile";#N/A,#N/A,FALSE,"Work progress mensile IE1"}</definedName>
    <definedName name="incasso" hidden="1">{#N/A,#N/A,FALSE,"Work progress mensile";#N/A,#N/A,FALSE,"Work progress mensile IE1"}</definedName>
    <definedName name="INGC1">#REF!</definedName>
    <definedName name="InputArea">'[16]268'!$F$33,'[16]268'!$F$35,'[16]268'!$E$41:$F$43,'[16]268'!$I$41:$L$43,'[16]268'!$E$49:$F$57,'[16]268'!$I$49:$L$58,'[16]268'!$B$63:$L$68</definedName>
    <definedName name="Insulation"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IU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YUIYI"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 hidden="1">{#N/A,#N/A,FALSE,"Work progress mensile";#N/A,#N/A,FALSE,"Work progress mensile IE1"}</definedName>
    <definedName name="jhhhh" hidden="1">{#N/A,#N/A,FALSE,"CCTV"}</definedName>
    <definedName name="JJJ" hidden="1">{#N/A,#N/A,FALSE,"Work progress mensile";#N/A,#N/A,FALSE,"Work progress mensile IE1"}</definedName>
    <definedName name="JJJJJ" hidden="1">{"DECIMAL",#N/A,FALSE,"02"}</definedName>
    <definedName name="JJJJJJJJJ" hidden="1">{#N/A,#N/A,FALSE,"Work progress mensile";#N/A,#N/A,FALSE,"Work progress mensile IE1"}</definedName>
    <definedName name="JJJJJJJJJJJJ" hidden="1">{#N/A,#N/A,FALSE,"Work progress mensile";#N/A,#N/A,FALSE,"Work progress mensile IE1"}</definedName>
    <definedName name="JU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U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ghlgh" hidden="1">{#N/A,#N/A,FALSE,"CCTV"}</definedName>
    <definedName name="kiulil" hidden="1">{#N/A,#N/A,FALSE,"CCTV"}</definedName>
    <definedName name="kjhlh" hidden="1">{#N/A,#N/A,FALSE,"CCTV"}</definedName>
    <definedName name="kjhljhk" hidden="1">{#N/A,#N/A,FALSE,"CCTV"}</definedName>
    <definedName name="kk" hidden="1">{"'Typical Costs Estimates'!$C$158:$H$161"}</definedName>
    <definedName name="Ks">6165.38</definedName>
    <definedName name="L">#REF!</definedName>
    <definedName name="l_flanfe">[10]BOQ!#REF!</definedName>
    <definedName name="last_row">111</definedName>
    <definedName name="LAWK_KAKA">#REF!</definedName>
    <definedName name="LAWRENCE">#REF!</definedName>
    <definedName name="light">"Picture 1"</definedName>
    <definedName name="LineSpaces">#REF!,#REF!,#REF!,#REF!,#REF!,#REF!,#REF!,#REF!,#REF!,#REF!,#REF!,#REF!,#REF!,#REF!,#REF!,#REF!,#REF!,#REF!,#REF!,#REF!</definedName>
    <definedName name="LIST">#REF!</definedName>
    <definedName name="LK" hidden="1">{#N/A,#N/A,FALSE,"CCTV"}</definedName>
    <definedName name="lklhlkjl" hidden="1">{#N/A,#N/A,FALSE,"CCTV"}</definedName>
    <definedName name="lll">#N/A</definedName>
    <definedName name="LLLL" hidden="1">{#N/A,#N/A,FALSE,"CCTV"}</definedName>
    <definedName name="LM">#REF!</definedName>
    <definedName name="LUIL"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Macro1">#N/A</definedName>
    <definedName name="marino" hidden="1">{#N/A,#N/A,FALSE,"Work progress mensile";#N/A,#N/A,FALSE,"Work progress mensile IE1"}</definedName>
    <definedName name="MATA">#REF!</definedName>
    <definedName name="MATATATYGKWELN">#REF!</definedName>
    <definedName name="MDS_N">#REF!</definedName>
    <definedName name="MDS_UNT">#REF!</definedName>
    <definedName name="mmmmm" hidden="1">{#N/A,#N/A,FALSE,"CCTV"}</definedName>
    <definedName name="MN" hidden="1">{#N/A,#N/A,FALSE,"CCTV"}</definedName>
    <definedName name="MODULES">#REF!</definedName>
    <definedName name="MODULES2">#REF!</definedName>
    <definedName name="MODULES3">#REF!</definedName>
    <definedName name="MON_JAN09">'[17]Beveling-01'!#REF!</definedName>
    <definedName name="n" hidden="1">{#N/A,#N/A,FALSE,"Work progress mensile";#N/A,#N/A,FALSE,"Work progress mensile IE1"}</definedName>
    <definedName name="naj0" hidden="1">#REF!</definedName>
    <definedName name="NAME" hidden="1">{#N/A,#N/A,FALSE,"CCTV"}</definedName>
    <definedName name="new" hidden="1">{"'Typical Costs Estimates'!$C$158:$H$161"}</definedName>
    <definedName name="NEWNAME" hidden="1">{#N/A,#N/A,FALSE,"CCTV"}</definedName>
    <definedName name="nkknk" hidden="1">{#N/A,#N/A,FALSE,"CCTV"}</definedName>
    <definedName name="nsj" hidden="1">#REF!</definedName>
    <definedName name="O"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OD">#REF!</definedName>
    <definedName name="ODH" hidden="1">#REF!</definedName>
    <definedName name="oililui" hidden="1">{#N/A,#N/A,FALSE,"CCTV"}</definedName>
    <definedName name="OrderTable" hidden="1">#REF!</definedName>
    <definedName name="OSBL" hidden="1">{#N/A,#N/A,FALSE,"CCTV"}</definedName>
    <definedName name="p_flange">[10]BOQ!#REF!</definedName>
    <definedName name="PBQ_ALL">#REF!</definedName>
    <definedName name="PBQ_I">#REF!</definedName>
    <definedName name="PBQ_O">#REF!</definedName>
    <definedName name="PCT">#REF!</definedName>
    <definedName name="peroxide" hidden="1">{#N/A,#N/A,FALSE,"CCTV"}</definedName>
    <definedName name="PILING">[9]sc!#REF!</definedName>
    <definedName name="pipe" hidden="1">{"'Typical Costs Estimates'!$C$158:$H$161"}</definedName>
    <definedName name="pipe1" hidden="1">{"'Typical Costs Estimates'!$C$158:$H$161"}</definedName>
    <definedName name="PIPPO" hidden="1">{"VISTA_1",#N/A,FALSE,"GRAFO"}</definedName>
    <definedName name="PIPPO2" hidden="1">{"DECIMAL",#N/A,FALSE,"02"}</definedName>
    <definedName name="PIPPO3" hidden="1">{#N/A,#N/A,FALSE,"Work progress mensile";#N/A,#N/A,FALSE,"Work progress mensile IE1"}</definedName>
    <definedName name="PIPPO4" hidden="1">{#N/A,#N/A,FALSE,"Work progress mensile";#N/A,#N/A,FALSE,"Work progress mensile IE1"}</definedName>
    <definedName name="pnInst">[10]BOQ!$B$17:$B$20,[10]BOQ!$B$49</definedName>
    <definedName name="pot" hidden="1">{"'Typical Costs Estimates'!$C$158:$H$161"}</definedName>
    <definedName name="power">[10]BOQ!$B$22,[10]BOQ!$B$24,[10]BOQ!$B$26,[10]BOQ!$B$28,[10]BOQ!$B$43,[10]BOQ!$B$42,[10]BOQ!$B$56,[10]BOQ!$B$63</definedName>
    <definedName name="PP" hidden="1">{#N/A,#N/A,FALSE,"CCTV"}</definedName>
    <definedName name="PP_BLCK1">#REF!</definedName>
    <definedName name="PP_BLCK2">#REF!</definedName>
    <definedName name="PP_L01">#REF!</definedName>
    <definedName name="PPP" hidden="1">{#N/A,#N/A,FALSE,"CCTV"}</definedName>
    <definedName name="PRAYER" hidden="1">{#N/A,#N/A,FALSE,"CCTV"}</definedName>
    <definedName name="PRESSIONE">[18]TABELLE!$B$51:$B$63</definedName>
    <definedName name="_xlnm.Print_Area" localSheetId="4">'DPR-0044 Site Picture'!$A$1:$Q$81</definedName>
    <definedName name="_xlnm.Print_Area" localSheetId="1">'Projection Vs Ach Summary'!$A$1:$I$36</definedName>
    <definedName name="_xlnm.Print_Area" localSheetId="0">Summary!$A$1:$K$236</definedName>
    <definedName name="_xlnm.Print_Area">#REF!</definedName>
    <definedName name="Print_Area_MI">#REF!</definedName>
    <definedName name="Print_area12">#REF!</definedName>
    <definedName name="Print_Area2">#REF!</definedName>
    <definedName name="Print_area35">#REF!</definedName>
    <definedName name="Print_Area45">#REF!</definedName>
    <definedName name="_xlnm.Print_Titles" localSheetId="0">Summary!$1:$13</definedName>
    <definedName name="PRN_BQ_L1">#REF!</definedName>
    <definedName name="PRN_DS_L">#REF!</definedName>
    <definedName name="PRNT01">#REF!</definedName>
    <definedName name="PRNT01A">#REF!</definedName>
    <definedName name="PRNT01B">#REF!</definedName>
    <definedName name="ProdForm" hidden="1">#REF!</definedName>
    <definedName name="Product" hidden="1">#REF!</definedName>
    <definedName name="Q" hidden="1">{#N/A,#N/A,FALSE,"Work progress mensile";#N/A,#N/A,FALSE,"Work progress mensile IE1"}</definedName>
    <definedName name="qq" hidden="1">{#N/A,#N/A,FALSE,"Work progress mensile";#N/A,#N/A,FALSE,"Work progress mensile IE1"}</definedName>
    <definedName name="QQQ">#REF!</definedName>
    <definedName name="qqqqqq" hidden="1">{"VISTA_1",#N/A,FALSE,"GRAFO"}</definedName>
    <definedName name="QQQQQ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QQQQQQQQQQQQQQQQQQQQQQQQQQQ" hidden="1">{#N/A,#N/A,FALSE,"Work progress mensile";#N/A,#N/A,FALSE,"Work progress mensile IE1"}</definedName>
    <definedName name="rarewt" hidden="1">{#N/A,#N/A,FALSE,"CCTV"}</definedName>
    <definedName name="Rate">[19]rates!$B$9:$F$33</definedName>
    <definedName name="Rateanalisys" hidden="1">{"'Sheet1'!$A$4386:$N$4591"}</definedName>
    <definedName name="RCArea" hidden="1">#REF!</definedName>
    <definedName name="Rebar">#REF!</definedName>
    <definedName name="_xlnm.Recorder">#REF!</definedName>
    <definedName name="rect4">"Rectangle 4"</definedName>
    <definedName name="rect5">"Rectangle 5"</definedName>
    <definedName name="Ref_Wt">IF(ISNA(#REF!),0.02466*#REF!*(#REF!-#REF!)*#REF!/1000,#REF!*#REF!/1000)</definedName>
    <definedName name="RFV" hidden="1">{#N/A,#N/A,FALSE,"CCTV"}</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R" hidden="1">{#N/A,#N/A,FALSE,"CCTV"}</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RW" hidden="1">{#N/A,#N/A,FALSE,"CCTV"}</definedName>
    <definedName name="RRR">#N/A</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tu">#N/A</definedName>
    <definedName name="sa">#REF!</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sa" hidden="1">{#N/A,#N/A,FALSE,"CCTV"}</definedName>
    <definedName name="SDCFTRGVTYHVTT" hidden="1">{#N/A,#N/A,FALSE,"Work progress mensile";#N/A,#N/A,FALSE,"Work progress mensile IE1"}</definedName>
    <definedName name="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pecialPrice" hidden="1">#REF!</definedName>
    <definedName name="SS" hidden="1">{"VISTA_1",#N/A,FALSE,"GRAFO"}</definedName>
    <definedName name="SSS" hidden="1">{#N/A,#N/A,FALSE,"Work progress mensile";#N/A,#N/A,FALSE,"Work progress mensile IE1"}</definedName>
    <definedName name="stanchion">[10]BOQ!$B$7:$B$24,[10]BOQ!$B$36:$B$39,[10]BOQ!$B$44:$B$45</definedName>
    <definedName name="struc">#N/A</definedName>
    <definedName name="Sum_Ins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X" hidden="1">{#N/A,#N/A,FALSE,"CCTV"}</definedName>
    <definedName name="t" hidden="1">#REF!</definedName>
    <definedName name="TA" hidden="1">{#N/A,#N/A,FALSE,"CCTV"}</definedName>
    <definedName name="tbl_ProdInfo" hidden="1">#REF!</definedName>
    <definedName name="TEMPERATURA">[18]TABELLE!$D$36:$D$48</definedName>
    <definedName name="TE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G" hidden="1">{#N/A,#N/A,FALSE,"CCTV"}</definedName>
    <definedName name="TITLE">[9]sc!$B$5</definedName>
    <definedName name="TODGHKF">#N/A</definedName>
    <definedName name="TRACKING">#REF!</definedName>
    <definedName name="TSUPPOT" hidden="1">{#N/A,#N/A,FALSE,"CCTV"}</definedName>
    <definedName name="TSUPPOT1" hidden="1">{#N/A,#N/A,FALSE,"CCTV"}</definedName>
    <definedName name="TUBE" hidden="1">{#N/A,#N/A,FALSE,"CCTV"}</definedName>
    <definedName name="TUTTO" hidden="1">{#N/A,#N/A,FALSE,"WBS 1°";#N/A,#N/A,FALSE,"WBS Units "}</definedName>
    <definedName name="TV" hidden="1">{#N/A,#N/A,FALSE,"CCTV"}</definedName>
    <definedName name="u" hidden="1">{#N/A,#N/A,FALSE,"Work progress mensile";#N/A,#N/A,FALSE,"Work progress mensile IE1"}</definedName>
    <definedName name="UB" hidden="1">{#N/A,#N/A,FALSE,"CCTV"}</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format">#REF!</definedName>
    <definedName name="update">'[20]Progress Input 2'!$A$1:$D$2796</definedName>
    <definedName name="Uplift">#REF!</definedName>
    <definedName name="uu" hidden="1">#REF!</definedName>
    <definedName name="uuu" hidden="1">{#N/A,#N/A,FALSE,"Work progress mensile";#N/A,#N/A,FALSE,"Work progress mensile IE1"}</definedName>
    <definedName name="uuuu" hidden="1">{"DECIMAL",#N/A,FALSE,"02"}</definedName>
    <definedName name="uuuuuu" hidden="1">{#N/A,#N/A,FALSE,"Work progress mensile";#N/A,#N/A,FALSE,"Work progress mensile IE1"}</definedName>
    <definedName name="uuuuuuu" hidden="1">{#N/A,#N/A,FALSE,"Work progress mensile";#N/A,#N/A,FALSE,"Work progress mensile IE1"}</definedName>
    <definedName name="uuuuuuuu" hidden="1">{"NORMAL",#N/A,FALSE,"02"}</definedName>
    <definedName name="uuuuuuuuu" hidden="1">{"DECIMAL",#N/A,FALSE,"02"}</definedName>
    <definedName name="UYJKUIGHJIJNGHòKèàOIOERIODFOèGNHPòFBòDF" hidden="1">{#N/A,#N/A,FALSE,"Work progress mensile";#N/A,#N/A,FALSE,"Work progress mensile IE1"}</definedName>
    <definedName name="Valves">#N/A</definedName>
    <definedName name="VX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#REF!</definedName>
    <definedName name="WCP">#REF!</definedName>
    <definedName name="WCPY">#REF!</definedName>
    <definedName name="WCPY01">#REF!</definedName>
    <definedName name="WCPY01A">#REF!</definedName>
    <definedName name="WCPY01B">#REF!</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ight" hidden="1">{#N/A,#N/A,FALSE,"CCTV"}</definedName>
    <definedName name="WEK_3FEB">'[17]Erection-01'!#REF!</definedName>
    <definedName name="WEK_4FEB">'[17]Erection-01'!#REF!</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on">908.38</definedName>
    <definedName name="WORK01">#REF!</definedName>
    <definedName name="WORK01A">#REF!</definedName>
    <definedName name="WORK01B">#REF!</definedName>
    <definedName name="WORK01C">#REF!</definedName>
    <definedName name="WORK02">#REF!</definedName>
    <definedName name="WORK04">#REF!</definedName>
    <definedName name="workshop" hidden="1">{#N/A,#N/A,FALSE,"CCTV"}</definedName>
    <definedName name="WPRN01">#REF!</definedName>
    <definedName name="WPRN02">#REF!</definedName>
    <definedName name="WR" hidden="1">{#N/A,#N/A,FALSE,"CCTV"}</definedName>
    <definedName name="WRITE" hidden="1">{#N/A,#N/A,FALSE,"CCTV"}</definedName>
    <definedName name="wrn.02INFORME." hidden="1">{"NORMAL",#N/A,FALSE,"02"}</definedName>
    <definedName name="wrn.111." hidden="1">{#N/A,#N/A,FALSE,"Sheet7"}</definedName>
    <definedName name="wrn.96사업계획." hidden="1">{#N/A,#N/A,FALSE,"96자동차사 계획";#N/A,#N/A,FALSE,"96자동차사 계획"}</definedName>
    <definedName name="wrn.Barbara._.Modular._.Indirects." hidden="1">{#N/A,#N/A,FALSE,"COVER";#N/A,#N/A,FALSE,"RECAP";#N/A,#N/A,FALSE,"SANTA BARBARA NONMANUAL";#N/A,#N/A,FALSE,"CEQUIP";#N/A,#N/A,FALSE,"WRATE";#N/A,#N/A,FALSE,"INDIRECT";#N/A,#N/A,FALSE,"TRAIN";#N/A,#N/A,FALSE,"MANLOADED SCHEDULE"}</definedName>
    <definedName name="wrn.BM." hidden="1">{#N/A,#N/A,FALSE,"CCTV"}</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DECIMAL." hidden="1">{"DECIMAL",#N/A,FALSE,"02"}</definedName>
    <definedName name="wrn.full." hidden="1">{"b",#N/A,FALSE,"B";"C 1",#N/A,FALSE,"C";"C 2",#N/A,FALSE,"C";"D 1",#N/A,FALSE,"D";"d 2",#N/A,FALSE,"D";"D 3",#N/A,FALSE,"D";"E",#N/A,FALSE,"E";"F 1",#N/A,FALSE,"F";"F 2",#N/A,FALSE,"F";"F 3",#N/A,FALSE,"F";"G 1",#N/A,FALSE,"G";"G 2",#N/A,FALSE,"G";"I 1",#N/A,FALSE,"I";"J 1",#N/A,FALSE,"J";"J 2",#N/A,FALSE,"J";"L",#N/A,FALSE,"L";"M 1",#N/A,FALSE,"M";"N",#N/A,FALSE,"N"}</definedName>
    <definedName name="wrn.GRF_1." hidden="1">{"VISTA_1",#N/A,FALSE,"GRAFO"}</definedName>
    <definedName name="wrn.pag_1." hidden="1">{#N/A,#N/A,FALSE,"COPERTINA"}</definedName>
    <definedName name="wrn.R1_Sh1." hidden="1">{"V_sh1_01",#N/A,FALSE,"Sh1_ver_iso"}</definedName>
    <definedName name="wrn.R2_Sh2." hidden="1">{"V_sh1_01",#N/A,TRUE,"Sh1_"}</definedName>
    <definedName name="wrn.Report._.1." hidden="1">{#N/A,#N/A,FALSE,"Work progress mensile";#N/A,#N/A,FALSE,"Work progress mensile IE1"}</definedName>
    <definedName name="wrn.TUTTO." hidden="1">{#N/A,#N/A,FALSE,"WBS 1°";#N/A,#N/A,FALSE,"WBS Units "}</definedName>
    <definedName name="wrn.교대." hidden="1">{#N/A,#N/A,FALSE,"type1";#N/A,#N/A,FALSE,"지지력";#N/A,#N/A,FALSE,"PILE계산";#N/A,#N/A,FALSE,"PILE ";#N/A,#N/A,FALSE,"철근량";#N/A,#N/A,FALSE,"균열검토";#N/A,#N/A,FALSE,"날개벽";#N/A,#N/A,FALSE,"주철근조립도";#N/A,#N/A,FALSE,"교좌"}</definedName>
    <definedName name="wtt" hidden="1">{#N/A,#N/A,FALSE,"WBS 1°";#N/A,#N/A,FALSE,"WBS Units "}</definedName>
    <definedName name="ww" hidden="1">{#N/A,#N/A,FALSE,"WBS 1°";#N/A,#N/A,FALSE,"WBS Units "}</definedName>
    <definedName name="WW00">#REF!</definedName>
    <definedName name="ww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WW0">#REF!</definedName>
    <definedName name="WZ" hidden="1">{#N/A,#N/A,FALSE,"CCTV"}</definedName>
    <definedName name="x" hidden="1">{#N/A,#N/A,FALSE,"Work progress mensile";#N/A,#N/A,FALSE,"Work progress mensile IE1"}</definedName>
    <definedName name="XC" hidden="1">{#N/A,#N/A,FALSE,"CCTV"}</definedName>
    <definedName name="xcv" hidden="1">{"'Typical Costs Estimates'!$C$158:$H$161"}</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rate">[19]rates!$E$6</definedName>
    <definedName name="xx" hidden="1">{#N/A,#N/A,FALSE,"WBS 1°";#N/A,#N/A,FALSE,"WBS Units "}</definedName>
    <definedName name="xxx" hidden="1">{#N/A,#N/A,FALSE,"Work progress mensile";#N/A,#N/A,FALSE,"Work progress mensile IE1"}</definedName>
    <definedName name="xxxxxx">#REF!</definedName>
    <definedName name="xxxxxxxxxxxxxxxxxxxx" hidden="1">#REF!</definedName>
    <definedName name="Y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rdtytyt" hidden="1">{#N/A,#N/A,FALSE,"CCTV"}</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y" hidden="1">#REF!</definedName>
    <definedName name="yyuu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YY">#REF!</definedName>
    <definedName name="YYY01">#REF!</definedName>
    <definedName name="Z" hidden="1">{"NORMAL",#N/A,FALSE,"02"}</definedName>
    <definedName name="ZZ" hidden="1">{"NORMAL",#N/A,FALSE,"02"}</definedName>
    <definedName name="겡오" hidden="1">{#N/A,#N/A,FALSE,"CCTV"}</definedName>
    <definedName name="견적조건" hidden="1">[21]산근!#REF!</definedName>
    <definedName name="계장공사" hidden="1">{#N/A,#N/A,FALSE,"CCTV"}</definedName>
    <definedName name="계획총괄" hidden="1">{#N/A,#N/A,FALSE,"96자동차사 계획";#N/A,#N/A,FALSE,"96자동차사 계획"}</definedName>
    <definedName name="공무"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기능합리화" hidden="1">{#N/A,#N/A,FALSE,"96자동차사 계획";#N/A,#N/A,FALSE,"96자동차사 계획"}</definedName>
    <definedName name="ㄹㄴㅇㄹ"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ㅂㅂㅂ">#N/A</definedName>
    <definedName name="ㅂㅂㅂㅂㅂㅂ">#N/A</definedName>
    <definedName name="ㅂㅈ"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부대공사" hidden="1">#REF!</definedName>
    <definedName name="생활">#N/A</definedName>
    <definedName name="생활2합리화" hidden="1">{#N/A,#N/A,FALSE,"96자동차사 계획";#N/A,#N/A,FALSE,"96자동차사 계획"}</definedName>
    <definedName name="생활합리화" hidden="1">{#N/A,#N/A,FALSE,"96자동차사 계획";#N/A,#N/A,FALSE,"96자동차사 계획"}</definedName>
    <definedName name="신구">#N/A</definedName>
    <definedName name="인지"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장식합리화" hidden="1">{#N/A,#N/A,FALSE,"96자동차사 계획";#N/A,#N/A,FALSE,"96자동차사 계획"}</definedName>
    <definedName name="정렬">#N/A</definedName>
    <definedName name="첫열카피">#N/A</definedName>
    <definedName name="하반기계획" hidden="1">{#N/A,#N/A,FALSE,"96자동차사 계획";#N/A,#N/A,FALSE,"96자동차사 계획"}</definedName>
    <definedName name="합리화" hidden="1">{#N/A,#N/A,FALSE,"96자동차사 계획";#N/A,#N/A,FALSE,"96자동차사 계획"}</definedName>
    <definedName name="ㅠㅠㅠ"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9" i="5" l="1"/>
  <c r="T9" i="5"/>
  <c r="I122" i="4"/>
  <c r="H122" i="4"/>
  <c r="D122" i="4"/>
  <c r="C122" i="4"/>
  <c r="J120" i="4"/>
  <c r="J119" i="4"/>
  <c r="J118" i="4"/>
  <c r="J117" i="4"/>
  <c r="J116" i="4"/>
  <c r="J115" i="4"/>
  <c r="J114" i="4"/>
  <c r="J113" i="4"/>
  <c r="J112" i="4"/>
  <c r="J111" i="4"/>
  <c r="J110" i="4"/>
  <c r="J109" i="4"/>
  <c r="J108" i="4"/>
  <c r="J107" i="4"/>
  <c r="J106" i="4"/>
  <c r="J105" i="4"/>
  <c r="J104" i="4"/>
  <c r="J103" i="4"/>
  <c r="J102" i="4"/>
  <c r="J101" i="4"/>
  <c r="J100" i="4"/>
  <c r="J99" i="4"/>
  <c r="J98" i="4"/>
  <c r="J97" i="4"/>
  <c r="J96" i="4"/>
  <c r="J95" i="4"/>
  <c r="J94" i="4"/>
  <c r="J93" i="4"/>
  <c r="J92" i="4"/>
  <c r="J91" i="4"/>
  <c r="J90" i="4"/>
  <c r="J89" i="4"/>
  <c r="J88" i="4"/>
  <c r="J87" i="4"/>
  <c r="J86" i="4"/>
  <c r="J85" i="4"/>
  <c r="J84" i="4"/>
  <c r="J83" i="4"/>
  <c r="J82" i="4"/>
  <c r="J81" i="4"/>
  <c r="J80" i="4"/>
  <c r="J79" i="4"/>
  <c r="J78" i="4"/>
  <c r="J77" i="4"/>
  <c r="E77" i="4"/>
  <c r="J76" i="4"/>
  <c r="E76" i="4"/>
  <c r="J75" i="4"/>
  <c r="E75" i="4"/>
  <c r="J74" i="4"/>
  <c r="E74" i="4"/>
  <c r="J73" i="4"/>
  <c r="E73" i="4"/>
  <c r="J72" i="4"/>
  <c r="E72" i="4"/>
  <c r="J71" i="4"/>
  <c r="E71" i="4"/>
  <c r="J70" i="4"/>
  <c r="E70" i="4"/>
  <c r="J69" i="4"/>
  <c r="E69" i="4"/>
  <c r="J68" i="4"/>
  <c r="J122" i="4" s="1"/>
  <c r="F68" i="4"/>
  <c r="F69" i="4" s="1"/>
  <c r="F70" i="4" s="1"/>
  <c r="F71" i="4" s="1"/>
  <c r="F72" i="4" s="1"/>
  <c r="F73" i="4" s="1"/>
  <c r="F74" i="4" s="1"/>
  <c r="F75" i="4" s="1"/>
  <c r="F76" i="4" s="1"/>
  <c r="F77" i="4" s="1"/>
  <c r="F78" i="4" s="1"/>
  <c r="F79" i="4" s="1"/>
  <c r="F80" i="4" s="1"/>
  <c r="F81" i="4" s="1"/>
  <c r="F82" i="4" s="1"/>
  <c r="F83" i="4" s="1"/>
  <c r="F84" i="4" s="1"/>
  <c r="F85" i="4" s="1"/>
  <c r="F86" i="4" s="1"/>
  <c r="F87" i="4" s="1"/>
  <c r="F88" i="4" s="1"/>
  <c r="F89" i="4" s="1"/>
  <c r="F90" i="4" s="1"/>
  <c r="F91" i="4" s="1"/>
  <c r="F92" i="4" s="1"/>
  <c r="F93" i="4" s="1"/>
  <c r="F94" i="4" s="1"/>
  <c r="F95" i="4" s="1"/>
  <c r="F96" i="4" s="1"/>
  <c r="F97" i="4" s="1"/>
  <c r="F98" i="4" s="1"/>
  <c r="F99" i="4" s="1"/>
  <c r="F100" i="4" s="1"/>
  <c r="F101" i="4" s="1"/>
  <c r="F102" i="4" s="1"/>
  <c r="F103" i="4" s="1"/>
  <c r="F104" i="4" s="1"/>
  <c r="F105" i="4" s="1"/>
  <c r="F106" i="4" s="1"/>
  <c r="F107" i="4" s="1"/>
  <c r="F108" i="4" s="1"/>
  <c r="F109" i="4" s="1"/>
  <c r="F110" i="4" s="1"/>
  <c r="F111" i="4" s="1"/>
  <c r="F112" i="4" s="1"/>
  <c r="F113" i="4" s="1"/>
  <c r="F114" i="4" s="1"/>
  <c r="F115" i="4" s="1"/>
  <c r="F116" i="4" s="1"/>
  <c r="F117" i="4" s="1"/>
  <c r="F118" i="4" s="1"/>
  <c r="F119" i="4" s="1"/>
  <c r="F120" i="4" s="1"/>
  <c r="E68" i="4"/>
  <c r="A68" i="4"/>
  <c r="A69" i="4" s="1"/>
  <c r="A70" i="4" s="1"/>
  <c r="A71" i="4" s="1"/>
  <c r="A72" i="4" s="1"/>
  <c r="A73" i="4" s="1"/>
  <c r="A74" i="4" s="1"/>
  <c r="A75" i="4" s="1"/>
  <c r="A76" i="4" s="1"/>
  <c r="A77" i="4" s="1"/>
  <c r="J67" i="4"/>
  <c r="E67" i="4"/>
  <c r="E56" i="4"/>
  <c r="E55" i="4"/>
  <c r="E54" i="4"/>
  <c r="E53" i="4"/>
  <c r="E52" i="4"/>
  <c r="E51" i="4"/>
  <c r="E50" i="4"/>
  <c r="E49" i="4"/>
  <c r="E48" i="4"/>
  <c r="E47" i="4"/>
  <c r="J46" i="4"/>
  <c r="E46" i="4"/>
  <c r="J45" i="4"/>
  <c r="E45" i="4"/>
  <c r="J44" i="4"/>
  <c r="E44" i="4"/>
  <c r="J43" i="4"/>
  <c r="E43" i="4"/>
  <c r="J42" i="4"/>
  <c r="E42" i="4"/>
  <c r="J41" i="4"/>
  <c r="E41" i="4"/>
  <c r="J40" i="4"/>
  <c r="E40" i="4"/>
  <c r="J39" i="4"/>
  <c r="E39" i="4"/>
  <c r="J38" i="4"/>
  <c r="E38" i="4"/>
  <c r="J37" i="4"/>
  <c r="E37" i="4"/>
  <c r="J36" i="4"/>
  <c r="E36" i="4"/>
  <c r="J35" i="4"/>
  <c r="E35" i="4"/>
  <c r="J34" i="4"/>
  <c r="E34" i="4"/>
  <c r="J33" i="4"/>
  <c r="E33" i="4"/>
  <c r="J32" i="4"/>
  <c r="E32" i="4"/>
  <c r="J31" i="4"/>
  <c r="E31" i="4"/>
  <c r="J30" i="4"/>
  <c r="E30" i="4"/>
  <c r="J29" i="4"/>
  <c r="E29" i="4"/>
  <c r="J28" i="4"/>
  <c r="E28" i="4"/>
  <c r="J27" i="4"/>
  <c r="E27" i="4"/>
  <c r="J26" i="4"/>
  <c r="E26" i="4"/>
  <c r="J25" i="4"/>
  <c r="E25" i="4"/>
  <c r="J24" i="4"/>
  <c r="E24" i="4"/>
  <c r="J23" i="4"/>
  <c r="E23" i="4"/>
  <c r="J22" i="4"/>
  <c r="E22" i="4"/>
  <c r="J21" i="4"/>
  <c r="E21" i="4"/>
  <c r="J20" i="4"/>
  <c r="E20" i="4"/>
  <c r="J19" i="4"/>
  <c r="E19" i="4"/>
  <c r="J18" i="4"/>
  <c r="E18" i="4"/>
  <c r="J17" i="4"/>
  <c r="E17" i="4"/>
  <c r="J16" i="4"/>
  <c r="E16" i="4"/>
  <c r="J15" i="4"/>
  <c r="E15" i="4"/>
  <c r="J14" i="4"/>
  <c r="E14" i="4"/>
  <c r="J13" i="4"/>
  <c r="E13" i="4"/>
  <c r="J12" i="4"/>
  <c r="E12" i="4"/>
  <c r="J11" i="4"/>
  <c r="E11" i="4"/>
  <c r="J10" i="4"/>
  <c r="E10" i="4"/>
  <c r="A10" i="4"/>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A56" i="4" s="1"/>
  <c r="A57" i="4" s="1"/>
  <c r="J9" i="4"/>
  <c r="F9" i="4"/>
  <c r="F10" i="4" s="1"/>
  <c r="F11" i="4" s="1"/>
  <c r="F12" i="4" s="1"/>
  <c r="F13" i="4" s="1"/>
  <c r="F14" i="4" s="1"/>
  <c r="F15" i="4" s="1"/>
  <c r="F16" i="4" s="1"/>
  <c r="F17" i="4" s="1"/>
  <c r="F18" i="4" s="1"/>
  <c r="F19" i="4" s="1"/>
  <c r="F20" i="4" s="1"/>
  <c r="F21" i="4" s="1"/>
  <c r="F22" i="4" s="1"/>
  <c r="F23" i="4" s="1"/>
  <c r="F24" i="4" s="1"/>
  <c r="F25" i="4" s="1"/>
  <c r="F26" i="4" s="1"/>
  <c r="F27" i="4" s="1"/>
  <c r="F28" i="4" s="1"/>
  <c r="F29" i="4" s="1"/>
  <c r="F30" i="4" s="1"/>
  <c r="F31" i="4" s="1"/>
  <c r="F32" i="4" s="1"/>
  <c r="F33" i="4" s="1"/>
  <c r="F34" i="4" s="1"/>
  <c r="F35" i="4" s="1"/>
  <c r="F36" i="4" s="1"/>
  <c r="F37" i="4" s="1"/>
  <c r="F38" i="4" s="1"/>
  <c r="F39" i="4" s="1"/>
  <c r="F40" i="4" s="1"/>
  <c r="F41" i="4" s="1"/>
  <c r="F42" i="4" s="1"/>
  <c r="F43" i="4" s="1"/>
  <c r="F44" i="4" s="1"/>
  <c r="F45" i="4" s="1"/>
  <c r="F46" i="4" s="1"/>
  <c r="E9" i="4"/>
  <c r="A9" i="4"/>
  <c r="J8" i="4"/>
  <c r="E8" i="4"/>
  <c r="E122" i="4" l="1"/>
  <c r="J62" i="4"/>
  <c r="E62" i="4"/>
  <c r="F215" i="3" l="1"/>
  <c r="F209" i="3"/>
  <c r="F204" i="3"/>
  <c r="F201" i="3"/>
  <c r="G197" i="3"/>
  <c r="H197" i="3" s="1"/>
  <c r="F197" i="3"/>
  <c r="F191" i="3"/>
  <c r="F189" i="3"/>
  <c r="F188" i="3"/>
  <c r="F187" i="3"/>
  <c r="F185" i="3"/>
  <c r="F183" i="3"/>
  <c r="F181" i="3"/>
  <c r="F180" i="3"/>
  <c r="F177" i="3"/>
  <c r="F175" i="3"/>
  <c r="F172" i="3"/>
  <c r="F171" i="3"/>
  <c r="F169" i="3"/>
  <c r="F168" i="3"/>
  <c r="F165" i="3"/>
  <c r="F164" i="3"/>
  <c r="F163" i="3"/>
  <c r="F161" i="3"/>
  <c r="F159" i="3"/>
  <c r="F155" i="3"/>
  <c r="F154" i="3"/>
  <c r="F153" i="3"/>
  <c r="F150" i="3"/>
  <c r="F149" i="3"/>
  <c r="F147" i="3"/>
  <c r="F146" i="3"/>
  <c r="F144" i="3"/>
  <c r="F138" i="3"/>
  <c r="F137" i="3"/>
  <c r="F117" i="3"/>
  <c r="F115" i="3"/>
  <c r="F112" i="3"/>
  <c r="F110" i="3"/>
  <c r="F100" i="3"/>
  <c r="F96" i="3"/>
  <c r="F93" i="3"/>
  <c r="F83" i="3"/>
  <c r="F78" i="3"/>
  <c r="F76" i="3"/>
  <c r="F63" i="3"/>
  <c r="F61" i="3"/>
  <c r="F58" i="3"/>
  <c r="F57" i="3"/>
  <c r="F56" i="3"/>
  <c r="F54" i="3"/>
  <c r="F53" i="3"/>
  <c r="F44" i="3"/>
  <c r="F42" i="3"/>
  <c r="F39" i="3"/>
  <c r="F38" i="3"/>
  <c r="F37" i="3"/>
  <c r="F36" i="3"/>
  <c r="F34" i="3"/>
  <c r="G16" i="3"/>
  <c r="H16" i="3" s="1"/>
  <c r="H10" i="3"/>
  <c r="F10" i="3"/>
  <c r="D2" i="3"/>
  <c r="AK49" i="2"/>
  <c r="G221" i="3"/>
  <c r="D30" i="2"/>
  <c r="C30" i="2"/>
  <c r="G29" i="2"/>
  <c r="I29" i="2" s="1"/>
  <c r="J29" i="2" s="1"/>
  <c r="K29" i="2" s="1"/>
  <c r="E29" i="2"/>
  <c r="F29" i="2" s="1"/>
  <c r="G28" i="2"/>
  <c r="E28" i="2"/>
  <c r="F28" i="2" s="1"/>
  <c r="G27" i="2"/>
  <c r="H27" i="2" s="1"/>
  <c r="E27" i="2"/>
  <c r="F27" i="2" s="1"/>
  <c r="G26" i="2"/>
  <c r="E26" i="2"/>
  <c r="F26" i="2" s="1"/>
  <c r="G24" i="2"/>
  <c r="E24" i="2"/>
  <c r="F24" i="2" s="1"/>
  <c r="G23" i="2"/>
  <c r="H23" i="2" s="1"/>
  <c r="E23" i="2"/>
  <c r="F23" i="2" s="1"/>
  <c r="G22" i="2"/>
  <c r="E22" i="2"/>
  <c r="F22" i="2" s="1"/>
  <c r="I21" i="2"/>
  <c r="J21" i="2" s="1"/>
  <c r="K21" i="2" s="1"/>
  <c r="H21" i="2"/>
  <c r="F21" i="2"/>
  <c r="G20" i="2"/>
  <c r="I20" i="2" s="1"/>
  <c r="J20" i="2" s="1"/>
  <c r="K20" i="2" s="1"/>
  <c r="E20" i="2"/>
  <c r="F20" i="2" s="1"/>
  <c r="G18" i="2"/>
  <c r="E18" i="2"/>
  <c r="F18" i="2" s="1"/>
  <c r="G17" i="2"/>
  <c r="H17" i="2" s="1"/>
  <c r="E17" i="2"/>
  <c r="F17" i="2" s="1"/>
  <c r="G16" i="2"/>
  <c r="E16" i="2"/>
  <c r="F16" i="2" s="1"/>
  <c r="G15" i="2"/>
  <c r="E15" i="2"/>
  <c r="H15" i="2" s="1"/>
  <c r="G14" i="2"/>
  <c r="I14" i="2" s="1"/>
  <c r="J14" i="2" s="1"/>
  <c r="E14" i="2"/>
  <c r="F14" i="2" s="1"/>
  <c r="A14" i="2"/>
  <c r="A15" i="2" s="1"/>
  <c r="A16" i="2" s="1"/>
  <c r="G13" i="2"/>
  <c r="E13" i="2"/>
  <c r="F13" i="2" s="1"/>
  <c r="G12" i="2"/>
  <c r="E12" i="2"/>
  <c r="F12" i="2" s="1"/>
  <c r="G11" i="2"/>
  <c r="E11" i="2"/>
  <c r="F11" i="2" s="1"/>
  <c r="A11" i="2"/>
  <c r="H10" i="2"/>
  <c r="G10" i="2"/>
  <c r="E10" i="2"/>
  <c r="F10" i="2" s="1"/>
  <c r="F7" i="2"/>
  <c r="G4" i="2"/>
  <c r="P240" i="1"/>
  <c r="L182" i="1"/>
  <c r="O52" i="1"/>
  <c r="G165" i="3" l="1"/>
  <c r="H165" i="3" s="1"/>
  <c r="G70" i="3"/>
  <c r="H70" i="3" s="1"/>
  <c r="G32" i="3"/>
  <c r="H32" i="3" s="1"/>
  <c r="G15" i="3"/>
  <c r="H15" i="3" s="1"/>
  <c r="G128" i="3"/>
  <c r="H128" i="3" s="1"/>
  <c r="G181" i="3"/>
  <c r="H181" i="3" s="1"/>
  <c r="G20" i="3"/>
  <c r="H20" i="3" s="1"/>
  <c r="G24" i="3"/>
  <c r="H24" i="3" s="1"/>
  <c r="G26" i="3"/>
  <c r="H26" i="3" s="1"/>
  <c r="G173" i="3"/>
  <c r="H173" i="3" s="1"/>
  <c r="G31" i="3"/>
  <c r="H31" i="3" s="1"/>
  <c r="G50" i="3"/>
  <c r="H50" i="3" s="1"/>
  <c r="G57" i="3"/>
  <c r="H57" i="3" s="1"/>
  <c r="G66" i="3"/>
  <c r="H66" i="3" s="1"/>
  <c r="G126" i="3"/>
  <c r="H126" i="3" s="1"/>
  <c r="G18" i="3"/>
  <c r="H18" i="3" s="1"/>
  <c r="G30" i="3"/>
  <c r="H30" i="3" s="1"/>
  <c r="G69" i="3"/>
  <c r="H69" i="3" s="1"/>
  <c r="G87" i="3"/>
  <c r="H87" i="3" s="1"/>
  <c r="G99" i="3"/>
  <c r="H99" i="3" s="1"/>
  <c r="G103" i="3"/>
  <c r="H103" i="3" s="1"/>
  <c r="G106" i="3"/>
  <c r="H106" i="3" s="1"/>
  <c r="G108" i="3"/>
  <c r="H108" i="3" s="1"/>
  <c r="G120" i="3"/>
  <c r="H120" i="3" s="1"/>
  <c r="G135" i="3"/>
  <c r="H135" i="3" s="1"/>
  <c r="G140" i="3"/>
  <c r="H140" i="3" s="1"/>
  <c r="G12" i="3"/>
  <c r="H12" i="3" s="1"/>
  <c r="G68" i="3"/>
  <c r="H68" i="3" s="1"/>
  <c r="G125" i="3"/>
  <c r="H125" i="3" s="1"/>
  <c r="G130" i="3"/>
  <c r="H130" i="3" s="1"/>
  <c r="G171" i="3"/>
  <c r="H171" i="3" s="1"/>
  <c r="G177" i="3"/>
  <c r="H177" i="3" s="1"/>
  <c r="G48" i="3"/>
  <c r="H48" i="3" s="1"/>
  <c r="G97" i="3"/>
  <c r="H97" i="3" s="1"/>
  <c r="G124" i="3"/>
  <c r="H124" i="3" s="1"/>
  <c r="G169" i="3"/>
  <c r="H169" i="3" s="1"/>
  <c r="G189" i="3"/>
  <c r="H189" i="3" s="1"/>
  <c r="G201" i="3"/>
  <c r="H201" i="3" s="1"/>
  <c r="G203" i="3"/>
  <c r="H203" i="3" s="1"/>
  <c r="G209" i="3"/>
  <c r="H209" i="3" s="1"/>
  <c r="G72" i="3"/>
  <c r="H72" i="3" s="1"/>
  <c r="G85" i="3"/>
  <c r="H85" i="3" s="1"/>
  <c r="G132" i="3"/>
  <c r="H132" i="3" s="1"/>
  <c r="G185" i="3"/>
  <c r="H185" i="3" s="1"/>
  <c r="G193" i="3"/>
  <c r="G22" i="3"/>
  <c r="H22" i="3" s="1"/>
  <c r="G80" i="3"/>
  <c r="H80" i="3" s="1"/>
  <c r="G95" i="3"/>
  <c r="H95" i="3" s="1"/>
  <c r="G101" i="3"/>
  <c r="H101" i="3" s="1"/>
  <c r="G46" i="3"/>
  <c r="H46" i="3" s="1"/>
  <c r="G205" i="3"/>
  <c r="H205" i="3" s="1"/>
  <c r="G213" i="3"/>
  <c r="H213" i="3" s="1"/>
  <c r="G28" i="3"/>
  <c r="H28" i="3" s="1"/>
  <c r="G91" i="3"/>
  <c r="H91" i="3" s="1"/>
  <c r="G142" i="3"/>
  <c r="H142" i="3" s="1"/>
  <c r="G14" i="3"/>
  <c r="H14" i="3" s="1"/>
  <c r="G122" i="3"/>
  <c r="H122" i="3" s="1"/>
  <c r="E25" i="2"/>
  <c r="G11" i="3"/>
  <c r="H11" i="3" s="1"/>
  <c r="G27" i="3"/>
  <c r="H27" i="3" s="1"/>
  <c r="G40" i="3"/>
  <c r="H40" i="3" s="1"/>
  <c r="F41" i="3"/>
  <c r="F52" i="3"/>
  <c r="F60" i="3"/>
  <c r="G65" i="3"/>
  <c r="H65" i="3" s="1"/>
  <c r="G77" i="3"/>
  <c r="H77" i="3" s="1"/>
  <c r="G116" i="3"/>
  <c r="H116" i="3" s="1"/>
  <c r="G121" i="3"/>
  <c r="H121" i="3" s="1"/>
  <c r="G141" i="3"/>
  <c r="H141" i="3" s="1"/>
  <c r="G148" i="3"/>
  <c r="H148" i="3" s="1"/>
  <c r="G156" i="3"/>
  <c r="H156" i="3" s="1"/>
  <c r="F157" i="3"/>
  <c r="G160" i="3"/>
  <c r="H160" i="3" s="1"/>
  <c r="G166" i="3"/>
  <c r="H166" i="3" s="1"/>
  <c r="F167" i="3"/>
  <c r="G179" i="3"/>
  <c r="H179" i="3" s="1"/>
  <c r="G198" i="3"/>
  <c r="H198" i="3" s="1"/>
  <c r="F199" i="3"/>
  <c r="G211" i="3"/>
  <c r="H211" i="3" s="1"/>
  <c r="F212" i="3"/>
  <c r="H14" i="2"/>
  <c r="G25" i="2"/>
  <c r="G17" i="3"/>
  <c r="H17" i="3" s="1"/>
  <c r="G33" i="3"/>
  <c r="H33" i="3" s="1"/>
  <c r="G41" i="3"/>
  <c r="H41" i="3" s="1"/>
  <c r="G52" i="3"/>
  <c r="H52" i="3" s="1"/>
  <c r="G60" i="3"/>
  <c r="H60" i="3" s="1"/>
  <c r="G71" i="3"/>
  <c r="H71" i="3" s="1"/>
  <c r="G78" i="3"/>
  <c r="H78" i="3" s="1"/>
  <c r="G109" i="3"/>
  <c r="H109" i="3" s="1"/>
  <c r="G117" i="3"/>
  <c r="H117" i="3" s="1"/>
  <c r="F118" i="3"/>
  <c r="G127" i="3"/>
  <c r="H127" i="3" s="1"/>
  <c r="G137" i="3"/>
  <c r="H137" i="3" s="1"/>
  <c r="G149" i="3"/>
  <c r="H149" i="3" s="1"/>
  <c r="G157" i="3"/>
  <c r="H157" i="3" s="1"/>
  <c r="F158" i="3"/>
  <c r="G186" i="3"/>
  <c r="H186" i="3" s="1"/>
  <c r="G199" i="3"/>
  <c r="H199" i="3" s="1"/>
  <c r="F200" i="3"/>
  <c r="F213" i="3"/>
  <c r="G23" i="3"/>
  <c r="H23" i="3" s="1"/>
  <c r="F35" i="3"/>
  <c r="F43" i="3"/>
  <c r="G47" i="3"/>
  <c r="H47" i="3" s="1"/>
  <c r="G53" i="3"/>
  <c r="H53" i="3" s="1"/>
  <c r="G61" i="3"/>
  <c r="H61" i="3" s="1"/>
  <c r="F62" i="3"/>
  <c r="G90" i="3"/>
  <c r="H90" i="3" s="1"/>
  <c r="F97" i="3"/>
  <c r="F111" i="3"/>
  <c r="G118" i="3"/>
  <c r="H118" i="3" s="1"/>
  <c r="F119" i="3"/>
  <c r="G133" i="3"/>
  <c r="H133" i="3" s="1"/>
  <c r="F134" i="3"/>
  <c r="G138" i="3"/>
  <c r="H138" i="3" s="1"/>
  <c r="F143" i="3"/>
  <c r="F151" i="3"/>
  <c r="G187" i="3"/>
  <c r="H187" i="3" s="1"/>
  <c r="F207" i="3"/>
  <c r="F15" i="2"/>
  <c r="H18" i="2"/>
  <c r="H22" i="2"/>
  <c r="H26" i="2"/>
  <c r="G13" i="3"/>
  <c r="H13" i="3" s="1"/>
  <c r="G29" i="3"/>
  <c r="H29" i="3" s="1"/>
  <c r="F55" i="3"/>
  <c r="G67" i="3"/>
  <c r="H67" i="3" s="1"/>
  <c r="G84" i="3"/>
  <c r="H84" i="3" s="1"/>
  <c r="G123" i="3"/>
  <c r="H123" i="3" s="1"/>
  <c r="F152" i="3"/>
  <c r="G162" i="3"/>
  <c r="H162" i="3" s="1"/>
  <c r="G175" i="3"/>
  <c r="H175" i="3" s="1"/>
  <c r="F176" i="3"/>
  <c r="F195" i="3"/>
  <c r="G207" i="3"/>
  <c r="H207" i="3" s="1"/>
  <c r="F208" i="3"/>
  <c r="G19" i="3"/>
  <c r="H19" i="3" s="1"/>
  <c r="G36" i="3"/>
  <c r="H36" i="3" s="1"/>
  <c r="G44" i="3"/>
  <c r="H44" i="3" s="1"/>
  <c r="F64" i="3"/>
  <c r="G73" i="3"/>
  <c r="H73" i="3" s="1"/>
  <c r="F74" i="3"/>
  <c r="G79" i="3"/>
  <c r="H79" i="3" s="1"/>
  <c r="G102" i="3"/>
  <c r="H102" i="3" s="1"/>
  <c r="G112" i="3"/>
  <c r="H112" i="3" s="1"/>
  <c r="F113" i="3"/>
  <c r="G129" i="3"/>
  <c r="H129" i="3" s="1"/>
  <c r="G144" i="3"/>
  <c r="H144" i="3" s="1"/>
  <c r="F145" i="3"/>
  <c r="G152" i="3"/>
  <c r="H152" i="3" s="1"/>
  <c r="G163" i="3"/>
  <c r="H163" i="3" s="1"/>
  <c r="G182" i="3"/>
  <c r="H182" i="3" s="1"/>
  <c r="G195" i="3"/>
  <c r="H195" i="3" s="1"/>
  <c r="F196" i="3"/>
  <c r="G214" i="3"/>
  <c r="H214" i="3" s="1"/>
  <c r="G25" i="3"/>
  <c r="H25" i="3" s="1"/>
  <c r="G37" i="3"/>
  <c r="H37" i="3" s="1"/>
  <c r="G49" i="3"/>
  <c r="H49" i="3" s="1"/>
  <c r="G56" i="3"/>
  <c r="H56" i="3" s="1"/>
  <c r="G64" i="3"/>
  <c r="H64" i="3" s="1"/>
  <c r="G74" i="3"/>
  <c r="H74" i="3" s="1"/>
  <c r="F75" i="3"/>
  <c r="F99" i="3"/>
  <c r="G107" i="3"/>
  <c r="H107" i="3" s="1"/>
  <c r="F108" i="3"/>
  <c r="G113" i="3"/>
  <c r="H113" i="3" s="1"/>
  <c r="F114" i="3"/>
  <c r="G139" i="3"/>
  <c r="H139" i="3" s="1"/>
  <c r="G145" i="3"/>
  <c r="H145" i="3" s="1"/>
  <c r="G153" i="3"/>
  <c r="H153" i="3" s="1"/>
  <c r="G159" i="3"/>
  <c r="H159" i="3" s="1"/>
  <c r="G170" i="3"/>
  <c r="H170" i="3" s="1"/>
  <c r="G183" i="3"/>
  <c r="H183" i="3" s="1"/>
  <c r="F184" i="3"/>
  <c r="G202" i="3"/>
  <c r="H202" i="3" s="1"/>
  <c r="F203" i="3"/>
  <c r="G215" i="3"/>
  <c r="H215" i="3" s="1"/>
  <c r="H16" i="2"/>
  <c r="H24" i="2"/>
  <c r="H28" i="2"/>
  <c r="G21" i="3"/>
  <c r="H21" i="3" s="1"/>
  <c r="F40" i="3"/>
  <c r="G45" i="3"/>
  <c r="H45" i="3" s="1"/>
  <c r="F51" i="3"/>
  <c r="F59" i="3"/>
  <c r="F77" i="3"/>
  <c r="G81" i="3"/>
  <c r="H81" i="3" s="1"/>
  <c r="F82" i="3"/>
  <c r="G94" i="3"/>
  <c r="H94" i="3" s="1"/>
  <c r="G104" i="3"/>
  <c r="H104" i="3" s="1"/>
  <c r="F105" i="3"/>
  <c r="F116" i="3"/>
  <c r="G131" i="3"/>
  <c r="H131" i="3" s="1"/>
  <c r="F136" i="3"/>
  <c r="F148" i="3"/>
  <c r="F156" i="3"/>
  <c r="F173" i="3"/>
  <c r="F179" i="3"/>
  <c r="G191" i="3"/>
  <c r="H191" i="3" s="1"/>
  <c r="F192" i="3"/>
  <c r="F205" i="3"/>
  <c r="F211" i="3"/>
  <c r="G34" i="3"/>
  <c r="H34" i="3" s="1"/>
  <c r="H25" i="2"/>
  <c r="G110" i="3"/>
  <c r="H110" i="3" s="1"/>
  <c r="G114" i="3"/>
  <c r="H114" i="3" s="1"/>
  <c r="G38" i="3"/>
  <c r="H38" i="3" s="1"/>
  <c r="G42" i="3"/>
  <c r="H42" i="3" s="1"/>
  <c r="G54" i="3"/>
  <c r="H54" i="3" s="1"/>
  <c r="G58" i="3"/>
  <c r="H58" i="3" s="1"/>
  <c r="G62" i="3"/>
  <c r="H62" i="3" s="1"/>
  <c r="G75" i="3"/>
  <c r="H75" i="3" s="1"/>
  <c r="G82" i="3"/>
  <c r="H82" i="3" s="1"/>
  <c r="G89" i="3"/>
  <c r="H89" i="3" s="1"/>
  <c r="G105" i="3"/>
  <c r="H105" i="3" s="1"/>
  <c r="G134" i="3"/>
  <c r="H134" i="3" s="1"/>
  <c r="G143" i="3"/>
  <c r="H143" i="3" s="1"/>
  <c r="G147" i="3"/>
  <c r="H147" i="3" s="1"/>
  <c r="G151" i="3"/>
  <c r="H151" i="3" s="1"/>
  <c r="G155" i="3"/>
  <c r="H155" i="3" s="1"/>
  <c r="G174" i="3"/>
  <c r="H174" i="3" s="1"/>
  <c r="G190" i="3"/>
  <c r="H190" i="3" s="1"/>
  <c r="G206" i="3"/>
  <c r="H206" i="3" s="1"/>
  <c r="G19" i="2"/>
  <c r="G35" i="3"/>
  <c r="H35" i="3" s="1"/>
  <c r="G39" i="3"/>
  <c r="H39" i="3" s="1"/>
  <c r="G43" i="3"/>
  <c r="H43" i="3" s="1"/>
  <c r="G51" i="3"/>
  <c r="H51" i="3" s="1"/>
  <c r="G55" i="3"/>
  <c r="H55" i="3" s="1"/>
  <c r="G59" i="3"/>
  <c r="H59" i="3" s="1"/>
  <c r="G63" i="3"/>
  <c r="H63" i="3" s="1"/>
  <c r="G76" i="3"/>
  <c r="H76" i="3" s="1"/>
  <c r="G83" i="3"/>
  <c r="H83" i="3" s="1"/>
  <c r="G93" i="3"/>
  <c r="H93" i="3" s="1"/>
  <c r="G98" i="3"/>
  <c r="H98" i="3" s="1"/>
  <c r="H12" i="2"/>
  <c r="I216" i="3"/>
  <c r="F12" i="3"/>
  <c r="F14" i="3"/>
  <c r="F16" i="3"/>
  <c r="F18" i="3"/>
  <c r="F20" i="3"/>
  <c r="F22" i="3"/>
  <c r="F24" i="3"/>
  <c r="F26" i="3"/>
  <c r="F28" i="3"/>
  <c r="F30" i="3"/>
  <c r="F32" i="3"/>
  <c r="F45" i="3"/>
  <c r="F47" i="3"/>
  <c r="F49" i="3"/>
  <c r="F66" i="3"/>
  <c r="F68" i="3"/>
  <c r="F70" i="3"/>
  <c r="F72" i="3"/>
  <c r="F79" i="3"/>
  <c r="F81" i="3"/>
  <c r="F85" i="3"/>
  <c r="G86" i="3"/>
  <c r="H86" i="3" s="1"/>
  <c r="F91" i="3"/>
  <c r="G92" i="3"/>
  <c r="H92" i="3" s="1"/>
  <c r="F98" i="3"/>
  <c r="G100" i="3"/>
  <c r="H100" i="3" s="1"/>
  <c r="G111" i="3"/>
  <c r="H111" i="3" s="1"/>
  <c r="G115" i="3"/>
  <c r="H115" i="3" s="1"/>
  <c r="G119" i="3"/>
  <c r="H119" i="3" s="1"/>
  <c r="G136" i="3"/>
  <c r="H136" i="3" s="1"/>
  <c r="G146" i="3"/>
  <c r="H146" i="3" s="1"/>
  <c r="G150" i="3"/>
  <c r="H150" i="3" s="1"/>
  <c r="G154" i="3"/>
  <c r="H154" i="3" s="1"/>
  <c r="G158" i="3"/>
  <c r="H158" i="3" s="1"/>
  <c r="G161" i="3"/>
  <c r="H161" i="3" s="1"/>
  <c r="G167" i="3"/>
  <c r="H167" i="3" s="1"/>
  <c r="H11" i="2"/>
  <c r="H13" i="2"/>
  <c r="E19" i="2"/>
  <c r="F19" i="2" s="1"/>
  <c r="F11" i="3"/>
  <c r="F13" i="3"/>
  <c r="F15" i="3"/>
  <c r="F17" i="3"/>
  <c r="F19" i="3"/>
  <c r="F21" i="3"/>
  <c r="F23" i="3"/>
  <c r="F25" i="3"/>
  <c r="F27" i="3"/>
  <c r="F29" i="3"/>
  <c r="F31" i="3"/>
  <c r="F33" i="3"/>
  <c r="F46" i="3"/>
  <c r="F48" i="3"/>
  <c r="F50" i="3"/>
  <c r="F65" i="3"/>
  <c r="F67" i="3"/>
  <c r="F69" i="3"/>
  <c r="F71" i="3"/>
  <c r="F73" i="3"/>
  <c r="F80" i="3"/>
  <c r="F89" i="3"/>
  <c r="G96" i="3"/>
  <c r="H96" i="3" s="1"/>
  <c r="G178" i="3"/>
  <c r="H178" i="3" s="1"/>
  <c r="G194" i="3"/>
  <c r="H194" i="3" s="1"/>
  <c r="G210" i="3"/>
  <c r="H210" i="3" s="1"/>
  <c r="F101" i="3"/>
  <c r="F103" i="3"/>
  <c r="F106" i="3"/>
  <c r="F109" i="3"/>
  <c r="F120" i="3"/>
  <c r="F122" i="3"/>
  <c r="F124" i="3"/>
  <c r="F126" i="3"/>
  <c r="F128" i="3"/>
  <c r="F130" i="3"/>
  <c r="F132" i="3"/>
  <c r="F135" i="3"/>
  <c r="F140" i="3"/>
  <c r="F142" i="3"/>
  <c r="F160" i="3"/>
  <c r="F166" i="3"/>
  <c r="G168" i="3"/>
  <c r="H168" i="3" s="1"/>
  <c r="F174" i="3"/>
  <c r="G176" i="3"/>
  <c r="H176" i="3" s="1"/>
  <c r="F182" i="3"/>
  <c r="G184" i="3"/>
  <c r="H184" i="3" s="1"/>
  <c r="F190" i="3"/>
  <c r="G192" i="3"/>
  <c r="H192" i="3" s="1"/>
  <c r="F198" i="3"/>
  <c r="G200" i="3"/>
  <c r="H200" i="3" s="1"/>
  <c r="F206" i="3"/>
  <c r="G208" i="3"/>
  <c r="H208" i="3" s="1"/>
  <c r="F214" i="3"/>
  <c r="F87" i="3"/>
  <c r="G88" i="3"/>
  <c r="H88" i="3" s="1"/>
  <c r="F95" i="3"/>
  <c r="F102" i="3"/>
  <c r="F104" i="3"/>
  <c r="F107" i="3"/>
  <c r="F121" i="3"/>
  <c r="F123" i="3"/>
  <c r="F125" i="3"/>
  <c r="F127" i="3"/>
  <c r="F129" i="3"/>
  <c r="F131" i="3"/>
  <c r="F133" i="3"/>
  <c r="F139" i="3"/>
  <c r="F141" i="3"/>
  <c r="F162" i="3"/>
  <c r="G164" i="3"/>
  <c r="H164" i="3" s="1"/>
  <c r="F170" i="3"/>
  <c r="G172" i="3"/>
  <c r="H172" i="3" s="1"/>
  <c r="F178" i="3"/>
  <c r="G180" i="3"/>
  <c r="H180" i="3" s="1"/>
  <c r="F186" i="3"/>
  <c r="G188" i="3"/>
  <c r="H188" i="3" s="1"/>
  <c r="F194" i="3"/>
  <c r="G196" i="3"/>
  <c r="H196" i="3" s="1"/>
  <c r="F202" i="3"/>
  <c r="G204" i="3"/>
  <c r="H204" i="3" s="1"/>
  <c r="F210" i="3"/>
  <c r="G212" i="3"/>
  <c r="H212" i="3" s="1"/>
  <c r="H227" i="1"/>
  <c r="J30" i="2"/>
  <c r="K14" i="2"/>
  <c r="G7" i="2"/>
  <c r="E9" i="2"/>
  <c r="G9" i="2"/>
  <c r="H20" i="2"/>
  <c r="H29" i="2"/>
  <c r="J216" i="3"/>
  <c r="L216" i="3"/>
  <c r="N216" i="3"/>
  <c r="P216" i="3"/>
  <c r="R216" i="3"/>
  <c r="T216" i="3"/>
  <c r="V216" i="3"/>
  <c r="X216" i="3"/>
  <c r="Z216" i="3"/>
  <c r="AB216" i="3"/>
  <c r="AD216" i="3"/>
  <c r="AF216" i="3"/>
  <c r="AH216" i="3"/>
  <c r="AJ216" i="3"/>
  <c r="AL216" i="3"/>
  <c r="K216" i="3"/>
  <c r="M216" i="3"/>
  <c r="O216" i="3"/>
  <c r="Q216" i="3"/>
  <c r="S216" i="3"/>
  <c r="U216" i="3"/>
  <c r="W216" i="3"/>
  <c r="Y216" i="3"/>
  <c r="AA216" i="3"/>
  <c r="AC216" i="3"/>
  <c r="AE216" i="3"/>
  <c r="AG216" i="3"/>
  <c r="AI216" i="3"/>
  <c r="AK216" i="3"/>
  <c r="AM216" i="3"/>
  <c r="F193" i="3"/>
  <c r="F84" i="3"/>
  <c r="F86" i="3"/>
  <c r="F88" i="3"/>
  <c r="F90" i="3"/>
  <c r="F92" i="3"/>
  <c r="F94" i="3"/>
  <c r="H193" i="3"/>
  <c r="H19" i="2" l="1"/>
  <c r="F25" i="2"/>
  <c r="H220" i="1"/>
  <c r="H216" i="3"/>
  <c r="J220" i="1"/>
  <c r="F216" i="3"/>
  <c r="F225" i="3" s="1"/>
  <c r="F220" i="1"/>
  <c r="F9" i="2"/>
  <c r="K30" i="2"/>
  <c r="F8" i="2"/>
  <c r="F30" i="2" s="1"/>
  <c r="J31" i="2"/>
  <c r="H9" i="2"/>
  <c r="J221" i="1" l="1"/>
  <c r="H221" i="1"/>
  <c r="G219" i="3"/>
  <c r="H220" i="3"/>
</calcChain>
</file>

<file path=xl/sharedStrings.xml><?xml version="1.0" encoding="utf-8"?>
<sst xmlns="http://schemas.openxmlformats.org/spreadsheetml/2006/main" count="1563" uniqueCount="723">
  <si>
    <t xml:space="preserve">Date     :  </t>
  </si>
  <si>
    <t xml:space="preserve">ENGINEER    :  </t>
  </si>
  <si>
    <t>Boq NO</t>
  </si>
  <si>
    <t xml:space="preserve">Activity </t>
  </si>
  <si>
    <t>Unit</t>
  </si>
  <si>
    <t>Today's Progress</t>
  </si>
  <si>
    <t>Cumulative Progress for the month</t>
  </si>
  <si>
    <t>Rev.Asking rate</t>
  </si>
  <si>
    <t>Quantity</t>
  </si>
  <si>
    <t>Amount</t>
  </si>
  <si>
    <t>Preliminaries</t>
  </si>
  <si>
    <t>1.3.5(i)a</t>
  </si>
  <si>
    <t>Soil Investigation and report</t>
  </si>
  <si>
    <t>LS</t>
  </si>
  <si>
    <t>1.3.5(i)b</t>
  </si>
  <si>
    <t>Setting up at bore hole position for test up to 30m</t>
  </si>
  <si>
    <t>Nr.</t>
  </si>
  <si>
    <t>1.3.5(i)c</t>
  </si>
  <si>
    <t>Setting up at bore hole position for test up to 10m</t>
  </si>
  <si>
    <t>1.3.5(i)d</t>
  </si>
  <si>
    <t>Rotary core drilling up to 30m deep</t>
  </si>
  <si>
    <t>lin.m.</t>
  </si>
  <si>
    <t>1.3.5(i)e</t>
  </si>
  <si>
    <t>Establish Location and excavate test pit 3m deep</t>
  </si>
  <si>
    <t>1.3.5(ii)</t>
  </si>
  <si>
    <t>Design and approvel of IC construction</t>
  </si>
  <si>
    <t>1.4.3(i)</t>
  </si>
  <si>
    <t xml:space="preserve">Mobilization and demobilization </t>
  </si>
  <si>
    <t>1.4.3(ii)</t>
  </si>
  <si>
    <t xml:space="preserve">Maintenance of Contractor's site facilities  </t>
  </si>
  <si>
    <t>Month</t>
  </si>
  <si>
    <t>1.7.6(i)a</t>
  </si>
  <si>
    <t xml:space="preserve">Maintenance and Protection of Traffic </t>
  </si>
  <si>
    <t>1.7.6(ii)</t>
  </si>
  <si>
    <t>Sub-base on diversions</t>
  </si>
  <si>
    <t>Cum</t>
  </si>
  <si>
    <t>1.7.6(iii)</t>
  </si>
  <si>
    <t xml:space="preserve">Bituminous base course on diversions </t>
  </si>
  <si>
    <t>1.7.6(iv)</t>
  </si>
  <si>
    <t>Prime coat</t>
  </si>
  <si>
    <t>Kg</t>
  </si>
  <si>
    <t>1.10.6(i)</t>
  </si>
  <si>
    <t>Provision of 5 sets of photographs (294X210mm)</t>
  </si>
  <si>
    <t>1.10.6(ii)</t>
  </si>
  <si>
    <t>Provision of two sets of Video recordings as specified</t>
  </si>
  <si>
    <t>1.11.8(i)</t>
  </si>
  <si>
    <t>As-buit drawings, record drawings, record  etc.4</t>
  </si>
  <si>
    <t>1.14.7(i)</t>
  </si>
  <si>
    <t>project signboards (Alluminium)</t>
  </si>
  <si>
    <t>1.15.4(i)</t>
  </si>
  <si>
    <t xml:space="preserve">Provision and erection of commemorative plaque </t>
  </si>
  <si>
    <t>1.15.4(ii)</t>
  </si>
  <si>
    <t>Opening ceremony including all facilitities</t>
  </si>
  <si>
    <t>2.1.5(i)</t>
  </si>
  <si>
    <t>Clear site of all trees less than 300mm</t>
  </si>
  <si>
    <t>Sq.m</t>
  </si>
  <si>
    <t>2.1.5(ii)</t>
  </si>
  <si>
    <t>Removal and delivery or disposal of trees 300mm truck dia. or greater</t>
  </si>
  <si>
    <t>2.2.5(ii)</t>
  </si>
  <si>
    <t>Removal of reinforced concrete.</t>
  </si>
  <si>
    <t>Cu.m.</t>
  </si>
  <si>
    <t>2.2.5(v)</t>
  </si>
  <si>
    <t>Removal of Concrete Curbs</t>
  </si>
  <si>
    <t>2.2.5(vi)</t>
  </si>
  <si>
    <t>Removal of interlocking tiles.</t>
  </si>
  <si>
    <t>2.2.5(viii)</t>
  </si>
  <si>
    <t xml:space="preserve">Removal and disposal  of bituminous pavement </t>
  </si>
  <si>
    <t>2.2.5(x)</t>
  </si>
  <si>
    <t>Removal of steel safety barrier</t>
  </si>
  <si>
    <t>2.2.5(xii)a</t>
  </si>
  <si>
    <t>Removal of signboards- single post-including foundation</t>
  </si>
  <si>
    <t>2.2.5(xii)b</t>
  </si>
  <si>
    <t>Removal of signboards- Multiple posts-including foundation</t>
  </si>
  <si>
    <t>2.2.5(xviii)</t>
  </si>
  <si>
    <t xml:space="preserve">Removal of  drainage protection works in mortared rip-rap,loose riprap,gabion etc.  to any thickness at  Culverts, embankments,channel, floodways  etc </t>
  </si>
  <si>
    <t>2.2.5(xxvi)</t>
  </si>
  <si>
    <t>Removal of single arm lighting poles,cables and foundation including termination,shut down etc and store for reuse.</t>
  </si>
  <si>
    <t>2.3.6(i)</t>
  </si>
  <si>
    <t>Unclassified excavation</t>
  </si>
  <si>
    <t>2.4.6(i)a1</t>
  </si>
  <si>
    <t>Borrow excavation to embankment-Extraction and screening</t>
  </si>
  <si>
    <t>2.4.6(i)a2</t>
  </si>
  <si>
    <t>Borrow excavation to embankment-Transportation</t>
  </si>
  <si>
    <t>2.4.6(i)a3</t>
  </si>
  <si>
    <t>Borrow excavation to Embankment-Hauling and compaction</t>
  </si>
  <si>
    <t>2.6.6(i)</t>
  </si>
  <si>
    <t>Subgrade preparation in cut</t>
  </si>
  <si>
    <t>Sqm</t>
  </si>
  <si>
    <t>2.7.6(i)</t>
  </si>
  <si>
    <t>Unclassified structural excavation (depth 0m to 2.0m)</t>
  </si>
  <si>
    <t>2.7.6(ii)</t>
  </si>
  <si>
    <t>Unclassified structural excavation (depth &gt;2.0m to &lt;4.0m)</t>
  </si>
  <si>
    <t>2.7.6(iii)</t>
  </si>
  <si>
    <t>Unclassified structural excavation (depth ≥ 4.0m)</t>
  </si>
  <si>
    <t>2.7.6(iv)</t>
  </si>
  <si>
    <t>Unclassified structural excavation (under water)</t>
  </si>
  <si>
    <t>2.8.6(i)</t>
  </si>
  <si>
    <t>Trench excavation and Backfill depth (depth 0 to 2.0m)</t>
  </si>
  <si>
    <t>2.8.6(ii)</t>
  </si>
  <si>
    <t>Trench excavation and Backfill depth (depth &gt; 2.0m to ≤ 3.0m)</t>
  </si>
  <si>
    <t>3.2.6(ii)1</t>
  </si>
  <si>
    <t>GSB (Class B)-Extraction and Screening</t>
  </si>
  <si>
    <t>3.2.6(ii)2</t>
  </si>
  <si>
    <t>GSB (Class B)-Transportation</t>
  </si>
  <si>
    <t>3.2.6(ii)3</t>
  </si>
  <si>
    <t>GSB (Class B)-Hauling and compaction</t>
  </si>
  <si>
    <t>3.3.6(ii)1</t>
  </si>
  <si>
    <t>ABC  (Class A)-Extraction and Screening</t>
  </si>
  <si>
    <t>3.3.6(ii)2</t>
  </si>
  <si>
    <t>ABC  (Class A)-Crushing</t>
  </si>
  <si>
    <t>3.3.6(ii)3</t>
  </si>
  <si>
    <t>ABC (Class A)-Production, Hauling and Compaction</t>
  </si>
  <si>
    <t>ABC  (Class A)-Crushing &amp; Transportation (Al Adrak Material)</t>
  </si>
  <si>
    <t>4.2.8(i)</t>
  </si>
  <si>
    <t>Bituminous prime coat</t>
  </si>
  <si>
    <t>4.2.8(ii)</t>
  </si>
  <si>
    <t>Bituminous tack coat</t>
  </si>
  <si>
    <t>4.4.14(i)</t>
  </si>
  <si>
    <t>BBC - Production, Laying and Compaction (Class B)</t>
  </si>
  <si>
    <t>4.5.14(ii)</t>
  </si>
  <si>
    <t>BWC - Production, laying and Compaction (Class B)</t>
  </si>
  <si>
    <t>4.9.10(i)</t>
  </si>
  <si>
    <t>Surface milling (up to 50mm thick)</t>
  </si>
  <si>
    <t>4.10.6(i)</t>
  </si>
  <si>
    <t>Pavement Widening including unclassified excavation,  sub grade preparation, aggregate base course, bituminous wearing course, including saw cutting &amp; abutting, stepping as necessary, etc. all as per drawing, specification,carting away debris  and making good to match with existing.</t>
  </si>
  <si>
    <t>4.12.10(i)</t>
  </si>
  <si>
    <t>International roughness index. (IRI)</t>
  </si>
  <si>
    <t>5.1.7(i)a</t>
  </si>
  <si>
    <t>Concrete (Class15),blinding for culverts,Bridges, retaining walls,under/overpass foundations, mass concrete   etc.</t>
  </si>
  <si>
    <t>5.1.7(i)b</t>
  </si>
  <si>
    <t>Concrete Class30, for Box culvert  barrel, wing walls, apron slab, cut off walls, headwalls  etc</t>
  </si>
  <si>
    <t>5.1.7(i)c</t>
  </si>
  <si>
    <t>Concrete Class30, for retaining walls at bridge and for underpass/overpass etc(Provisional)</t>
  </si>
  <si>
    <t>5.1.7(i)d</t>
  </si>
  <si>
    <t>Concrete (class30), for Bridge foundation and Underpass/overpass, abutments, pier heads, return walls, approach slab, sump pits, columns etc..</t>
  </si>
  <si>
    <t>5.1.7(i)e</t>
  </si>
  <si>
    <t>Concrete (class35),for Bridge deck slab, cross heads, plinths, diaphragm beam, walkways, stair case steps and ramps, roof beams etc.</t>
  </si>
  <si>
    <t>5.1.7(i)f</t>
  </si>
  <si>
    <t>Concrete (class35),for Bridge deck slab precast planks1330 x 1000 &amp; 1350x1000,75mm thick placed between girders to required shape and size including joint finishing, lifting arrangements etc.</t>
  </si>
  <si>
    <t>5.1.7(i)g</t>
  </si>
  <si>
    <t>Concrete (class45) for prestressed deck slab with voids and other features etc complete at overpass</t>
  </si>
  <si>
    <t>5.1.7(i)h</t>
  </si>
  <si>
    <t>Extra over for forming voids and features  in deck slab</t>
  </si>
  <si>
    <t>5.1.7(i)ia</t>
  </si>
  <si>
    <t>Concrete (class42),for prestressed -precast beams-Precasting</t>
  </si>
  <si>
    <t>5.1.7(i)ib</t>
  </si>
  <si>
    <t>Concrete (class42),for prestressed -precast beams-Erection</t>
  </si>
  <si>
    <t>5.2.6(i)</t>
  </si>
  <si>
    <t>Mild steel bar reinforcement of any diameter with minimum yield strength 250 Mpa.</t>
  </si>
  <si>
    <t>tonne</t>
  </si>
  <si>
    <t>5.2.6(ii)b1</t>
  </si>
  <si>
    <t>HYSD min tensile strength 420 Mpa for  culverts, bridge decks, pier foundations, abutments, approach slab,underpas /overpass etc.</t>
  </si>
  <si>
    <t>5.2.6(ii)b2</t>
  </si>
  <si>
    <t>HYSD -Cutting, bending &amp; Tying</t>
  </si>
  <si>
    <t>5.2.6(iii)</t>
  </si>
  <si>
    <t>Fabric wire mesh reinforcement of any size</t>
  </si>
  <si>
    <t>5.4.6(ii)</t>
  </si>
  <si>
    <t>prestressing strands to BS 5896 with minimum ultimate strength 1860 Mpa, 1290 mm dia meter</t>
  </si>
  <si>
    <t>5.7.6(ii)</t>
  </si>
  <si>
    <t>Reinforced cement concrete pavement including reinforcement, expansion and construction joints etc..</t>
  </si>
  <si>
    <t>5.10.6(i)</t>
  </si>
  <si>
    <t>Bituminous paint 3coats to concrete face in contact with soil as instructed.</t>
  </si>
  <si>
    <t>5.10.6(ii)</t>
  </si>
  <si>
    <t>Water proofing/tack coat to bridge deck slab as per details.</t>
  </si>
  <si>
    <t>7.6(i)a</t>
  </si>
  <si>
    <t xml:space="preserve">Epoxy  Paint to  all exposed concrete faces, underside and sides of exposed surfaces of "I" girders, Deck slab, pier columns and underpass </t>
  </si>
  <si>
    <t>7.6(i)b</t>
  </si>
  <si>
    <t xml:space="preserve">Water resistant decorative type paint  to walls ,beams, columns including primer all </t>
  </si>
  <si>
    <t>8.1.6(ii)a</t>
  </si>
  <si>
    <t>Reinforced Precast Concrete Pipe Culvert (diameter 900mm)</t>
  </si>
  <si>
    <t>8.1.6(ii)b</t>
  </si>
  <si>
    <t>Reinforced Precast Concrete Pipe Culvert (diameter 800mm)</t>
  </si>
  <si>
    <t>8.2.6(i)a</t>
  </si>
  <si>
    <t>Storm sewer UPVC Pipe dia. 300 mm.including concrete surround</t>
  </si>
  <si>
    <t>8.2.6(i)b</t>
  </si>
  <si>
    <t>Storm sewer HDPE  Pipe dia. 400 mm.including concrete surround</t>
  </si>
  <si>
    <t>8.2.6(i)c</t>
  </si>
  <si>
    <t>Storm Sewer, HDPE Pipe (diameter 450mm) including concrete surrounding</t>
  </si>
  <si>
    <t>8.2.6(i)d</t>
  </si>
  <si>
    <t>Storm Sewer, HDPE Pipe (diameter 600mm) including concrete surrounding</t>
  </si>
  <si>
    <t>8.3.6(i)a</t>
  </si>
  <si>
    <t>Manhole chamber 1000mm x 1000mm internal size and depth up to 1200mm in concrete class 30 at roundabout including DI  cover.</t>
  </si>
  <si>
    <t>Nr</t>
  </si>
  <si>
    <t>8.3.6(i)b</t>
  </si>
  <si>
    <t>Manhole chamber 700mm x 700mm internal size and depth minimum 1200mm, in concrete class 30 at median including DI cover and gratings.</t>
  </si>
  <si>
    <t>8.3.6(i)c</t>
  </si>
  <si>
    <t>Manhole chamber 600mm x 600mm internal size and depth minimum 1200mm, in concrete class 30 at median including DI cover and gratings.</t>
  </si>
  <si>
    <t>8.3.6(ii)a</t>
  </si>
  <si>
    <t>Drain out let chamber 450 mm x 450 mm in-place to bridge deck include heavy duty steel grating assembly as detailed in the drawings.</t>
  </si>
  <si>
    <t>8.3.6(ii)b</t>
  </si>
  <si>
    <t>Sump pit chamber 800mm x 800mm x 800mm internal size  in concrete class 30 at underpass  including D.I gratings.</t>
  </si>
  <si>
    <t>8.4.6(ii)a</t>
  </si>
  <si>
    <t xml:space="preserve">75mm dia UPVC drainage pipes through abutment curtain wall </t>
  </si>
  <si>
    <t>8.4.6(ii)b</t>
  </si>
  <si>
    <t>110mm dia UPVC drainage pipes through internal diaphragms</t>
  </si>
  <si>
    <t>8.4.6(ii)c</t>
  </si>
  <si>
    <t>150mm dia UPVC drainage pipes for drainage from underpass sump pits.</t>
  </si>
  <si>
    <t>8.4.6(ii)d</t>
  </si>
  <si>
    <t>50mm dia non-metallic weep holes through abutment</t>
  </si>
  <si>
    <t>8.4.6(ii)e</t>
  </si>
  <si>
    <t>3000mm  x 600mm x 600mm drainage pit with selected stone filled and rapped in 700g/m2 geotextile membrane including all excavation, backfilling all as per drawing and as approved by the Engineer for underpass drainage.</t>
  </si>
  <si>
    <t>10.1.6(i)</t>
  </si>
  <si>
    <t>Setting up at each pile 900mm &amp; 1000mm diameter -pile location</t>
  </si>
  <si>
    <t>nr.</t>
  </si>
  <si>
    <t>10.1.6(ii)</t>
  </si>
  <si>
    <t>Piling , 1000 mm diameter for Pier Foundation up to 15 m</t>
  </si>
  <si>
    <t>10.2.6(ii)</t>
  </si>
  <si>
    <t>Static Load Testing of 1000mm diameter working piles</t>
  </si>
  <si>
    <t>10.2.6(i)</t>
  </si>
  <si>
    <t>Non-destructive Integrity Test as per the Specifications.</t>
  </si>
  <si>
    <t>11.2.6(i)</t>
  </si>
  <si>
    <t>Laminated elastomeric bearings 400x350x80mm having total vertical  load capacity 1400kN on epoxy grout bed all as per drawing.</t>
  </si>
  <si>
    <t>11.4.6</t>
  </si>
  <si>
    <t>Strip seal expansion joint</t>
  </si>
  <si>
    <t>11.6.6(i)</t>
  </si>
  <si>
    <t>Concrete Bridge parapet (crash barrier) 1200mm high including stitching concrete reinforcement etc complete.</t>
  </si>
  <si>
    <t>11.6.6(v)a</t>
  </si>
  <si>
    <t>Fabricate and fix Galvanized Steel Pedestrian Railing 1500mm high including concrete foundation,painting, provision for emergency  openings as necessary.</t>
  </si>
  <si>
    <t>11.6.6(v)b</t>
  </si>
  <si>
    <t>Fabricate and fix IPE 100 or equivalent Steel pipe parapet including 50mm dia cross pipes and other allied items as required  all as per details at location shown on drawing, height up to 1400mm including concrete foundation, painting as detailed etc. complete.</t>
  </si>
  <si>
    <t>lin.m</t>
  </si>
  <si>
    <t>11.6.6(vi)</t>
  </si>
  <si>
    <t>Fabricate and fix Aluminum Pedestrian Railing 1000mm high at  Underpass  and on retaining walls including fixing in position as per details, painting etc. complete as per approved shop drawings</t>
  </si>
  <si>
    <t>11.6.6(vii)a</t>
  </si>
  <si>
    <t>Fabricate and fix Aluminum powder coated decorative type railing 1000mm high at overpass including posts bracings fixing in position   etc. complete as per approved shop drawings</t>
  </si>
  <si>
    <t>11.6.6(vii)b</t>
  </si>
  <si>
    <t>Fabricate and fix  Aluminum powder coated composite panels including aluminum perforated decorative facade at overpass  as shown on the drawings and fixing in position  etc.. complete as per approved by the Engineer.</t>
  </si>
  <si>
    <t>sq.m</t>
  </si>
  <si>
    <t>11.6.6(vii)c</t>
  </si>
  <si>
    <t>Fabricate and fix solid Aluminum powder coated composite panels and aluminum perforated solid roof at overpass  as shown on the drawings and fixing in position etc. complete as approved by the Engineer.</t>
  </si>
  <si>
    <t>11.6.(vii)d</t>
  </si>
  <si>
    <t>Fabricate and fix  powder coated aluminum perforated overhang framed roof at overpass  as shown on the drawings and fixing in position etc. complete as approved by the Engineer.</t>
  </si>
  <si>
    <t>9.1.6(i)</t>
  </si>
  <si>
    <t>Loose Stone Riprap for Dyke and  slope protection</t>
  </si>
  <si>
    <t>9.1.6(ii)</t>
  </si>
  <si>
    <t>Mortared stone riprap including 100mm thick cement mortar bed  as per drawing.</t>
  </si>
  <si>
    <t>9.2.6(i)</t>
  </si>
  <si>
    <t>Gabions  of any size including 16mm dia GI hooks as per details.</t>
  </si>
  <si>
    <t>9.2.6(iv)</t>
  </si>
  <si>
    <t>Filter membrane (400g/m2 Geotextile)</t>
  </si>
  <si>
    <t>9.6.6(i)</t>
  </si>
  <si>
    <t>Reinforced concrete slope protection including storm water outlets at median and at bridge abutments including reinforcement etc..</t>
  </si>
  <si>
    <t>cu.m</t>
  </si>
  <si>
    <t>9.9.6(ii)a</t>
  </si>
  <si>
    <t>Mortared stone riprap lined drainage channel/ditch 300 mm thick ( Provisional)</t>
  </si>
  <si>
    <t>9.9.6(ii)b</t>
  </si>
  <si>
    <t>Concrete lined ditch 200mm thick  as per drawing including slope preparation, reinforcement, expansion joints etc..</t>
  </si>
  <si>
    <t>9.9.6(ii)c</t>
  </si>
  <si>
    <t>Extra over for Concrete lined ditch for providing  slab on top at road crossings as per drawing including reinforcement etc complete.</t>
  </si>
  <si>
    <t xml:space="preserve">9.10.6(i) </t>
  </si>
  <si>
    <t>Granular filter layer 200m thick</t>
  </si>
  <si>
    <t>9.12.7(i)1</t>
  </si>
  <si>
    <t>Mechanically Stabilized Earth Retaining Walls (MSERWs)-Casting</t>
  </si>
  <si>
    <t>9.12.7(i)2</t>
  </si>
  <si>
    <t>Mechanically Stabilized Earth Retaining Walls (MSERWs)-Erection</t>
  </si>
  <si>
    <t>9.12.7(iii)</t>
  </si>
  <si>
    <t>Coping for MSERWs</t>
  </si>
  <si>
    <t>12.1.7(i)a</t>
  </si>
  <si>
    <t>Paving, concrete interlocking blocks 60mm thick for side walks and median</t>
  </si>
  <si>
    <t>12.1.7(i)b</t>
  </si>
  <si>
    <t xml:space="preserve">Paving, concrete interlocking blocks 80mm thick </t>
  </si>
  <si>
    <t>12.1.7(i)c</t>
  </si>
  <si>
    <t xml:space="preserve">20mm Natural Omani non polished Lime stone  to approved color and pattern including 30mm thick 1:3 cement sand mortar base, joint filling etc.. at Underpass/ overpass Ramp and landings.(Provisional) </t>
  </si>
  <si>
    <t>12.1.7(i)d</t>
  </si>
  <si>
    <t>20mm Natural Omani non polished Lime stone  to approved color and pattern including 30mm thick 1:3 cement sand mortar base, joint filling etc.. at Underpass/ overpass  stair case tread and risers. (Provisional)</t>
  </si>
  <si>
    <t>12.1.7(v)a</t>
  </si>
  <si>
    <t>Precast Non-Mountable Concrete Curb 350x150mm</t>
  </si>
  <si>
    <t>12.1.7(v)b</t>
  </si>
  <si>
    <t>Precast lip curb 150x350mm</t>
  </si>
  <si>
    <t>12.1.7(v)c</t>
  </si>
  <si>
    <t>Precast  concrete edge curb 200x100mm</t>
  </si>
  <si>
    <t>12.1.7(vi)</t>
  </si>
  <si>
    <t>Cast in situ Concrete curb stone</t>
  </si>
  <si>
    <t>13.1.7(i)</t>
  </si>
  <si>
    <t>W-Beam Guardrail Standard Section including post,etc</t>
  </si>
  <si>
    <t>13.1.7(ii)</t>
  </si>
  <si>
    <t>W-Beam Guardrail  Transition section</t>
  </si>
  <si>
    <t>13.1.7(iii)a</t>
  </si>
  <si>
    <t>W-Beam Guardrail  Terminal section Type-I</t>
  </si>
  <si>
    <t>13.1.7(iii)b</t>
  </si>
  <si>
    <t>W-Beam Guardrail  Terminal section Type-II</t>
  </si>
  <si>
    <t>13.1.7(iv)</t>
  </si>
  <si>
    <t xml:space="preserve"> Thrie Beam Guardrail  standard section</t>
  </si>
  <si>
    <t>13.1.7(v)</t>
  </si>
  <si>
    <t>Thrie Beam Guardrail  Terminal section</t>
  </si>
  <si>
    <t>13.1.7(vi)a</t>
  </si>
  <si>
    <t>Thrie Beam Guardrail  Terminal section Type-I</t>
  </si>
  <si>
    <t>13.1.7(vi)b</t>
  </si>
  <si>
    <t>Thrie Beam Guardrail  Terminal section Type-II</t>
  </si>
  <si>
    <t>13.1.7(vii)a1</t>
  </si>
  <si>
    <t>Precast Concrete barrier, Single face as shown on Dwg.-Casting</t>
  </si>
  <si>
    <t>13.1.7(vii)a2</t>
  </si>
  <si>
    <t>Precast Concrete barrier, Single face as shown on Dwg.-Erection</t>
  </si>
  <si>
    <t>13.1.7(ix)</t>
  </si>
  <si>
    <t>Concrete barrier, transition section</t>
  </si>
  <si>
    <t>14.1.7(i)a</t>
  </si>
  <si>
    <t>Highway sign, Triangular Side  (750mm)</t>
  </si>
  <si>
    <t>14.1.7(i)b</t>
  </si>
  <si>
    <t>Highway sign, Triangular Side  (900mm)</t>
  </si>
  <si>
    <t>14.1.7(ii)a</t>
  </si>
  <si>
    <t>Highway sign, Circular  (Diameter 750mm)</t>
  </si>
  <si>
    <t>14.1.7(ii)b</t>
  </si>
  <si>
    <t>Highway sign, Circular  (Diameter 900mm)</t>
  </si>
  <si>
    <t>14.1.7(iii)</t>
  </si>
  <si>
    <t>Highway sign, rectangular of any size</t>
  </si>
  <si>
    <t>14.1.7(iv)</t>
  </si>
  <si>
    <t xml:space="preserve">Octagonal Road signs </t>
  </si>
  <si>
    <t>14.1.7(v)a</t>
  </si>
  <si>
    <t>Sign post support assembly, including foundation( Single)</t>
  </si>
  <si>
    <t>14.1.7(v)b</t>
  </si>
  <si>
    <t>Sign post support assembly, including foundations( Double)</t>
  </si>
  <si>
    <t>14.1.7(v)c</t>
  </si>
  <si>
    <t>Sign post support assembly, including foundations( four post 150mm dia )</t>
  </si>
  <si>
    <t>14.1.7(viii)a</t>
  </si>
  <si>
    <t>Removable type 75mm dia G.I Bollards 1200mm high  painted red and white  at median opening including foundation concrete, locking arrangements with S.S. Chain etc complete as per details.</t>
  </si>
  <si>
    <t>14.1.7(viii)b</t>
  </si>
  <si>
    <t>Removable type 225mm dia decorative G.I Bollards, 850mm high  painted black at access road to Royal camp including foundation concrete, locking arrangements with S.S. Chain etc complete as per details.</t>
  </si>
  <si>
    <t>14.1.7(viii)c</t>
  </si>
  <si>
    <t>Debris Collecting  150mm dia G.I Bollards at culvert inlets including foundation concrete, reinforcement, painting etc complete as per details.</t>
  </si>
  <si>
    <t>14.2.6(i)</t>
  </si>
  <si>
    <t>Traffic lines continuous or broken for both white and yellow  (mechanical applied)</t>
  </si>
  <si>
    <t>14.2.6(iii)</t>
  </si>
  <si>
    <t>Special markings for cheveron,directional arrow.(hand applied)</t>
  </si>
  <si>
    <t>14.2.6(iv)</t>
  </si>
  <si>
    <t>Curb painting</t>
  </si>
  <si>
    <t>14.2.6(v)</t>
  </si>
  <si>
    <t xml:space="preserve">Removal of road marking </t>
  </si>
  <si>
    <t>14.3.6(i)a</t>
  </si>
  <si>
    <t>Reflecting road studs (one side red)</t>
  </si>
  <si>
    <t>14.3.6(i)b</t>
  </si>
  <si>
    <t>Reflecting road studs (both side red)</t>
  </si>
  <si>
    <t>14.3.6(i)c</t>
  </si>
  <si>
    <t>Reflecting road  studs at rumble strips (one side red)</t>
  </si>
  <si>
    <t>15.1.20(i)</t>
  </si>
  <si>
    <t>Power supply connection to the feeder pillar</t>
  </si>
  <si>
    <t>15.5.6(i)</t>
  </si>
  <si>
    <t>11kv pole mounted transformer substation -Supply, insta of 11kv/415v,500 Kva.11KV cables to RMU and to transformer,main feeder panel,earthing and other associa, but not limited to other electricalwork.</t>
  </si>
  <si>
    <t>15.6.6(i)a</t>
  </si>
  <si>
    <t xml:space="preserve">Feeder pillar -Supply &amp; Installation of 100A 6way distribution Feeder Pillar with digital timer including concrete foundation and provision for power meter. </t>
  </si>
  <si>
    <t>15.6.6(i)b</t>
  </si>
  <si>
    <t xml:space="preserve">Feeder pillar -Supply &amp; Installation of 200A 8way distribution Feeder Pillar with digital timer including concrete foundation and provision for power meter. </t>
  </si>
  <si>
    <t>15.7.6(i)a</t>
  </si>
  <si>
    <t>Supply &amp; Installation of 4c x 50 mm² Electrical copper cable, XLPE insulated, steel wire armored and PVC sheathed</t>
  </si>
  <si>
    <t>15.7.6(i)b</t>
  </si>
  <si>
    <t>Supply &amp; Installation of 4c x 35 mm² Electrical copper cable, XLPE insulated, steel wire armored and PVC sheathed</t>
  </si>
  <si>
    <t>15.7.6(i)c</t>
  </si>
  <si>
    <t>Supply &amp; Installation of 4c x 25 mm² Electrical copper cable, XLPE insulated, steel wire armored and PVCsheathed</t>
  </si>
  <si>
    <t>15.7.6(i)d</t>
  </si>
  <si>
    <t>Supply &amp; Installation of 4c x 16 mm² Electrical copper cable, XLPE insulated, steel wire armored and PVCsheathed</t>
  </si>
  <si>
    <t>15.7.6(i)e</t>
  </si>
  <si>
    <t>Single core standard insulated cable 10mm² installed with each lighting circuit cable for earthing continuity between the corresponding feeder pillar earthing bar and earthing bolts in columns.</t>
  </si>
  <si>
    <t>15.8.6(ii)a</t>
  </si>
  <si>
    <t>Galvanized tubular lighting columns a 12m ht with 1 bracket luminaries with HPS 400W ,</t>
  </si>
  <si>
    <t>15.8.6(ii)b</t>
  </si>
  <si>
    <t xml:space="preserve">Galvanized tubular lighting columns 12m ht with 2 bracket luminaries with HPS 400W </t>
  </si>
  <si>
    <t>15.8.6(ii)c</t>
  </si>
  <si>
    <t>Galvanized tubular lighting columns 12m ht with 3 bracket luminaries with HPS 400W ,</t>
  </si>
  <si>
    <t>15.8.6(ii)d</t>
  </si>
  <si>
    <t>Supply &amp; install recessed type surface mounted 56 W  luminaries (CRx200 ASYM-JTM) or equivalent as approved, including conduits/ducts, cabling, timers, junction boxes, switches,connection from  existing power source, testing &amp; commissioning etc complete  all as per approved shop drawing.</t>
  </si>
  <si>
    <t>15.8.6(ii)e</t>
  </si>
  <si>
    <t>Supply &amp; installation of square wall recessed luminaries with indirect optical system, die cast aluminum body sealed to IP 65 Suitable for 13W/26W,TC-T/70W,HST-DE/70W,HIT-DE lamps including, wiring,timers,junction boxes switches, connection for existing power surface, testing &amp; commisiontion etc.. Complete all as per approved shop drawing.</t>
  </si>
  <si>
    <t>15.8.6(ii)f</t>
  </si>
  <si>
    <t>Supply &amp; installation of Architectural floor recessed LED luminaries, IP 66 rated, protect with the IEC medium beam range at 30° Angle UL tested including wiring, timer, junction box, switches, connect to existing power supply, testing commissioning etc.. Complete all as per approved shop drawing.</t>
  </si>
  <si>
    <t xml:space="preserve">15.15.7(i) </t>
  </si>
  <si>
    <t>Provide twin rod earthing installation for street light feeder pillar &amp; transformer.</t>
  </si>
  <si>
    <t xml:space="preserve">15.15.7(ii) </t>
  </si>
  <si>
    <t>Provide single rod earthing installation</t>
  </si>
  <si>
    <t>15.17.6(v)</t>
  </si>
  <si>
    <t>H type concrete foundation for 11kv/low voltage  pole mounted transformer station.</t>
  </si>
  <si>
    <t>15.17.6(vi)</t>
  </si>
  <si>
    <t>Concrete base for feeder pillar</t>
  </si>
  <si>
    <t>15.17.6(vii)a</t>
  </si>
  <si>
    <t>Trench for low/medium voltage cable for one cable</t>
  </si>
  <si>
    <t>15.17.6(vii)b</t>
  </si>
  <si>
    <t>Trench for low /medium voltage cable for two cables</t>
  </si>
  <si>
    <t>15.17.6(vii)c</t>
  </si>
  <si>
    <t>Trench for low/medium voltage cable for three or more cables</t>
  </si>
  <si>
    <t>15.17.6(ix)a</t>
  </si>
  <si>
    <t>Lighting column concrete foundation for single arm</t>
  </si>
  <si>
    <t>15.17.6(ix)b</t>
  </si>
  <si>
    <t>Lighting column concrete foundation for double arm</t>
  </si>
  <si>
    <t>15.17.6(ix)c</t>
  </si>
  <si>
    <t>Lighting column concrete foundation for three arm</t>
  </si>
  <si>
    <t>15.17.6(ix)d</t>
  </si>
  <si>
    <t>Supply and erect Flag pole foundation &amp; Post as per Sultanate of Oman Specifications</t>
  </si>
  <si>
    <t>15.17.6(xii)a</t>
  </si>
  <si>
    <t xml:space="preserve">100mm dia UPVC duct, in concrete encasement </t>
  </si>
  <si>
    <t>15.17.6(xii)b</t>
  </si>
  <si>
    <t>100mm dia UPVC duct, in median for cable</t>
  </si>
  <si>
    <t>15.17.6(xiii)</t>
  </si>
  <si>
    <t>Cable marker</t>
  </si>
  <si>
    <t>15.17.6(xv)</t>
  </si>
  <si>
    <t>Hand hole/draw pit (750x750x1000mm) including HD cover (Provisional)</t>
  </si>
  <si>
    <t>15.17.6(xvi)a</t>
  </si>
  <si>
    <t>Supply and installation of Fixed speed tracking system using laser beam  including  documentation unit with LIDAR,CPU,hard disc,measuring software  2nos. high resolution cameras,flash units, warranty, necessary trenching, excavations, fiber optic cable, power cables, draw pits, foundations, shop drawings, commissioning &amp; handing over to Royal Oman Police all as per  specification.</t>
  </si>
  <si>
    <t>15.17.6(xvi)b</t>
  </si>
  <si>
    <t>Empty Box (Bi-directional City - Design pole, technical cabinet etc)</t>
  </si>
  <si>
    <t>18.1.6(i)a</t>
  </si>
  <si>
    <t>Upvc split pipe 200mm dia for Electrical H.T cable</t>
  </si>
  <si>
    <t>18.1.6(i)b</t>
  </si>
  <si>
    <t>Upvc split pipe 150mm dia for Electrical LT cable</t>
  </si>
  <si>
    <t>18.1.6(i)c</t>
  </si>
  <si>
    <t>Upvc split pipe 100mm dia for Telephone line/cable</t>
  </si>
  <si>
    <t>18.1.6(i)d</t>
  </si>
  <si>
    <t>600mm dia Water pipe line protection as per details including precast reinforced slab below pavement,lifting hook etc. as approved for 600mm dia line.</t>
  </si>
  <si>
    <t>18.1.6(i)e</t>
  </si>
  <si>
    <t>500mm dia Water pipe line protection as per details including precast reinforced slab below pavement,lifting hook etc. as approved for 500mm dia line.</t>
  </si>
  <si>
    <t>18.1.6(i)f</t>
  </si>
  <si>
    <t>400mm dia Water pipe line protection as per details including precast reinforced slab below pavement,lifting hook etc. as approved for 400mm dia line.</t>
  </si>
  <si>
    <t xml:space="preserve">400mm dia Water pipe line protection precast reinforced slab </t>
  </si>
  <si>
    <t>18.2.6(i)a</t>
  </si>
  <si>
    <t xml:space="preserve">Relocate existing Electrical H.T line  including preparation of shop drawings, obtain approval  from the concerned Authorities, provide new materials as required, excavation, back filling,bedding,posts, ducts, cable as necessary, shut down, termination, testing and recommissioning etc complete to the satisfaction of the Engineer all as per approved shop drawing at various locations. </t>
  </si>
  <si>
    <t>18.2.6(i)b</t>
  </si>
  <si>
    <t xml:space="preserve">Relocate existing Electrical L.T line  including preparation of shop drawings, obtain approval  from the concerned Authorities, provide new materials as required, excavation, back filling,bedding,posts, ducts, cable as necessary, shut down, termination, testing and recommissioning etc complete to the satisfaction of the Engineer all as per approved shop drawing at various locations. </t>
  </si>
  <si>
    <t>18.2.6(i)c</t>
  </si>
  <si>
    <t xml:space="preserve">Relocate existing Telephone line  including preparation of shop drawings, obtain approval  from the concerned Authorities, provide new materials as required, excavation, ducting, back filling,bedding,cable as necessary, shut down, Terminations, testing and making it operational etc. complete to the satisfaction of the Engineer and all as necessary for the project requirement at various locations. </t>
  </si>
  <si>
    <t>18.2.6(i)d</t>
  </si>
  <si>
    <t xml:space="preserve">Relocate existing water line  600 mm dia. including preparation of shop drawings,obtain approval  from the concerned Authorities, provide new pipe and fittings  as required, excavation, back filling,bedding, Reinforced concrete works,  shut down, testing and recommisioning etc complete to the satisfaction of the Engineer  all as per approved shop drawing including construction of manhole. etc complete at various locations. </t>
  </si>
  <si>
    <t>18.2.6(i)e</t>
  </si>
  <si>
    <t xml:space="preserve">Relocate existing water line  500 mm dia. including preparation of shop drawings,obtain approval  from the concerned Authorities, provide new pipe and fittings  as required, excavation, back filling,bedding, Reinforced concrete works,  shut down, testing and recommisioning etc complete to the satisfaction of the Engineer  all as per approved shop drawing including construction of manhole. etc complete at various locations. </t>
  </si>
  <si>
    <t>18.2.6(i)f</t>
  </si>
  <si>
    <t xml:space="preserve">Relocate existing water line  400 mm dia. including preparation of shop drawings,obtain approval  from the concerned Authorities, provide new pipe and fittings  as required, excavation, back filling,bedding, Reinforced concrete works,  shut down, testing and recommisioning etc complete to the satisfaction of the Engineer  all as per approved shop drawing including construction of manhole. etc complete at various locations. </t>
  </si>
  <si>
    <t>18.3.6(i)a</t>
  </si>
  <si>
    <t>Service ducts  uPVC 100mm dia two way</t>
  </si>
  <si>
    <t>18.3.6(i)b</t>
  </si>
  <si>
    <t>Service duct uPVC 150mm dia two way</t>
  </si>
  <si>
    <t>18.3.6(i)c</t>
  </si>
  <si>
    <t>Service ducts one  200 mm  uPVC  two way</t>
  </si>
  <si>
    <t>18.3.6(i)d</t>
  </si>
  <si>
    <t>Service ducts one  300 mm  uPVC  one way</t>
  </si>
  <si>
    <t>Total Amount (RO)</t>
  </si>
  <si>
    <t>% Completion</t>
  </si>
  <si>
    <t>Remarks</t>
  </si>
  <si>
    <t>Description</t>
  </si>
  <si>
    <t>Planned /Day</t>
  </si>
  <si>
    <t>Actual FTD
(Today)</t>
  </si>
  <si>
    <t>Actual (Ave) Till date</t>
  </si>
  <si>
    <t>Prepared by</t>
  </si>
  <si>
    <t>Project Manager</t>
  </si>
  <si>
    <t>S/N</t>
  </si>
  <si>
    <t>Name</t>
  </si>
  <si>
    <t>Business Plan (R.O)</t>
  </si>
  <si>
    <t>Projection As on 25th feb 2010</t>
  </si>
  <si>
    <t>As on Date Planned amount</t>
  </si>
  <si>
    <t xml:space="preserve">Achieved (R.O) </t>
  </si>
  <si>
    <t xml:space="preserve">Achieved % </t>
  </si>
  <si>
    <t>Day Avrg</t>
  </si>
  <si>
    <t>Mnth Avg</t>
  </si>
  <si>
    <t>%</t>
  </si>
  <si>
    <t>T.SWAMY - Highways</t>
  </si>
  <si>
    <t>Manoj</t>
  </si>
  <si>
    <t>A.Rehman</t>
  </si>
  <si>
    <t>Shanker (Asphalt &amp; Diversion Work)</t>
  </si>
  <si>
    <t>Liju</t>
  </si>
  <si>
    <t>Sathyan Vijay kumar</t>
  </si>
  <si>
    <t>Rajeev</t>
  </si>
  <si>
    <t>ABC Foreman</t>
  </si>
  <si>
    <t>Asphalt Foreman</t>
  </si>
  <si>
    <t>Mukesh Chabra (Al Awaibi)</t>
  </si>
  <si>
    <t>E.M.Babu (culvert)</t>
  </si>
  <si>
    <t>Paul</t>
  </si>
  <si>
    <t>Ziad</t>
  </si>
  <si>
    <t xml:space="preserve"> </t>
  </si>
  <si>
    <t>Santhosh</t>
  </si>
  <si>
    <t>Waqas</t>
  </si>
  <si>
    <t>Concrete Barrier</t>
  </si>
  <si>
    <t>A.K.Singh (INTERCHANGE)</t>
  </si>
  <si>
    <t>Joynal</t>
  </si>
  <si>
    <t>Sarvanan</t>
  </si>
  <si>
    <t>Utilities (Mukesh)</t>
  </si>
  <si>
    <t>Utilities (Josap)</t>
  </si>
  <si>
    <t>Total (R.O)</t>
  </si>
  <si>
    <t>*</t>
  </si>
  <si>
    <t>Weather   :  Clear</t>
  </si>
  <si>
    <t>Sheet        :   02 of 02</t>
  </si>
  <si>
    <t>Projection</t>
  </si>
  <si>
    <t>Achived</t>
  </si>
  <si>
    <t>ITEM NO.</t>
  </si>
  <si>
    <t>ITEM DESCRIPTION</t>
  </si>
  <si>
    <t>QTY.</t>
  </si>
  <si>
    <t>* Time elapsed</t>
  </si>
  <si>
    <t xml:space="preserve">PROJECT      :  </t>
  </si>
  <si>
    <t xml:space="preserve">CLIENT          : </t>
  </si>
  <si>
    <t xml:space="preserve">CONTRACTOR : </t>
  </si>
  <si>
    <t>Projection vs Achieved for the Month of xxxxx</t>
  </si>
  <si>
    <t xml:space="preserve">CLIENT          :  </t>
  </si>
  <si>
    <t>Diect works</t>
  </si>
  <si>
    <t>Plan  vs Achieved for the Month xxxxx</t>
  </si>
  <si>
    <t>Total</t>
  </si>
  <si>
    <t>Projection vs Achieved for the Month xxxxx</t>
  </si>
  <si>
    <t>Unit Rate</t>
  </si>
  <si>
    <t>DAILY SITE RECOURSE REPORT</t>
  </si>
  <si>
    <t>MANPOWER</t>
  </si>
  <si>
    <t>INDIRECT: Staff     DIRECT: Skilled and Un-Skilled Labour</t>
  </si>
  <si>
    <t xml:space="preserve">    DIRECT: Skilled and Un-Skilled Labour</t>
  </si>
  <si>
    <t>Item</t>
  </si>
  <si>
    <t>Position</t>
  </si>
  <si>
    <t>SCC</t>
  </si>
  <si>
    <t>Subcon.</t>
  </si>
  <si>
    <t>Accounts / Clerk</t>
  </si>
  <si>
    <t>A/C Technician</t>
  </si>
  <si>
    <t>Asst. Project Manager</t>
  </si>
  <si>
    <t>Auto ELECTRICIAN</t>
  </si>
  <si>
    <t>Camp Boss</t>
  </si>
  <si>
    <t>Carpenter</t>
  </si>
  <si>
    <t>Construction Manager</t>
  </si>
  <si>
    <t>Chainman</t>
  </si>
  <si>
    <t>Contractor's Representative</t>
  </si>
  <si>
    <t>CHAPATI MAKER</t>
  </si>
  <si>
    <t>Cost Engineer</t>
  </si>
  <si>
    <t>Chargehand</t>
  </si>
  <si>
    <t>Document Controller</t>
  </si>
  <si>
    <t>Cook</t>
  </si>
  <si>
    <t>Draughtsman</t>
  </si>
  <si>
    <t xml:space="preserve">Electrician </t>
  </si>
  <si>
    <t>Foreman</t>
  </si>
  <si>
    <t>HDD-Expat</t>
  </si>
  <si>
    <t>Geo Technical Engineer</t>
  </si>
  <si>
    <t>Helper</t>
  </si>
  <si>
    <t>HDD-National</t>
  </si>
  <si>
    <t>KITCHEN BOY</t>
  </si>
  <si>
    <t>Highway Design Engineer</t>
  </si>
  <si>
    <t>Lab Helper</t>
  </si>
  <si>
    <t>HSE Advisor</t>
  </si>
  <si>
    <t>LAUNDRY MAN</t>
  </si>
  <si>
    <t>HSE Lead</t>
  </si>
  <si>
    <t>LDD-Expat</t>
  </si>
  <si>
    <t>HSE Manager</t>
  </si>
  <si>
    <t>LDD-National</t>
  </si>
  <si>
    <t>Interface Manager</t>
  </si>
  <si>
    <t>Mason</t>
  </si>
  <si>
    <t>Lab Technician</t>
  </si>
  <si>
    <t>Mechanic</t>
  </si>
  <si>
    <t>Mechanic Foreman</t>
  </si>
  <si>
    <t>Mechanic Helper</t>
  </si>
  <si>
    <t>Mechanic Supervisor</t>
  </si>
  <si>
    <t>Officeboy</t>
  </si>
  <si>
    <t>Medic</t>
  </si>
  <si>
    <t>Operator</t>
  </si>
  <si>
    <t xml:space="preserve">Planning Lead </t>
  </si>
  <si>
    <t>Painter</t>
  </si>
  <si>
    <t>PMV Clerk</t>
  </si>
  <si>
    <t xml:space="preserve">Pest Controller </t>
  </si>
  <si>
    <t>PMV Engineer</t>
  </si>
  <si>
    <t>Plumber</t>
  </si>
  <si>
    <t>PMV Manager</t>
  </si>
  <si>
    <t>RIGGER</t>
  </si>
  <si>
    <t>PRO</t>
  </si>
  <si>
    <t>Room Boy</t>
  </si>
  <si>
    <t>Project Control Engineer</t>
  </si>
  <si>
    <t xml:space="preserve">Scaffolder </t>
  </si>
  <si>
    <t>Project Engineer</t>
  </si>
  <si>
    <t>SCREWMAN</t>
  </si>
  <si>
    <t>PROJECT MANAGER</t>
  </si>
  <si>
    <t>Steel Fixer</t>
  </si>
  <si>
    <t>Purchaser</t>
  </si>
  <si>
    <t>Store Helper</t>
  </si>
  <si>
    <t>QA/QC Engineer</t>
  </si>
  <si>
    <t>Tyreman</t>
  </si>
  <si>
    <t>QA/QC Inspector</t>
  </si>
  <si>
    <t>Waiter</t>
  </si>
  <si>
    <t>QA/QC Lead</t>
  </si>
  <si>
    <t>Welder</t>
  </si>
  <si>
    <t>Quantity Surveyor</t>
  </si>
  <si>
    <t xml:space="preserve">Cleaner </t>
  </si>
  <si>
    <t>Site Manager</t>
  </si>
  <si>
    <t>Asst Camp Boss</t>
  </si>
  <si>
    <t>Stactural Engineer</t>
  </si>
  <si>
    <t xml:space="preserve">Mechanic </t>
  </si>
  <si>
    <t>Store Keeper</t>
  </si>
  <si>
    <t xml:space="preserve">BUTCHER </t>
  </si>
  <si>
    <t>Structural Engineer</t>
  </si>
  <si>
    <t>Rakman</t>
  </si>
  <si>
    <t>Supervisor</t>
  </si>
  <si>
    <t>Care Taker</t>
  </si>
  <si>
    <t>Transport Incharge</t>
  </si>
  <si>
    <t>Watchman</t>
  </si>
  <si>
    <t>PMV Supervisor</t>
  </si>
  <si>
    <t>Engineer</t>
  </si>
  <si>
    <t>Clerk/Admin</t>
  </si>
  <si>
    <t xml:space="preserve">Surveyor </t>
  </si>
  <si>
    <t>Query Manager</t>
  </si>
  <si>
    <t>Site Superintendent</t>
  </si>
  <si>
    <t>Administration Coordinator</t>
  </si>
  <si>
    <t>Draftsman</t>
  </si>
  <si>
    <t>Sr. Quantity Surveyor</t>
  </si>
  <si>
    <r>
      <rPr>
        <b/>
        <sz val="11"/>
        <rFont val="Calibri"/>
        <family val="1"/>
      </rPr>
      <t>EQUIPMENT</t>
    </r>
  </si>
  <si>
    <t xml:space="preserve">Indirect </t>
  </si>
  <si>
    <t>Direct</t>
  </si>
  <si>
    <r>
      <rPr>
        <b/>
        <sz val="11"/>
        <rFont val="Calibri"/>
        <family val="1"/>
      </rPr>
      <t>Item</t>
    </r>
  </si>
  <si>
    <r>
      <rPr>
        <b/>
        <sz val="11"/>
        <rFont val="Calibri"/>
        <family val="1"/>
      </rPr>
      <t>Total</t>
    </r>
  </si>
  <si>
    <t>Ambulance</t>
  </si>
  <si>
    <t xml:space="preserve">Air compressor </t>
  </si>
  <si>
    <t>Mini Bus</t>
  </si>
  <si>
    <t>BabyRoller</t>
  </si>
  <si>
    <t>Mini Bus-15 Seater-4x4</t>
  </si>
  <si>
    <t>Backhoe Loader</t>
  </si>
  <si>
    <t>Heavy Bus</t>
  </si>
  <si>
    <t>Bobcat</t>
  </si>
  <si>
    <t>Cargo Light Vehicle 3 Ton</t>
  </si>
  <si>
    <t>Bulldozer</t>
  </si>
  <si>
    <t>Cargo Light Vehicle 7 Ton</t>
  </si>
  <si>
    <t>Concrete Mixer</t>
  </si>
  <si>
    <t>Generator</t>
  </si>
  <si>
    <t>ConcreteVibrator</t>
  </si>
  <si>
    <t>Pick Up</t>
  </si>
  <si>
    <t>Crawler Crane</t>
  </si>
  <si>
    <t>Speed Boat</t>
  </si>
  <si>
    <t>Crusher-Impact</t>
  </si>
  <si>
    <t>SUV</t>
  </si>
  <si>
    <t>Crusher-Jaw</t>
  </si>
  <si>
    <t>Land Cruiser-10 seater</t>
  </si>
  <si>
    <t>Crusher-Cone</t>
  </si>
  <si>
    <t>Crusher-VSI</t>
  </si>
  <si>
    <t>Cocnrete Pump</t>
  </si>
  <si>
    <t>Concrete Bulker</t>
  </si>
  <si>
    <t xml:space="preserve">Dump Truck </t>
  </si>
  <si>
    <t>Dumper</t>
  </si>
  <si>
    <t>Dumper-Water Tanker</t>
  </si>
  <si>
    <t>Excavator</t>
  </si>
  <si>
    <t>Flat Bed</t>
  </si>
  <si>
    <t>Fuel Tanker</t>
  </si>
  <si>
    <t>Forklift</t>
  </si>
  <si>
    <t>Hiab</t>
  </si>
  <si>
    <t>Low bed</t>
  </si>
  <si>
    <t>Manlift</t>
  </si>
  <si>
    <t>Mobile Crane</t>
  </si>
  <si>
    <t>Moter Grader</t>
  </si>
  <si>
    <t>Paver</t>
  </si>
  <si>
    <t>Plate compactor+Jumper</t>
  </si>
  <si>
    <t>Power Screen - 2 deck</t>
  </si>
  <si>
    <t>Power Screen - 3 deck</t>
  </si>
  <si>
    <t>Prime mover</t>
  </si>
  <si>
    <t>Roller</t>
  </si>
  <si>
    <t>Self Loading</t>
  </si>
  <si>
    <t>Steel Cutting machine</t>
  </si>
  <si>
    <t>Steel Bending machine</t>
  </si>
  <si>
    <t>Tipper</t>
  </si>
  <si>
    <t>Tipper- Trailer</t>
  </si>
  <si>
    <t>Tower Light</t>
  </si>
  <si>
    <t xml:space="preserve">Transit Mixer </t>
  </si>
  <si>
    <t>Water Tanker 2K GLN-Green-4x2</t>
  </si>
  <si>
    <t>Water Tanker 2K GLN-Green-4x4</t>
  </si>
  <si>
    <t>Water Tanker 2K GLN-Blue-4x4</t>
  </si>
  <si>
    <t>Water Tanker 2K GLN-Blue-4x2</t>
  </si>
  <si>
    <t>Water Tanker 5K GLN</t>
  </si>
  <si>
    <t>Welding Machine</t>
  </si>
  <si>
    <t>Wheel Loader</t>
  </si>
  <si>
    <t>Chiller Plant</t>
  </si>
  <si>
    <t>Batching Plant</t>
  </si>
  <si>
    <t>Hot Mix plant</t>
  </si>
  <si>
    <t xml:space="preserve">Prime Tanker </t>
  </si>
  <si>
    <t>PTR</t>
  </si>
  <si>
    <t xml:space="preserve">Tandem </t>
  </si>
  <si>
    <t>Cement Bulker</t>
  </si>
  <si>
    <t>Report No:</t>
  </si>
  <si>
    <t>Date:</t>
  </si>
  <si>
    <t>DAILY SITE PROGRESS PICTURE</t>
  </si>
  <si>
    <t xml:space="preserve">Project Name: </t>
  </si>
  <si>
    <t xml:space="preserve">Client: </t>
  </si>
  <si>
    <t>Report No:xxxx</t>
  </si>
  <si>
    <t>Contractor</t>
  </si>
  <si>
    <t>Note: Subcontractor includes xxxxxxx</t>
  </si>
  <si>
    <t>Note: Subcontractor includes xxxx</t>
  </si>
  <si>
    <t>Location</t>
  </si>
  <si>
    <t>Date 1</t>
  </si>
  <si>
    <t>Date 2</t>
  </si>
  <si>
    <t>Date 3</t>
  </si>
  <si>
    <t>Date 4</t>
  </si>
  <si>
    <t>Date 5</t>
  </si>
  <si>
    <t>Date 6</t>
  </si>
  <si>
    <t>Date 7</t>
  </si>
  <si>
    <t>Date 8</t>
  </si>
  <si>
    <t>Date 9</t>
  </si>
  <si>
    <t>Date 10</t>
  </si>
  <si>
    <t>Date 11</t>
  </si>
  <si>
    <t>Date 12</t>
  </si>
  <si>
    <t>Date 13</t>
  </si>
  <si>
    <t>Date 14</t>
  </si>
  <si>
    <t>Date 15</t>
  </si>
  <si>
    <t>Date 16</t>
  </si>
  <si>
    <t>Date 17</t>
  </si>
  <si>
    <t>Date 18</t>
  </si>
  <si>
    <t>Date 19</t>
  </si>
  <si>
    <t>Date 20</t>
  </si>
  <si>
    <t>Date 21</t>
  </si>
  <si>
    <t>Date 22</t>
  </si>
  <si>
    <t>Date 23</t>
  </si>
  <si>
    <t>Date 24</t>
  </si>
  <si>
    <t>Date 25</t>
  </si>
  <si>
    <t>Date 26</t>
  </si>
  <si>
    <t>Date 27</t>
  </si>
  <si>
    <t>Date 28</t>
  </si>
  <si>
    <t>Date 29</t>
  </si>
  <si>
    <t>Date 30</t>
  </si>
  <si>
    <t>Date 31</t>
  </si>
  <si>
    <t xml:space="preserve">Plan (R.O) </t>
  </si>
  <si>
    <t>Monthly Plan</t>
  </si>
  <si>
    <t>Milestone details</t>
  </si>
  <si>
    <t>Contract</t>
  </si>
  <si>
    <t>Actual</t>
  </si>
  <si>
    <t>Mobilization completion</t>
  </si>
  <si>
    <t>Statutory Approval receipt</t>
  </si>
  <si>
    <t xml:space="preserve"> Design Deliverables completion</t>
  </si>
  <si>
    <t>Material Approvals receipt</t>
  </si>
  <si>
    <t>Construction commencement</t>
  </si>
  <si>
    <t>Design and approval of IC construction</t>
  </si>
  <si>
    <t>As-built drawings, record drawings, record  etc.4</t>
  </si>
  <si>
    <t>Popject Start</t>
  </si>
  <si>
    <t>Project Finish</t>
  </si>
  <si>
    <t>Temperature</t>
  </si>
  <si>
    <t>LOW</t>
  </si>
  <si>
    <t>AVRG.</t>
  </si>
  <si>
    <t>HIGH</t>
  </si>
  <si>
    <t>Wind Speed</t>
  </si>
  <si>
    <t>15 km/h</t>
  </si>
  <si>
    <t>Weather Conditions</t>
  </si>
  <si>
    <r>
      <t>29</t>
    </r>
    <r>
      <rPr>
        <b/>
        <vertAlign val="superscript"/>
        <sz val="16"/>
        <color theme="1"/>
        <rFont val="Arial Narrow"/>
        <family val="2"/>
      </rPr>
      <t>O</t>
    </r>
    <r>
      <rPr>
        <b/>
        <sz val="16"/>
        <color theme="1"/>
        <rFont val="Arial Narrow"/>
        <family val="2"/>
      </rPr>
      <t>C</t>
    </r>
  </si>
  <si>
    <t>Budgeted Unit rate</t>
  </si>
  <si>
    <t>Analysis Remarks</t>
  </si>
  <si>
    <t>Section 1</t>
  </si>
  <si>
    <t>Section 2</t>
  </si>
  <si>
    <t>Section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</si>
</sst>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000_);_(* \(#,##0.000\);_(* &quot;-&quot;??_);_(@_)"/>
    <numFmt numFmtId="165" formatCode="[$-409]d\-mmm\-yyyy;@"/>
    <numFmt numFmtId="166" formatCode="[$-409]d\-mmm\-yy;@"/>
    <numFmt numFmtId="167" formatCode="_(* #,##0_);_(* \(#,##0\);_(* &quot;-&quot;??_);_(@_)"/>
    <numFmt numFmtId="168" formatCode="#,##0.000"/>
    <numFmt numFmtId="169" formatCode="0.0000"/>
    <numFmt numFmtId="170" formatCode="0.000"/>
    <numFmt numFmtId="171" formatCode="[$-409]d\-mmm;@"/>
    <numFmt numFmtId="172" formatCode="#,##0.0"/>
    <numFmt numFmtId="173" formatCode="dd\-mmm\-yy\ ddd"/>
  </numFmts>
  <fonts count="66" x14ac:knownFonts="1">
    <font>
      <sz val="12"/>
      <name val="Times New Roman"/>
    </font>
    <font>
      <sz val="11"/>
      <color theme="1"/>
      <name val="Calibri"/>
      <family val="2"/>
      <scheme val="minor"/>
    </font>
    <font>
      <sz val="11"/>
      <color theme="1"/>
      <name val="Calibri"/>
      <family val="2"/>
      <scheme val="minor"/>
    </font>
    <font>
      <sz val="12"/>
      <name val="Times New Roman"/>
      <family val="1"/>
    </font>
    <font>
      <b/>
      <u/>
      <sz val="11"/>
      <name val="Arial Narrow"/>
      <family val="2"/>
    </font>
    <font>
      <b/>
      <sz val="11"/>
      <name val="Arial Narrow"/>
      <family val="2"/>
    </font>
    <font>
      <sz val="10"/>
      <name val="Arial"/>
      <family val="2"/>
    </font>
    <font>
      <sz val="11"/>
      <name val="Arial Narrow"/>
      <family val="2"/>
    </font>
    <font>
      <b/>
      <sz val="10"/>
      <name val="Arial Narrow"/>
      <family val="2"/>
    </font>
    <font>
      <b/>
      <sz val="11"/>
      <color indexed="10"/>
      <name val="Arial Narrow"/>
      <family val="2"/>
    </font>
    <font>
      <b/>
      <sz val="10"/>
      <name val="Arial"/>
      <family val="2"/>
    </font>
    <font>
      <sz val="12"/>
      <name val="Arial Narrow"/>
      <family val="2"/>
    </font>
    <font>
      <sz val="11"/>
      <name val="Arial"/>
      <family val="2"/>
    </font>
    <font>
      <sz val="11"/>
      <color indexed="10"/>
      <name val="Arial Narrow"/>
      <family val="2"/>
    </font>
    <font>
      <sz val="11"/>
      <color indexed="17"/>
      <name val="Arial Narrow"/>
      <family val="2"/>
    </font>
    <font>
      <sz val="10"/>
      <color indexed="8"/>
      <name val="Arial"/>
      <family val="2"/>
    </font>
    <font>
      <b/>
      <u/>
      <sz val="11"/>
      <color indexed="10"/>
      <name val="Arial Narrow"/>
      <family val="2"/>
    </font>
    <font>
      <u/>
      <sz val="8.4"/>
      <color indexed="12"/>
      <name val="Times New Roman"/>
      <family val="1"/>
    </font>
    <font>
      <b/>
      <sz val="10"/>
      <color indexed="10"/>
      <name val="Arial"/>
      <family val="2"/>
    </font>
    <font>
      <sz val="6"/>
      <name val="Arial"/>
      <family val="2"/>
    </font>
    <font>
      <b/>
      <sz val="6"/>
      <name val="Arial"/>
      <family val="2"/>
    </font>
    <font>
      <sz val="8"/>
      <name val="Arial"/>
      <family val="2"/>
    </font>
    <font>
      <b/>
      <sz val="13"/>
      <name val="Arial"/>
      <family val="2"/>
    </font>
    <font>
      <b/>
      <sz val="12"/>
      <color indexed="51"/>
      <name val="Arial"/>
      <family val="2"/>
    </font>
    <font>
      <b/>
      <sz val="12"/>
      <color indexed="56"/>
      <name val="Arial"/>
      <family val="2"/>
    </font>
    <font>
      <b/>
      <sz val="12"/>
      <color indexed="10"/>
      <name val="Arial"/>
      <family val="2"/>
    </font>
    <font>
      <b/>
      <sz val="12"/>
      <color indexed="17"/>
      <name val="Arial"/>
      <family val="2"/>
    </font>
    <font>
      <sz val="13"/>
      <name val="Arial"/>
      <family val="2"/>
    </font>
    <font>
      <b/>
      <sz val="13"/>
      <color indexed="10"/>
      <name val="Arial"/>
      <family val="2"/>
    </font>
    <font>
      <b/>
      <sz val="12"/>
      <color rgb="FF00B050"/>
      <name val="Arial"/>
      <family val="2"/>
    </font>
    <font>
      <b/>
      <sz val="13"/>
      <color indexed="17"/>
      <name val="Arial"/>
      <family val="2"/>
    </font>
    <font>
      <b/>
      <sz val="12"/>
      <name val="Arial"/>
      <family val="2"/>
    </font>
    <font>
      <b/>
      <sz val="18"/>
      <color indexed="10"/>
      <name val="Arial"/>
      <family val="2"/>
    </font>
    <font>
      <b/>
      <sz val="16"/>
      <name val="Arial"/>
      <family val="2"/>
    </font>
    <font>
      <b/>
      <sz val="8"/>
      <name val="Arial"/>
      <family val="2"/>
    </font>
    <font>
      <b/>
      <sz val="9"/>
      <name val="Arial"/>
      <family val="2"/>
    </font>
    <font>
      <b/>
      <u/>
      <sz val="10"/>
      <name val="Arial Narrow"/>
      <family val="2"/>
    </font>
    <font>
      <sz val="10"/>
      <name val="Arial Narrow"/>
      <family val="2"/>
    </font>
    <font>
      <b/>
      <sz val="10"/>
      <color indexed="10"/>
      <name val="Arial Narrow"/>
      <family val="2"/>
    </font>
    <font>
      <b/>
      <sz val="12"/>
      <name val="Times New Roman"/>
      <family val="1"/>
    </font>
    <font>
      <sz val="11"/>
      <color indexed="8"/>
      <name val="Calibri"/>
      <family val="2"/>
    </font>
    <font>
      <sz val="10"/>
      <color rgb="FF000000"/>
      <name val="Times New Roman"/>
      <family val="1"/>
    </font>
    <font>
      <b/>
      <sz val="11"/>
      <name val="Calibri"/>
      <family val="2"/>
    </font>
    <font>
      <sz val="11"/>
      <color rgb="FF000000"/>
      <name val="Times New Roman"/>
      <family val="1"/>
    </font>
    <font>
      <b/>
      <sz val="11"/>
      <name val="Calibri"/>
      <family val="2"/>
      <scheme val="minor"/>
    </font>
    <font>
      <sz val="11"/>
      <color rgb="FF000000"/>
      <name val="Calibri"/>
      <family val="2"/>
      <scheme val="minor"/>
    </font>
    <font>
      <i/>
      <sz val="11"/>
      <color rgb="FFFF0000"/>
      <name val="Calibri"/>
      <family val="2"/>
      <scheme val="minor"/>
    </font>
    <font>
      <b/>
      <sz val="11"/>
      <color rgb="FF000000"/>
      <name val="Calibri"/>
      <family val="2"/>
      <scheme val="minor"/>
    </font>
    <font>
      <b/>
      <sz val="11"/>
      <name val="Calibri"/>
      <family val="1"/>
    </font>
    <font>
      <sz val="11"/>
      <color rgb="FF000000"/>
      <name val="Calibri"/>
      <family val="2"/>
    </font>
    <font>
      <b/>
      <sz val="11"/>
      <color rgb="FF000000"/>
      <name val="Calibri"/>
      <family val="2"/>
    </font>
    <font>
      <b/>
      <sz val="14"/>
      <color rgb="FF0000FF"/>
      <name val="Calibri"/>
      <family val="2"/>
      <scheme val="minor"/>
    </font>
    <font>
      <b/>
      <sz val="11"/>
      <color rgb="FF0000FF"/>
      <name val="Calibri"/>
      <family val="2"/>
      <scheme val="minor"/>
    </font>
    <font>
      <sz val="14"/>
      <color rgb="FF0000FF"/>
      <name val="Calibri"/>
      <family val="2"/>
      <scheme val="minor"/>
    </font>
    <font>
      <sz val="12"/>
      <color rgb="FF0000FF"/>
      <name val="Calibri"/>
      <family val="2"/>
      <scheme val="minor"/>
    </font>
    <font>
      <b/>
      <sz val="14"/>
      <color theme="1"/>
      <name val="Calibri"/>
      <family val="2"/>
      <scheme val="minor"/>
    </font>
    <font>
      <sz val="12"/>
      <color theme="1"/>
      <name val="Calibri"/>
      <family val="2"/>
      <scheme val="minor"/>
    </font>
    <font>
      <sz val="18"/>
      <color theme="1"/>
      <name val="Calibri"/>
      <family val="2"/>
      <scheme val="minor"/>
    </font>
    <font>
      <sz val="14"/>
      <color theme="1"/>
      <name val="Calibri"/>
      <family val="2"/>
      <scheme val="minor"/>
    </font>
    <font>
      <sz val="16"/>
      <color theme="1"/>
      <name val="Calibri"/>
      <family val="2"/>
      <scheme val="minor"/>
    </font>
    <font>
      <sz val="8"/>
      <name val="Times New Roman"/>
      <family val="1"/>
    </font>
    <font>
      <u/>
      <sz val="8.4"/>
      <color indexed="12"/>
      <name val="Arial Narrow"/>
      <family val="2"/>
    </font>
    <font>
      <b/>
      <sz val="10"/>
      <color theme="1"/>
      <name val="Arial Narrow"/>
      <family val="2"/>
    </font>
    <font>
      <b/>
      <i/>
      <sz val="9"/>
      <color theme="1"/>
      <name val="Arial Narrow"/>
      <family val="2"/>
    </font>
    <font>
      <b/>
      <sz val="16"/>
      <color theme="1"/>
      <name val="Arial Narrow"/>
      <family val="2"/>
    </font>
    <font>
      <b/>
      <vertAlign val="superscript"/>
      <sz val="16"/>
      <color theme="1"/>
      <name val="Arial Narrow"/>
      <family val="2"/>
    </font>
  </fonts>
  <fills count="14">
    <fill>
      <patternFill patternType="none"/>
    </fill>
    <fill>
      <patternFill patternType="gray125"/>
    </fill>
    <fill>
      <patternFill patternType="solid">
        <fgColor indexed="43"/>
        <bgColor indexed="64"/>
      </patternFill>
    </fill>
    <fill>
      <patternFill patternType="solid">
        <fgColor indexed="17"/>
        <bgColor indexed="64"/>
      </patternFill>
    </fill>
    <fill>
      <patternFill patternType="solid">
        <fgColor rgb="FFFFFF00"/>
        <bgColor indexed="64"/>
      </patternFill>
    </fill>
    <fill>
      <patternFill patternType="solid">
        <fgColor indexed="55"/>
        <bgColor indexed="64"/>
      </patternFill>
    </fill>
    <fill>
      <patternFill patternType="solid">
        <fgColor rgb="FFFFFFE7"/>
      </patternFill>
    </fill>
    <fill>
      <patternFill patternType="solid">
        <fgColor rgb="FFF1F1F1"/>
      </patternFill>
    </fill>
    <fill>
      <patternFill patternType="solid">
        <fgColor rgb="FFFDE9D9"/>
      </patternFill>
    </fill>
    <fill>
      <patternFill patternType="solid">
        <fgColor rgb="FFC5D9F1"/>
      </patternFill>
    </fill>
    <fill>
      <patternFill patternType="solid">
        <fgColor rgb="FFDAEEF3"/>
      </patternFill>
    </fill>
    <fill>
      <patternFill patternType="solid">
        <fgColor rgb="FFFFFFE7"/>
        <bgColor indexed="64"/>
      </patternFill>
    </fill>
    <fill>
      <patternFill patternType="solid">
        <fgColor theme="0" tint="-4.9989318521683403E-2"/>
        <bgColor indexed="64"/>
      </patternFill>
    </fill>
    <fill>
      <patternFill patternType="solid">
        <fgColor theme="3" tint="0.79998168889431442"/>
        <bgColor indexed="64"/>
      </patternFill>
    </fill>
  </fills>
  <borders count="84">
    <border>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style="thin">
        <color indexed="64"/>
      </top>
      <bottom/>
      <diagonal/>
    </border>
    <border>
      <left/>
      <right/>
      <top style="medium">
        <color indexed="64"/>
      </top>
      <bottom/>
      <diagonal/>
    </border>
    <border>
      <left/>
      <right style="double">
        <color indexed="64"/>
      </right>
      <top/>
      <bottom/>
      <diagonal/>
    </border>
    <border>
      <left style="double">
        <color indexed="64"/>
      </left>
      <right/>
      <top/>
      <bottom/>
      <diagonal/>
    </border>
    <border>
      <left/>
      <right/>
      <top/>
      <bottom style="thin">
        <color indexed="64"/>
      </bottom>
      <diagonal/>
    </border>
    <border>
      <left style="double">
        <color indexed="64"/>
      </left>
      <right/>
      <top style="thin">
        <color indexed="64"/>
      </top>
      <bottom style="medium">
        <color indexed="64"/>
      </bottom>
      <diagonal/>
    </border>
    <border>
      <left/>
      <right/>
      <top style="thin">
        <color indexed="64"/>
      </top>
      <bottom style="medium">
        <color indexed="64"/>
      </bottom>
      <diagonal/>
    </border>
    <border>
      <left/>
      <right/>
      <top/>
      <bottom style="medium">
        <color indexed="64"/>
      </bottom>
      <diagonal/>
    </border>
    <border>
      <left style="double">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double">
        <color indexed="64"/>
      </right>
      <top/>
      <bottom style="medium">
        <color indexed="64"/>
      </bottom>
      <diagonal/>
    </border>
    <border>
      <left/>
      <right/>
      <top style="thin">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medium">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thin">
        <color indexed="64"/>
      </top>
      <bottom/>
      <diagonal/>
    </border>
    <border>
      <left style="thin">
        <color indexed="64"/>
      </left>
      <right/>
      <top/>
      <bottom/>
      <diagonal/>
    </border>
    <border>
      <left style="double">
        <color indexed="64"/>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right style="thin">
        <color indexed="64"/>
      </right>
      <top style="thin">
        <color indexed="64"/>
      </top>
      <bottom/>
      <diagonal/>
    </border>
    <border>
      <left/>
      <right style="thin">
        <color indexed="64"/>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auto="1"/>
      </left>
      <right/>
      <top style="medium">
        <color auto="1"/>
      </top>
      <bottom/>
      <diagonal/>
    </border>
    <border>
      <left/>
      <right style="medium">
        <color indexed="64"/>
      </right>
      <top style="medium">
        <color indexed="64"/>
      </top>
      <bottom/>
      <diagonal/>
    </border>
    <border>
      <left style="medium">
        <color indexed="64"/>
      </left>
      <right/>
      <top/>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style="thin">
        <color auto="1"/>
      </bottom>
      <diagonal/>
    </border>
    <border>
      <left style="thin">
        <color auto="1"/>
      </left>
      <right/>
      <top/>
      <bottom style="thin">
        <color auto="1"/>
      </bottom>
      <diagonal/>
    </border>
    <border>
      <left/>
      <right style="medium">
        <color auto="1"/>
      </right>
      <top/>
      <bottom style="thin">
        <color indexed="64"/>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top/>
      <bottom style="medium">
        <color auto="1"/>
      </bottom>
      <diagonal/>
    </border>
    <border>
      <left/>
      <right style="medium">
        <color auto="1"/>
      </right>
      <top/>
      <bottom style="medium">
        <color auto="1"/>
      </bottom>
      <diagonal/>
    </border>
    <border>
      <left style="thin">
        <color indexed="64"/>
      </left>
      <right style="double">
        <color indexed="64"/>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style="thin">
        <color auto="1"/>
      </left>
      <right style="thin">
        <color auto="1"/>
      </right>
      <top/>
      <bottom style="medium">
        <color auto="1"/>
      </bottom>
      <diagonal/>
    </border>
  </borders>
  <cellStyleXfs count="13">
    <xf numFmtId="0" fontId="0" fillId="0" borderId="0"/>
    <xf numFmtId="43" fontId="3" fillId="0" borderId="0" applyFont="0" applyFill="0" applyBorder="0" applyAlignment="0" applyProtection="0"/>
    <xf numFmtId="9" fontId="3" fillId="0" borderId="0" applyFont="0" applyFill="0" applyBorder="0" applyAlignment="0" applyProtection="0"/>
    <xf numFmtId="0" fontId="6" fillId="0" borderId="0"/>
    <xf numFmtId="43" fontId="6" fillId="0" borderId="0" applyFont="0" applyFill="0" applyBorder="0" applyAlignment="0" applyProtection="0"/>
    <xf numFmtId="0" fontId="17" fillId="0" borderId="0" applyNumberFormat="0" applyFill="0" applyBorder="0" applyAlignment="0" applyProtection="0">
      <alignment vertical="top"/>
      <protection locked="0"/>
    </xf>
    <xf numFmtId="43" fontId="40" fillId="0" borderId="0" applyFont="0" applyFill="0" applyBorder="0" applyAlignment="0" applyProtection="0"/>
    <xf numFmtId="43" fontId="3" fillId="0" borderId="0" applyFont="0" applyFill="0" applyBorder="0" applyAlignment="0" applyProtection="0"/>
    <xf numFmtId="0" fontId="6" fillId="0" borderId="0"/>
    <xf numFmtId="0" fontId="6" fillId="0" borderId="0"/>
    <xf numFmtId="0" fontId="2" fillId="0" borderId="0"/>
    <xf numFmtId="0" fontId="41" fillId="0" borderId="0"/>
    <xf numFmtId="0" fontId="1" fillId="0" borderId="0"/>
  </cellStyleXfs>
  <cellXfs count="519">
    <xf numFmtId="0" fontId="0" fillId="0" borderId="0" xfId="0"/>
    <xf numFmtId="164" fontId="5" fillId="0" borderId="0" xfId="1" applyNumberFormat="1" applyFont="1" applyFill="1" applyBorder="1" applyAlignment="1">
      <alignment horizontal="center" vertical="center"/>
    </xf>
    <xf numFmtId="0" fontId="7" fillId="0" borderId="0" xfId="3" applyFont="1" applyAlignment="1">
      <alignment vertical="center"/>
    </xf>
    <xf numFmtId="0" fontId="7" fillId="0" borderId="0" xfId="3" applyFont="1" applyAlignment="1">
      <alignment horizontal="center"/>
    </xf>
    <xf numFmtId="0" fontId="7" fillId="0" borderId="0" xfId="3" applyFont="1" applyAlignment="1">
      <alignment horizontal="center" vertical="center"/>
    </xf>
    <xf numFmtId="0" fontId="7" fillId="0" borderId="9" xfId="3" applyFont="1" applyBorder="1" applyAlignment="1">
      <alignment horizontal="center"/>
    </xf>
    <xf numFmtId="0" fontId="7" fillId="0" borderId="10" xfId="3" applyFont="1" applyBorder="1" applyAlignment="1">
      <alignment horizontal="center"/>
    </xf>
    <xf numFmtId="0" fontId="7" fillId="0" borderId="10" xfId="3" applyFont="1" applyBorder="1" applyAlignment="1">
      <alignment vertical="top"/>
    </xf>
    <xf numFmtId="0" fontId="7" fillId="0" borderId="11" xfId="3" applyFont="1" applyBorder="1" applyAlignment="1">
      <alignment vertical="center"/>
    </xf>
    <xf numFmtId="16" fontId="7" fillId="0" borderId="0" xfId="3" quotePrefix="1" applyNumberFormat="1" applyFont="1" applyAlignment="1">
      <alignment horizontal="center" vertical="center"/>
    </xf>
    <xf numFmtId="0" fontId="5" fillId="0" borderId="0" xfId="3" applyFont="1" applyAlignment="1">
      <alignment horizontal="center" vertical="center" wrapText="1"/>
    </xf>
    <xf numFmtId="0" fontId="5" fillId="0" borderId="21" xfId="3" applyFont="1" applyBorder="1" applyAlignment="1">
      <alignment horizontal="center" vertical="center" wrapText="1" shrinkToFit="1"/>
    </xf>
    <xf numFmtId="0" fontId="5" fillId="0" borderId="21" xfId="3" applyFont="1" applyBorder="1" applyAlignment="1">
      <alignment horizontal="center" vertical="center" wrapText="1"/>
    </xf>
    <xf numFmtId="0" fontId="5" fillId="0" borderId="22" xfId="3" applyFont="1" applyBorder="1" applyAlignment="1">
      <alignment horizontal="center" vertical="center" wrapText="1"/>
    </xf>
    <xf numFmtId="0" fontId="5" fillId="0" borderId="0" xfId="3" applyFont="1" applyAlignment="1">
      <alignment vertical="center"/>
    </xf>
    <xf numFmtId="0" fontId="10" fillId="0" borderId="24" xfId="0" applyFont="1" applyBorder="1" applyAlignment="1">
      <alignment horizontal="center" vertical="center" readingOrder="1"/>
    </xf>
    <xf numFmtId="0" fontId="10" fillId="0" borderId="25" xfId="0" applyFont="1" applyBorder="1" applyAlignment="1">
      <alignment horizontal="left" vertical="center" readingOrder="1"/>
    </xf>
    <xf numFmtId="168" fontId="11" fillId="0" borderId="17" xfId="0" applyNumberFormat="1" applyFont="1" applyBorder="1" applyAlignment="1">
      <alignment vertical="center" wrapText="1"/>
    </xf>
    <xf numFmtId="167" fontId="7" fillId="0" borderId="13" xfId="1" applyNumberFormat="1" applyFont="1" applyFill="1" applyBorder="1" applyAlignment="1">
      <alignment horizontal="right"/>
    </xf>
    <xf numFmtId="167" fontId="7" fillId="0" borderId="14" xfId="1" applyNumberFormat="1" applyFont="1" applyFill="1" applyBorder="1" applyAlignment="1">
      <alignment horizontal="right"/>
    </xf>
    <xf numFmtId="167" fontId="7" fillId="0" borderId="15" xfId="1" applyNumberFormat="1" applyFont="1" applyFill="1" applyBorder="1" applyAlignment="1">
      <alignment horizontal="right"/>
    </xf>
    <xf numFmtId="2" fontId="7" fillId="0" borderId="0" xfId="3" applyNumberFormat="1" applyFont="1" applyAlignment="1">
      <alignment vertical="center"/>
    </xf>
    <xf numFmtId="0" fontId="12" fillId="0" borderId="26" xfId="0" applyFont="1" applyBorder="1" applyAlignment="1">
      <alignment horizontal="center" vertical="top"/>
    </xf>
    <xf numFmtId="43" fontId="12" fillId="0" borderId="27" xfId="4" applyFont="1" applyFill="1" applyBorder="1" applyAlignment="1">
      <alignment vertical="top" wrapText="1"/>
    </xf>
    <xf numFmtId="37" fontId="12" fillId="0" borderId="27" xfId="0" applyNumberFormat="1" applyFont="1" applyBorder="1" applyAlignment="1">
      <alignment horizontal="center" vertical="top"/>
    </xf>
    <xf numFmtId="167" fontId="7" fillId="0" borderId="17" xfId="1" applyNumberFormat="1" applyFont="1" applyFill="1" applyBorder="1" applyAlignment="1">
      <alignment horizontal="right"/>
    </xf>
    <xf numFmtId="167" fontId="7" fillId="0" borderId="18" xfId="1" applyNumberFormat="1" applyFont="1" applyFill="1" applyBorder="1" applyAlignment="1">
      <alignment horizontal="right"/>
    </xf>
    <xf numFmtId="167" fontId="7" fillId="0" borderId="19" xfId="1" applyNumberFormat="1" applyFont="1" applyFill="1" applyBorder="1" applyAlignment="1">
      <alignment horizontal="right"/>
    </xf>
    <xf numFmtId="0" fontId="12" fillId="0" borderId="24" xfId="0" applyFont="1" applyBorder="1" applyAlignment="1">
      <alignment horizontal="center" vertical="top"/>
    </xf>
    <xf numFmtId="43" fontId="12" fillId="0" borderId="25" xfId="4" applyFont="1" applyFill="1" applyBorder="1" applyAlignment="1">
      <alignment vertical="top" wrapText="1"/>
    </xf>
    <xf numFmtId="37" fontId="12" fillId="0" borderId="25" xfId="0" applyNumberFormat="1" applyFont="1" applyBorder="1" applyAlignment="1">
      <alignment horizontal="center" vertical="top"/>
    </xf>
    <xf numFmtId="0" fontId="12" fillId="0" borderId="16" xfId="0" applyFont="1" applyBorder="1" applyAlignment="1">
      <alignment horizontal="center" vertical="top"/>
    </xf>
    <xf numFmtId="43" fontId="12" fillId="0" borderId="17" xfId="4" applyFont="1" applyFill="1" applyBorder="1" applyAlignment="1">
      <alignment horizontal="left" vertical="top" wrapText="1"/>
    </xf>
    <xf numFmtId="37" fontId="12" fillId="0" borderId="17" xfId="0" applyNumberFormat="1" applyFont="1" applyBorder="1" applyAlignment="1">
      <alignment horizontal="center" vertical="top"/>
    </xf>
    <xf numFmtId="43" fontId="12" fillId="0" borderId="17" xfId="4" applyFont="1" applyFill="1" applyBorder="1" applyAlignment="1">
      <alignment vertical="top" wrapText="1"/>
    </xf>
    <xf numFmtId="0" fontId="12" fillId="0" borderId="17" xfId="0" applyFont="1" applyBorder="1" applyAlignment="1">
      <alignment horizontal="center" vertical="top"/>
    </xf>
    <xf numFmtId="43" fontId="12" fillId="0" borderId="17" xfId="4" applyFont="1" applyFill="1" applyBorder="1" applyAlignment="1">
      <alignment horizontal="left" vertical="top"/>
    </xf>
    <xf numFmtId="2" fontId="13" fillId="0" borderId="0" xfId="3" applyNumberFormat="1" applyFont="1" applyAlignment="1">
      <alignment vertical="center"/>
    </xf>
    <xf numFmtId="0" fontId="13" fillId="0" borderId="0" xfId="3" applyFont="1" applyAlignment="1">
      <alignment vertical="center"/>
    </xf>
    <xf numFmtId="169" fontId="13" fillId="0" borderId="0" xfId="3" applyNumberFormat="1" applyFont="1" applyAlignment="1">
      <alignment vertical="center"/>
    </xf>
    <xf numFmtId="0" fontId="12" fillId="0" borderId="16" xfId="0" applyFont="1" applyBorder="1" applyAlignment="1">
      <alignment horizontal="center" vertical="top" wrapText="1"/>
    </xf>
    <xf numFmtId="167" fontId="13" fillId="0" borderId="0" xfId="3" applyNumberFormat="1" applyFont="1" applyAlignment="1">
      <alignment vertical="center"/>
    </xf>
    <xf numFmtId="43" fontId="13" fillId="0" borderId="0" xfId="1" applyFont="1" applyFill="1" applyBorder="1" applyAlignment="1">
      <alignment vertical="center"/>
    </xf>
    <xf numFmtId="9" fontId="13" fillId="0" borderId="0" xfId="2" applyFont="1" applyFill="1" applyBorder="1" applyAlignment="1">
      <alignment vertical="center"/>
    </xf>
    <xf numFmtId="43" fontId="12" fillId="0" borderId="17" xfId="4" applyFont="1" applyFill="1" applyBorder="1" applyAlignment="1">
      <alignment vertical="top"/>
    </xf>
    <xf numFmtId="43" fontId="12" fillId="0" borderId="17" xfId="4" applyFont="1" applyFill="1" applyBorder="1" applyAlignment="1" applyProtection="1">
      <alignment horizontal="left" vertical="top" wrapText="1"/>
    </xf>
    <xf numFmtId="43" fontId="12" fillId="0" borderId="17" xfId="4" applyFont="1" applyFill="1" applyBorder="1" applyAlignment="1" applyProtection="1">
      <alignment vertical="top" wrapText="1"/>
    </xf>
    <xf numFmtId="2" fontId="14" fillId="0" borderId="0" xfId="3" applyNumberFormat="1" applyFont="1" applyAlignment="1">
      <alignment vertical="center"/>
    </xf>
    <xf numFmtId="168" fontId="13" fillId="0" borderId="0" xfId="3" applyNumberFormat="1" applyFont="1" applyAlignment="1">
      <alignment vertical="center"/>
    </xf>
    <xf numFmtId="43" fontId="12" fillId="0" borderId="16" xfId="4" applyFont="1" applyFill="1" applyBorder="1" applyAlignment="1">
      <alignment horizontal="center" vertical="top" wrapText="1"/>
    </xf>
    <xf numFmtId="43" fontId="12" fillId="0" borderId="17" xfId="4" applyFont="1" applyFill="1" applyBorder="1" applyAlignment="1">
      <alignment horizontal="center" vertical="top" wrapText="1"/>
    </xf>
    <xf numFmtId="0" fontId="12" fillId="0" borderId="17" xfId="0" applyFont="1" applyBorder="1" applyAlignment="1">
      <alignment horizontal="center" vertical="top" wrapText="1"/>
    </xf>
    <xf numFmtId="37" fontId="12" fillId="0" borderId="16" xfId="0" applyNumberFormat="1" applyFont="1" applyBorder="1" applyAlignment="1">
      <alignment horizontal="center" vertical="top"/>
    </xf>
    <xf numFmtId="170" fontId="12" fillId="0" borderId="17" xfId="0" applyNumberFormat="1" applyFont="1" applyBorder="1" applyAlignment="1">
      <alignment horizontal="center" vertical="top"/>
    </xf>
    <xf numFmtId="43" fontId="7" fillId="0" borderId="17" xfId="1" applyFont="1" applyFill="1" applyBorder="1" applyAlignment="1">
      <alignment horizontal="right"/>
    </xf>
    <xf numFmtId="0" fontId="12" fillId="0" borderId="17" xfId="0" applyFont="1" applyBorder="1" applyAlignment="1">
      <alignment horizontal="justify" vertical="top" wrapText="1"/>
    </xf>
    <xf numFmtId="168" fontId="15" fillId="0" borderId="17" xfId="4" applyNumberFormat="1" applyFont="1" applyFill="1" applyBorder="1" applyAlignment="1" applyProtection="1">
      <alignment horizontal="right" vertical="center" readingOrder="1"/>
    </xf>
    <xf numFmtId="0" fontId="5" fillId="0" borderId="12" xfId="3" applyFont="1" applyBorder="1" applyAlignment="1">
      <alignment horizontal="center"/>
    </xf>
    <xf numFmtId="0" fontId="5" fillId="0" borderId="13" xfId="3" applyFont="1" applyBorder="1" applyAlignment="1">
      <alignment horizontal="center"/>
    </xf>
    <xf numFmtId="0" fontId="5" fillId="0" borderId="13" xfId="3" applyFont="1" applyBorder="1" applyAlignment="1">
      <alignment vertical="center"/>
    </xf>
    <xf numFmtId="43" fontId="9" fillId="0" borderId="13" xfId="1" applyFont="1" applyFill="1" applyBorder="1" applyAlignment="1">
      <alignment horizontal="center"/>
    </xf>
    <xf numFmtId="167" fontId="5" fillId="0" borderId="13" xfId="1" applyNumberFormat="1" applyFont="1" applyFill="1" applyBorder="1" applyAlignment="1">
      <alignment horizontal="right" vertical="center"/>
    </xf>
    <xf numFmtId="167" fontId="5" fillId="0" borderId="29" xfId="1" applyNumberFormat="1" applyFont="1" applyFill="1" applyBorder="1" applyAlignment="1">
      <alignment horizontal="right" vertical="center"/>
    </xf>
    <xf numFmtId="167" fontId="5" fillId="0" borderId="14" xfId="1" applyNumberFormat="1" applyFont="1" applyFill="1" applyBorder="1" applyAlignment="1">
      <alignment horizontal="right" vertical="center"/>
    </xf>
    <xf numFmtId="167" fontId="5" fillId="0" borderId="19" xfId="1" applyNumberFormat="1" applyFont="1" applyFill="1" applyBorder="1" applyAlignment="1">
      <alignment horizontal="right" vertical="center"/>
    </xf>
    <xf numFmtId="2" fontId="5" fillId="0" borderId="0" xfId="3" applyNumberFormat="1" applyFont="1" applyAlignment="1">
      <alignment vertical="center"/>
    </xf>
    <xf numFmtId="10" fontId="7" fillId="0" borderId="20" xfId="3" applyNumberFormat="1" applyFont="1" applyBorder="1" applyAlignment="1">
      <alignment horizontal="center" vertical="center"/>
    </xf>
    <xf numFmtId="10" fontId="5" fillId="0" borderId="21" xfId="3" applyNumberFormat="1" applyFont="1" applyBorder="1" applyAlignment="1">
      <alignment horizontal="center" vertical="center"/>
    </xf>
    <xf numFmtId="10" fontId="7" fillId="0" borderId="21" xfId="3" applyNumberFormat="1" applyFont="1" applyBorder="1" applyAlignment="1">
      <alignment horizontal="center" vertical="center"/>
    </xf>
    <xf numFmtId="10" fontId="5" fillId="0" borderId="21" xfId="1" applyNumberFormat="1" applyFont="1" applyFill="1" applyBorder="1" applyAlignment="1">
      <alignment horizontal="right" vertical="center"/>
    </xf>
    <xf numFmtId="9" fontId="5" fillId="0" borderId="22" xfId="1" applyNumberFormat="1" applyFont="1" applyFill="1" applyBorder="1" applyAlignment="1">
      <alignment horizontal="right" vertical="center"/>
    </xf>
    <xf numFmtId="9" fontId="5" fillId="0" borderId="30" xfId="1" applyNumberFormat="1" applyFont="1" applyFill="1" applyBorder="1" applyAlignment="1">
      <alignment horizontal="right" vertical="center"/>
    </xf>
    <xf numFmtId="43" fontId="7" fillId="0" borderId="0" xfId="1" applyFont="1" applyFill="1" applyBorder="1" applyAlignment="1">
      <alignment vertical="center"/>
    </xf>
    <xf numFmtId="10" fontId="7" fillId="0" borderId="0" xfId="3" applyNumberFormat="1" applyFont="1" applyAlignment="1">
      <alignment vertical="center"/>
    </xf>
    <xf numFmtId="0" fontId="4" fillId="0" borderId="4" xfId="3" applyFont="1" applyBorder="1"/>
    <xf numFmtId="0" fontId="16" fillId="0" borderId="31" xfId="3" applyFont="1" applyBorder="1"/>
    <xf numFmtId="0" fontId="7" fillId="0" borderId="31" xfId="3" applyFont="1" applyBorder="1" applyAlignment="1">
      <alignment horizontal="center"/>
    </xf>
    <xf numFmtId="170" fontId="7" fillId="0" borderId="31" xfId="3" applyNumberFormat="1" applyFont="1" applyBorder="1" applyAlignment="1">
      <alignment horizontal="center"/>
    </xf>
    <xf numFmtId="43" fontId="7" fillId="0" borderId="31" xfId="1" applyFont="1" applyFill="1" applyBorder="1" applyAlignment="1">
      <alignment horizontal="center"/>
    </xf>
    <xf numFmtId="43" fontId="7" fillId="0" borderId="31" xfId="1" applyFont="1" applyFill="1" applyBorder="1" applyAlignment="1">
      <alignment horizontal="center" vertical="center"/>
    </xf>
    <xf numFmtId="43" fontId="7" fillId="0" borderId="0" xfId="1" applyFont="1" applyFill="1" applyBorder="1" applyAlignment="1">
      <alignment horizontal="center" vertical="center"/>
    </xf>
    <xf numFmtId="43" fontId="7" fillId="0" borderId="6" xfId="1" applyFont="1" applyFill="1" applyBorder="1" applyAlignment="1">
      <alignment horizontal="center" vertical="center"/>
    </xf>
    <xf numFmtId="43" fontId="5" fillId="2" borderId="17" xfId="1" applyFont="1" applyFill="1" applyBorder="1" applyAlignment="1">
      <alignment horizontal="center" vertical="center" wrapText="1" shrinkToFit="1"/>
    </xf>
    <xf numFmtId="43" fontId="5" fillId="2" borderId="32" xfId="1" applyFont="1" applyFill="1" applyBorder="1" applyAlignment="1">
      <alignment horizontal="center" vertical="center" wrapText="1" shrinkToFit="1"/>
    </xf>
    <xf numFmtId="43" fontId="5" fillId="2" borderId="25" xfId="1" applyFont="1" applyFill="1" applyBorder="1" applyAlignment="1">
      <alignment horizontal="center" vertical="center"/>
    </xf>
    <xf numFmtId="43" fontId="5" fillId="2" borderId="33" xfId="1" applyFont="1" applyFill="1" applyBorder="1" applyAlignment="1">
      <alignment horizontal="center" vertical="center"/>
    </xf>
    <xf numFmtId="0" fontId="5" fillId="0" borderId="7" xfId="3" applyFont="1" applyBorder="1" applyAlignment="1">
      <alignment vertical="center"/>
    </xf>
    <xf numFmtId="43" fontId="5" fillId="0" borderId="34" xfId="1" applyFont="1" applyFill="1" applyBorder="1" applyAlignment="1">
      <alignment horizontal="left" vertical="center"/>
    </xf>
    <xf numFmtId="0" fontId="7" fillId="0" borderId="6" xfId="3" applyFont="1" applyBorder="1" applyAlignment="1">
      <alignment horizontal="center" vertical="center"/>
    </xf>
    <xf numFmtId="0" fontId="5" fillId="0" borderId="35" xfId="3" applyFont="1" applyBorder="1" applyAlignment="1">
      <alignment vertical="center"/>
    </xf>
    <xf numFmtId="0" fontId="5" fillId="0" borderId="36" xfId="3" applyFont="1" applyBorder="1" applyAlignment="1">
      <alignment vertical="center"/>
    </xf>
    <xf numFmtId="0" fontId="7" fillId="0" borderId="36" xfId="3" applyFont="1" applyBorder="1" applyAlignment="1">
      <alignment horizontal="center" vertical="center"/>
    </xf>
    <xf numFmtId="43" fontId="7" fillId="0" borderId="36" xfId="1" applyFont="1" applyFill="1" applyBorder="1" applyAlignment="1">
      <alignment horizontal="center" vertical="center"/>
    </xf>
    <xf numFmtId="43" fontId="7" fillId="0" borderId="37" xfId="1" applyFont="1" applyFill="1" applyBorder="1" applyAlignment="1">
      <alignment horizontal="center" vertical="center"/>
    </xf>
    <xf numFmtId="43" fontId="7" fillId="0" borderId="0" xfId="3" applyNumberFormat="1" applyFont="1" applyAlignment="1">
      <alignment vertical="center"/>
    </xf>
    <xf numFmtId="0" fontId="8" fillId="0" borderId="38" xfId="0" applyFont="1" applyBorder="1" applyAlignment="1">
      <alignment horizontal="left"/>
    </xf>
    <xf numFmtId="0" fontId="19" fillId="0" borderId="2" xfId="3" applyFont="1" applyBorder="1" applyAlignment="1">
      <alignment horizontal="left"/>
    </xf>
    <xf numFmtId="0" fontId="19" fillId="0" borderId="2" xfId="3" applyFont="1" applyBorder="1" applyAlignment="1">
      <alignment horizontal="center"/>
    </xf>
    <xf numFmtId="164" fontId="19" fillId="0" borderId="2" xfId="1" applyNumberFormat="1" applyFont="1" applyBorder="1" applyAlignment="1">
      <alignment horizontal="center"/>
    </xf>
    <xf numFmtId="0" fontId="6" fillId="0" borderId="0" xfId="3"/>
    <xf numFmtId="0" fontId="6" fillId="0" borderId="0" xfId="3" applyAlignment="1">
      <alignment horizontal="center"/>
    </xf>
    <xf numFmtId="0" fontId="8" fillId="0" borderId="39" xfId="0" applyFont="1" applyBorder="1" applyAlignment="1">
      <alignment horizontal="left"/>
    </xf>
    <xf numFmtId="0" fontId="19" fillId="0" borderId="0" xfId="3" applyFont="1" applyAlignment="1">
      <alignment horizontal="left"/>
    </xf>
    <xf numFmtId="0" fontId="19" fillId="0" borderId="0" xfId="3" applyFont="1" applyAlignment="1">
      <alignment horizontal="center"/>
    </xf>
    <xf numFmtId="164" fontId="20" fillId="0" borderId="0" xfId="1" applyNumberFormat="1" applyFont="1" applyBorder="1" applyAlignment="1">
      <alignment horizontal="center"/>
    </xf>
    <xf numFmtId="164" fontId="20" fillId="0" borderId="6" xfId="1" applyNumberFormat="1" applyFont="1" applyBorder="1" applyAlignment="1">
      <alignment horizontal="center"/>
    </xf>
    <xf numFmtId="14" fontId="6" fillId="0" borderId="0" xfId="3" applyNumberFormat="1"/>
    <xf numFmtId="0" fontId="8" fillId="0" borderId="39" xfId="0" applyFont="1" applyBorder="1"/>
    <xf numFmtId="0" fontId="19" fillId="0" borderId="0" xfId="3" applyFont="1"/>
    <xf numFmtId="0" fontId="21" fillId="0" borderId="36" xfId="3" applyFont="1" applyBorder="1"/>
    <xf numFmtId="0" fontId="21" fillId="0" borderId="36" xfId="3" applyFont="1" applyBorder="1" applyAlignment="1">
      <alignment horizontal="center"/>
    </xf>
    <xf numFmtId="0" fontId="27" fillId="0" borderId="0" xfId="3" applyFont="1" applyAlignment="1">
      <alignment horizontal="center"/>
    </xf>
    <xf numFmtId="0" fontId="28" fillId="0" borderId="0" xfId="3" applyFont="1" applyAlignment="1">
      <alignment horizontal="center"/>
    </xf>
    <xf numFmtId="0" fontId="22" fillId="0" borderId="24" xfId="3" applyFont="1" applyBorder="1" applyAlignment="1">
      <alignment horizontal="center"/>
    </xf>
    <xf numFmtId="0" fontId="22" fillId="0" borderId="25" xfId="3" applyFont="1" applyBorder="1"/>
    <xf numFmtId="0" fontId="23" fillId="0" borderId="25" xfId="3" applyFont="1" applyBorder="1" applyAlignment="1">
      <alignment horizontal="center" wrapText="1"/>
    </xf>
    <xf numFmtId="0" fontId="24" fillId="0" borderId="25" xfId="3" applyFont="1" applyBorder="1" applyAlignment="1">
      <alignment horizontal="center" wrapText="1"/>
    </xf>
    <xf numFmtId="167" fontId="25" fillId="0" borderId="25" xfId="3" applyNumberFormat="1" applyFont="1" applyBorder="1" applyAlignment="1">
      <alignment horizontal="center" wrapText="1"/>
    </xf>
    <xf numFmtId="167" fontId="26" fillId="0" borderId="25" xfId="3" applyNumberFormat="1" applyFont="1" applyBorder="1" applyAlignment="1">
      <alignment horizontal="center" wrapText="1"/>
    </xf>
    <xf numFmtId="9" fontId="28" fillId="0" borderId="19" xfId="2" applyFont="1" applyFill="1" applyBorder="1" applyAlignment="1">
      <alignment horizontal="center"/>
    </xf>
    <xf numFmtId="167" fontId="6" fillId="0" borderId="0" xfId="1" applyNumberFormat="1" applyFont="1"/>
    <xf numFmtId="43" fontId="6" fillId="0" borderId="0" xfId="3" applyNumberFormat="1"/>
    <xf numFmtId="43" fontId="6" fillId="0" borderId="0" xfId="1" applyFont="1"/>
    <xf numFmtId="0" fontId="27" fillId="0" borderId="16" xfId="3" applyFont="1" applyBorder="1" applyAlignment="1">
      <alignment horizontal="center"/>
    </xf>
    <xf numFmtId="0" fontId="27" fillId="0" borderId="17" xfId="3" applyFont="1" applyBorder="1"/>
    <xf numFmtId="167" fontId="27" fillId="0" borderId="17" xfId="3" applyNumberFormat="1" applyFont="1" applyBorder="1" applyAlignment="1">
      <alignment horizontal="center"/>
    </xf>
    <xf numFmtId="167" fontId="30" fillId="0" borderId="17" xfId="3" applyNumberFormat="1" applyFont="1" applyBorder="1" applyAlignment="1">
      <alignment horizontal="center"/>
    </xf>
    <xf numFmtId="9" fontId="27" fillId="0" borderId="19" xfId="2" applyFont="1" applyFill="1" applyBorder="1" applyAlignment="1">
      <alignment horizontal="center"/>
    </xf>
    <xf numFmtId="1" fontId="6" fillId="0" borderId="0" xfId="3" applyNumberFormat="1"/>
    <xf numFmtId="9" fontId="18" fillId="0" borderId="0" xfId="2" applyFont="1" applyAlignment="1">
      <alignment horizontal="center"/>
    </xf>
    <xf numFmtId="167" fontId="6" fillId="0" borderId="0" xfId="3" applyNumberFormat="1"/>
    <xf numFmtId="167" fontId="27" fillId="0" borderId="28" xfId="3" applyNumberFormat="1" applyFont="1" applyBorder="1" applyAlignment="1">
      <alignment horizontal="center"/>
    </xf>
    <xf numFmtId="167" fontId="30" fillId="0" borderId="28" xfId="3" applyNumberFormat="1" applyFont="1" applyBorder="1" applyAlignment="1">
      <alignment horizontal="center"/>
    </xf>
    <xf numFmtId="0" fontId="22" fillId="0" borderId="16" xfId="3" applyFont="1" applyBorder="1" applyAlignment="1">
      <alignment horizontal="center"/>
    </xf>
    <xf numFmtId="0" fontId="22" fillId="0" borderId="17" xfId="3" applyFont="1" applyBorder="1"/>
    <xf numFmtId="167" fontId="28" fillId="0" borderId="28" xfId="3" applyNumberFormat="1" applyFont="1" applyBorder="1" applyAlignment="1">
      <alignment horizontal="center"/>
    </xf>
    <xf numFmtId="9" fontId="27" fillId="0" borderId="19" xfId="2" applyFont="1" applyBorder="1" applyAlignment="1">
      <alignment horizontal="center"/>
    </xf>
    <xf numFmtId="9" fontId="6" fillId="0" borderId="0" xfId="2" applyFont="1"/>
    <xf numFmtId="0" fontId="27" fillId="0" borderId="28" xfId="3" applyFont="1" applyBorder="1"/>
    <xf numFmtId="0" fontId="22" fillId="0" borderId="28" xfId="3" applyFont="1" applyBorder="1"/>
    <xf numFmtId="167" fontId="31" fillId="0" borderId="41" xfId="3" applyNumberFormat="1" applyFont="1" applyBorder="1" applyAlignment="1">
      <alignment horizontal="center"/>
    </xf>
    <xf numFmtId="167" fontId="31" fillId="0" borderId="41" xfId="1" applyNumberFormat="1" applyFont="1" applyBorder="1" applyAlignment="1">
      <alignment horizontal="center"/>
    </xf>
    <xf numFmtId="9" fontId="28" fillId="0" borderId="42" xfId="2" applyFont="1" applyFill="1" applyBorder="1" applyAlignment="1">
      <alignment horizontal="center"/>
    </xf>
    <xf numFmtId="167" fontId="6" fillId="0" borderId="0" xfId="2" applyNumberFormat="1" applyFont="1"/>
    <xf numFmtId="0" fontId="10" fillId="0" borderId="0" xfId="3" applyFont="1" applyAlignment="1">
      <alignment horizontal="center"/>
    </xf>
    <xf numFmtId="0" fontId="10" fillId="0" borderId="0" xfId="3" applyFont="1" applyAlignment="1">
      <alignment horizontal="left"/>
    </xf>
    <xf numFmtId="43" fontId="10" fillId="0" borderId="0" xfId="3" applyNumberFormat="1" applyFont="1" applyAlignment="1">
      <alignment horizontal="center"/>
    </xf>
    <xf numFmtId="9" fontId="10" fillId="0" borderId="0" xfId="2" applyFont="1" applyBorder="1" applyAlignment="1">
      <alignment horizontal="center"/>
    </xf>
    <xf numFmtId="0" fontId="32" fillId="0" borderId="0" xfId="3" applyFont="1" applyAlignment="1">
      <alignment horizontal="right" vertical="center"/>
    </xf>
    <xf numFmtId="0" fontId="10" fillId="0" borderId="0" xfId="3" applyFont="1" applyAlignment="1">
      <alignment horizontal="center" vertical="center"/>
    </xf>
    <xf numFmtId="43" fontId="33" fillId="0" borderId="0" xfId="3" applyNumberFormat="1" applyFont="1" applyAlignment="1">
      <alignment horizontal="center"/>
    </xf>
    <xf numFmtId="43" fontId="34" fillId="0" borderId="0" xfId="3" applyNumberFormat="1" applyFont="1" applyAlignment="1">
      <alignment horizontal="center"/>
    </xf>
    <xf numFmtId="43" fontId="10" fillId="0" borderId="0" xfId="2" applyNumberFormat="1" applyFont="1" applyBorder="1" applyAlignment="1">
      <alignment horizontal="center"/>
    </xf>
    <xf numFmtId="0" fontId="10" fillId="0" borderId="0" xfId="3" applyFont="1" applyAlignment="1">
      <alignment vertical="center"/>
    </xf>
    <xf numFmtId="167" fontId="6" fillId="0" borderId="0" xfId="3" applyNumberFormat="1" applyAlignment="1">
      <alignment horizontal="center"/>
    </xf>
    <xf numFmtId="43" fontId="10" fillId="0" borderId="0" xfId="1" applyFont="1" applyBorder="1" applyAlignment="1">
      <alignment horizontal="center" vertical="center"/>
    </xf>
    <xf numFmtId="9" fontId="6" fillId="0" borderId="0" xfId="2" applyFont="1" applyAlignment="1">
      <alignment horizontal="center"/>
    </xf>
    <xf numFmtId="167" fontId="6" fillId="0" borderId="0" xfId="1" applyNumberFormat="1" applyFont="1" applyAlignment="1">
      <alignment horizontal="center"/>
    </xf>
    <xf numFmtId="0" fontId="35" fillId="0" borderId="0" xfId="3" applyFont="1"/>
    <xf numFmtId="9" fontId="10" fillId="0" borderId="0" xfId="2" applyFont="1" applyAlignment="1">
      <alignment horizontal="center"/>
    </xf>
    <xf numFmtId="43" fontId="6" fillId="0" borderId="0" xfId="1" applyFont="1" applyAlignment="1">
      <alignment horizontal="center"/>
    </xf>
    <xf numFmtId="10" fontId="10" fillId="0" borderId="0" xfId="2" applyNumberFormat="1" applyFont="1" applyAlignment="1">
      <alignment horizontal="center"/>
    </xf>
    <xf numFmtId="43" fontId="6" fillId="0" borderId="0" xfId="3" applyNumberFormat="1" applyAlignment="1">
      <alignment horizontal="center"/>
    </xf>
    <xf numFmtId="0" fontId="6" fillId="3" borderId="0" xfId="3" applyFill="1"/>
    <xf numFmtId="164" fontId="36" fillId="0" borderId="38" xfId="1" applyNumberFormat="1" applyFont="1" applyFill="1" applyBorder="1" applyAlignment="1">
      <alignment vertical="center"/>
    </xf>
    <xf numFmtId="164" fontId="8" fillId="0" borderId="31" xfId="1" applyNumberFormat="1" applyFont="1" applyFill="1" applyBorder="1" applyAlignment="1">
      <alignment vertical="center"/>
    </xf>
    <xf numFmtId="164" fontId="36" fillId="0" borderId="31" xfId="1" applyNumberFormat="1" applyFont="1" applyBorder="1" applyAlignment="1">
      <alignment vertical="center"/>
    </xf>
    <xf numFmtId="167" fontId="36" fillId="0" borderId="31" xfId="1" applyNumberFormat="1" applyFont="1" applyFill="1" applyBorder="1" applyAlignment="1">
      <alignment vertical="center"/>
    </xf>
    <xf numFmtId="167" fontId="36" fillId="0" borderId="31" xfId="1" applyNumberFormat="1" applyFont="1" applyBorder="1" applyAlignment="1">
      <alignment vertical="center"/>
    </xf>
    <xf numFmtId="164" fontId="36" fillId="0" borderId="31" xfId="1" applyNumberFormat="1" applyFont="1" applyFill="1" applyBorder="1" applyAlignment="1">
      <alignment vertical="center"/>
    </xf>
    <xf numFmtId="164" fontId="8" fillId="0" borderId="31" xfId="1" applyNumberFormat="1" applyFont="1" applyFill="1" applyBorder="1" applyAlignment="1">
      <alignment horizontal="center" vertical="center"/>
    </xf>
    <xf numFmtId="0" fontId="8" fillId="0" borderId="0" xfId="0" applyFont="1"/>
    <xf numFmtId="0" fontId="8" fillId="4" borderId="0" xfId="0" applyFont="1" applyFill="1"/>
    <xf numFmtId="0" fontId="37" fillId="0" borderId="0" xfId="0" applyFont="1"/>
    <xf numFmtId="0" fontId="8" fillId="0" borderId="31" xfId="0" applyFont="1" applyBorder="1" applyAlignment="1">
      <alignment horizontal="left"/>
    </xf>
    <xf numFmtId="0" fontId="8" fillId="0" borderId="31" xfId="0" applyFont="1" applyBorder="1" applyAlignment="1">
      <alignment horizontal="left" vertical="center"/>
    </xf>
    <xf numFmtId="166" fontId="8" fillId="0" borderId="43" xfId="0" applyNumberFormat="1" applyFont="1" applyBorder="1" applyAlignment="1">
      <alignment horizontal="left" vertical="center"/>
    </xf>
    <xf numFmtId="167" fontId="8" fillId="0" borderId="0" xfId="0" applyNumberFormat="1" applyFont="1" applyAlignment="1">
      <alignment horizontal="left" vertical="center"/>
    </xf>
    <xf numFmtId="166" fontId="8" fillId="0" borderId="0" xfId="0" applyNumberFormat="1" applyFont="1" applyAlignment="1">
      <alignment horizontal="left" vertical="center"/>
    </xf>
    <xf numFmtId="14" fontId="8" fillId="0" borderId="0" xfId="0" applyNumberFormat="1" applyFont="1" applyAlignment="1">
      <alignment vertical="center"/>
    </xf>
    <xf numFmtId="0" fontId="8" fillId="0" borderId="0" xfId="0" applyFont="1" applyAlignment="1">
      <alignment horizontal="left" vertical="center"/>
    </xf>
    <xf numFmtId="0" fontId="8" fillId="0" borderId="0" xfId="0" applyFont="1" applyAlignment="1">
      <alignment vertical="center"/>
    </xf>
    <xf numFmtId="166" fontId="8" fillId="0" borderId="0" xfId="0" applyNumberFormat="1" applyFont="1" applyAlignment="1">
      <alignment vertical="center"/>
    </xf>
    <xf numFmtId="0" fontId="8" fillId="0" borderId="0" xfId="0" applyFont="1" applyAlignment="1">
      <alignment horizontal="left"/>
    </xf>
    <xf numFmtId="166" fontId="8" fillId="0" borderId="44" xfId="0" applyNumberFormat="1" applyFont="1" applyBorder="1" applyAlignment="1">
      <alignment horizontal="left" vertical="center"/>
    </xf>
    <xf numFmtId="0" fontId="8" fillId="0" borderId="44" xfId="0" applyFont="1" applyBorder="1" applyAlignment="1">
      <alignment vertical="center"/>
    </xf>
    <xf numFmtId="167" fontId="38" fillId="0" borderId="0" xfId="0" applyNumberFormat="1" applyFont="1" applyAlignment="1">
      <alignment vertical="center"/>
    </xf>
    <xf numFmtId="0" fontId="38" fillId="0" borderId="0" xfId="0" applyFont="1" applyAlignment="1">
      <alignment vertical="center"/>
    </xf>
    <xf numFmtId="164" fontId="8" fillId="0" borderId="0" xfId="1" applyNumberFormat="1" applyFont="1" applyFill="1" applyBorder="1" applyAlignment="1">
      <alignment horizontal="center"/>
    </xf>
    <xf numFmtId="0" fontId="8" fillId="0" borderId="0" xfId="0" applyFont="1" applyAlignment="1">
      <alignment horizontal="center" vertical="center"/>
    </xf>
    <xf numFmtId="0" fontId="37" fillId="0" borderId="44" xfId="0" applyFont="1" applyBorder="1" applyAlignment="1">
      <alignment vertical="center"/>
    </xf>
    <xf numFmtId="167" fontId="37" fillId="0" borderId="0" xfId="0" applyNumberFormat="1" applyFont="1" applyAlignment="1">
      <alignment vertical="center"/>
    </xf>
    <xf numFmtId="0" fontId="37" fillId="0" borderId="0" xfId="0" applyFont="1" applyAlignment="1">
      <alignment vertical="center"/>
    </xf>
    <xf numFmtId="49" fontId="8" fillId="0" borderId="17" xfId="0" applyNumberFormat="1" applyFont="1" applyBorder="1" applyAlignment="1">
      <alignment horizontal="center" vertical="center" wrapText="1"/>
    </xf>
    <xf numFmtId="0" fontId="8" fillId="0" borderId="17" xfId="0" applyFont="1" applyBorder="1" applyAlignment="1">
      <alignment horizontal="center" vertical="center" wrapText="1"/>
    </xf>
    <xf numFmtId="168" fontId="8" fillId="0" borderId="17" xfId="0" applyNumberFormat="1" applyFont="1" applyBorder="1" applyAlignment="1">
      <alignment horizontal="center" vertical="center" wrapText="1"/>
    </xf>
    <xf numFmtId="167" fontId="8" fillId="0" borderId="17" xfId="0" applyNumberFormat="1" applyFont="1" applyBorder="1" applyAlignment="1">
      <alignment horizontal="center" vertical="center" wrapText="1"/>
    </xf>
    <xf numFmtId="167" fontId="8" fillId="5" borderId="17" xfId="0" applyNumberFormat="1" applyFont="1" applyFill="1" applyBorder="1" applyAlignment="1">
      <alignment horizontal="center" vertical="center" wrapText="1"/>
    </xf>
    <xf numFmtId="168" fontId="8" fillId="5" borderId="17" xfId="0" applyNumberFormat="1" applyFont="1" applyFill="1" applyBorder="1" applyAlignment="1">
      <alignment horizontal="center" vertical="center" wrapText="1"/>
    </xf>
    <xf numFmtId="167" fontId="11" fillId="0" borderId="17" xfId="0" applyNumberFormat="1" applyFont="1" applyBorder="1" applyAlignment="1">
      <alignment vertical="center" wrapText="1"/>
    </xf>
    <xf numFmtId="172" fontId="15" fillId="0" borderId="17" xfId="4" applyNumberFormat="1" applyFont="1" applyFill="1" applyBorder="1" applyAlignment="1" applyProtection="1">
      <alignment horizontal="right" vertical="center" readingOrder="1"/>
    </xf>
    <xf numFmtId="167" fontId="15" fillId="0" borderId="17" xfId="1" applyNumberFormat="1" applyFont="1" applyFill="1" applyBorder="1" applyAlignment="1" applyProtection="1">
      <alignment horizontal="right" vertical="center" readingOrder="1"/>
    </xf>
    <xf numFmtId="43" fontId="8" fillId="0" borderId="17" xfId="0" applyNumberFormat="1" applyFont="1" applyBorder="1"/>
    <xf numFmtId="43" fontId="8" fillId="4" borderId="17" xfId="0" applyNumberFormat="1" applyFont="1" applyFill="1" applyBorder="1"/>
    <xf numFmtId="167" fontId="15" fillId="0" borderId="17" xfId="4" applyNumberFormat="1" applyFont="1" applyFill="1" applyBorder="1" applyAlignment="1" applyProtection="1">
      <alignment horizontal="right" vertical="center" readingOrder="1"/>
    </xf>
    <xf numFmtId="49" fontId="37" fillId="0" borderId="17" xfId="0" applyNumberFormat="1" applyFont="1" applyBorder="1" applyAlignment="1">
      <alignment horizontal="center" vertical="center" wrapText="1"/>
    </xf>
    <xf numFmtId="0" fontId="37" fillId="0" borderId="17" xfId="0" applyFont="1" applyBorder="1" applyAlignment="1">
      <alignment horizontal="left" vertical="center" wrapText="1"/>
    </xf>
    <xf numFmtId="0" fontId="37" fillId="0" borderId="17" xfId="0" applyFont="1" applyBorder="1" applyAlignment="1">
      <alignment horizontal="center" vertical="center" wrapText="1"/>
    </xf>
    <xf numFmtId="168" fontId="37" fillId="0" borderId="17" xfId="0" applyNumberFormat="1" applyFont="1" applyBorder="1" applyAlignment="1">
      <alignment vertical="center" wrapText="1"/>
    </xf>
    <xf numFmtId="167" fontId="37" fillId="0" borderId="17" xfId="0" applyNumberFormat="1" applyFont="1" applyBorder="1" applyAlignment="1">
      <alignment vertical="center" wrapText="1"/>
    </xf>
    <xf numFmtId="167" fontId="8" fillId="0" borderId="13" xfId="1" applyNumberFormat="1" applyFont="1" applyFill="1" applyBorder="1" applyAlignment="1">
      <alignment horizontal="right" vertical="center"/>
    </xf>
    <xf numFmtId="167" fontId="8" fillId="4" borderId="13" xfId="1" applyNumberFormat="1" applyFont="1" applyFill="1" applyBorder="1" applyAlignment="1">
      <alignment horizontal="right" vertical="center"/>
    </xf>
    <xf numFmtId="0" fontId="8" fillId="0" borderId="17" xfId="0" applyFont="1" applyBorder="1"/>
    <xf numFmtId="0" fontId="8" fillId="4" borderId="17" xfId="0" applyFont="1" applyFill="1" applyBorder="1"/>
    <xf numFmtId="9" fontId="39" fillId="0" borderId="0" xfId="2" applyFont="1" applyFill="1" applyAlignment="1">
      <alignment horizontal="center"/>
    </xf>
    <xf numFmtId="167" fontId="0" fillId="0" borderId="0" xfId="0" applyNumberFormat="1"/>
    <xf numFmtId="0" fontId="0" fillId="0" borderId="0" xfId="0" applyAlignment="1">
      <alignment horizontal="center"/>
    </xf>
    <xf numFmtId="167" fontId="37" fillId="0" borderId="0" xfId="0" applyNumberFormat="1" applyFont="1"/>
    <xf numFmtId="168" fontId="37" fillId="0" borderId="0" xfId="0" applyNumberFormat="1" applyFont="1"/>
    <xf numFmtId="3" fontId="37" fillId="0" borderId="0" xfId="0" applyNumberFormat="1" applyFont="1"/>
    <xf numFmtId="0" fontId="22" fillId="0" borderId="12" xfId="3" applyFont="1" applyBorder="1" applyAlignment="1">
      <alignment horizontal="center" vertical="center"/>
    </xf>
    <xf numFmtId="0" fontId="22" fillId="0" borderId="13" xfId="3" applyFont="1" applyBorder="1" applyAlignment="1">
      <alignment vertical="center"/>
    </xf>
    <xf numFmtId="0" fontId="23" fillId="0" borderId="13" xfId="3" applyFont="1" applyBorder="1" applyAlignment="1">
      <alignment horizontal="center" vertical="center" wrapText="1"/>
    </xf>
    <xf numFmtId="0" fontId="24" fillId="0" borderId="13" xfId="3" applyFont="1" applyBorder="1" applyAlignment="1">
      <alignment horizontal="center" vertical="center" wrapText="1"/>
    </xf>
    <xf numFmtId="0" fontId="25" fillId="0" borderId="13" xfId="3" applyFont="1" applyBorder="1" applyAlignment="1">
      <alignment horizontal="center" vertical="center" wrapText="1"/>
    </xf>
    <xf numFmtId="0" fontId="26" fillId="0" borderId="13" xfId="3" applyFont="1" applyBorder="1" applyAlignment="1">
      <alignment horizontal="center" vertical="center" wrapText="1"/>
    </xf>
    <xf numFmtId="0" fontId="25" fillId="0" borderId="15" xfId="3" applyFont="1" applyBorder="1" applyAlignment="1">
      <alignment horizontal="center" vertical="center" wrapText="1"/>
    </xf>
    <xf numFmtId="0" fontId="27" fillId="0" borderId="0" xfId="3" applyFont="1" applyAlignment="1">
      <alignment horizontal="center" vertical="center"/>
    </xf>
    <xf numFmtId="0" fontId="28" fillId="0" borderId="0" xfId="3" applyFont="1" applyAlignment="1">
      <alignment horizontal="center" vertical="center"/>
    </xf>
    <xf numFmtId="0" fontId="6" fillId="0" borderId="0" xfId="3" applyAlignment="1">
      <alignment vertical="center"/>
    </xf>
    <xf numFmtId="0" fontId="19" fillId="0" borderId="3" xfId="3" applyFont="1" applyBorder="1" applyAlignment="1">
      <alignment horizontal="center" vertical="center"/>
    </xf>
    <xf numFmtId="164" fontId="19" fillId="0" borderId="0" xfId="1" applyNumberFormat="1" applyFont="1" applyBorder="1" applyAlignment="1">
      <alignment horizontal="center"/>
    </xf>
    <xf numFmtId="0" fontId="19" fillId="0" borderId="6" xfId="3" applyFont="1" applyBorder="1" applyAlignment="1">
      <alignment horizontal="center" vertical="center"/>
    </xf>
    <xf numFmtId="165" fontId="10" fillId="0" borderId="36" xfId="1" applyNumberFormat="1" applyFont="1" applyBorder="1" applyAlignment="1">
      <alignment horizontal="center"/>
    </xf>
    <xf numFmtId="0" fontId="6" fillId="0" borderId="37" xfId="3" applyBorder="1" applyAlignment="1">
      <alignment horizontal="center" vertical="center"/>
    </xf>
    <xf numFmtId="0" fontId="22" fillId="0" borderId="24" xfId="3" applyFont="1" applyBorder="1" applyAlignment="1">
      <alignment horizontal="center" vertical="center"/>
    </xf>
    <xf numFmtId="0" fontId="22" fillId="0" borderId="25" xfId="3" applyFont="1" applyBorder="1" applyAlignment="1">
      <alignment vertical="center"/>
    </xf>
    <xf numFmtId="0" fontId="23" fillId="0" borderId="25" xfId="3" applyFont="1" applyBorder="1" applyAlignment="1">
      <alignment horizontal="center" vertical="center" wrapText="1"/>
    </xf>
    <xf numFmtId="0" fontId="24" fillId="0" borderId="25" xfId="3" applyFont="1" applyBorder="1" applyAlignment="1">
      <alignment horizontal="center" vertical="center" wrapText="1"/>
    </xf>
    <xf numFmtId="167" fontId="25" fillId="0" borderId="25" xfId="1" applyNumberFormat="1" applyFont="1" applyBorder="1" applyAlignment="1">
      <alignment horizontal="center" vertical="center" wrapText="1"/>
    </xf>
    <xf numFmtId="167" fontId="25" fillId="0" borderId="25" xfId="3" applyNumberFormat="1" applyFont="1" applyBorder="1" applyAlignment="1">
      <alignment horizontal="center" vertical="center" wrapText="1"/>
    </xf>
    <xf numFmtId="167" fontId="26" fillId="0" borderId="25" xfId="3" applyNumberFormat="1" applyFont="1" applyBorder="1" applyAlignment="1">
      <alignment horizontal="center" vertical="center" wrapText="1"/>
    </xf>
    <xf numFmtId="9" fontId="28" fillId="0" borderId="19" xfId="2" applyFont="1" applyFill="1" applyBorder="1" applyAlignment="1">
      <alignment horizontal="center" vertical="center"/>
    </xf>
    <xf numFmtId="167" fontId="29" fillId="0" borderId="25" xfId="1" applyNumberFormat="1" applyFont="1" applyBorder="1" applyAlignment="1">
      <alignment horizontal="center" vertical="center" wrapText="1"/>
    </xf>
    <xf numFmtId="0" fontId="12" fillId="0" borderId="17" xfId="0" applyFont="1" applyBorder="1" applyAlignment="1">
      <alignment horizontal="justify" vertical="top"/>
    </xf>
    <xf numFmtId="0" fontId="12" fillId="0" borderId="17" xfId="0" applyFont="1" applyBorder="1" applyAlignment="1">
      <alignment vertical="top" wrapText="1"/>
    </xf>
    <xf numFmtId="0" fontId="12" fillId="0" borderId="17" xfId="0" applyFont="1" applyBorder="1" applyAlignment="1">
      <alignment horizontal="left" vertical="top" wrapText="1"/>
    </xf>
    <xf numFmtId="171" fontId="8" fillId="0" borderId="17" xfId="0" applyNumberFormat="1" applyFont="1" applyBorder="1" applyAlignment="1">
      <alignment vertical="center"/>
    </xf>
    <xf numFmtId="0" fontId="8" fillId="0" borderId="17" xfId="0" applyFont="1" applyBorder="1" applyAlignment="1">
      <alignment horizontal="right" vertical="center" wrapText="1"/>
    </xf>
    <xf numFmtId="167" fontId="38" fillId="0" borderId="17" xfId="0" applyNumberFormat="1" applyFont="1" applyBorder="1" applyAlignment="1">
      <alignment vertical="center" wrapText="1"/>
    </xf>
    <xf numFmtId="0" fontId="43" fillId="0" borderId="0" xfId="11" applyFont="1" applyAlignment="1">
      <alignment horizontal="left" vertical="center"/>
    </xf>
    <xf numFmtId="0" fontId="44" fillId="6" borderId="45" xfId="11" applyFont="1" applyFill="1" applyBorder="1" applyAlignment="1">
      <alignment vertical="center"/>
    </xf>
    <xf numFmtId="0" fontId="44" fillId="6" borderId="46" xfId="11" applyFont="1" applyFill="1" applyBorder="1" applyAlignment="1">
      <alignment vertical="center"/>
    </xf>
    <xf numFmtId="0" fontId="44" fillId="6" borderId="46" xfId="11" applyFont="1" applyFill="1" applyBorder="1" applyAlignment="1">
      <alignment horizontal="left" vertical="center" wrapText="1"/>
    </xf>
    <xf numFmtId="0" fontId="44" fillId="6" borderId="47" xfId="11" applyFont="1" applyFill="1" applyBorder="1" applyAlignment="1">
      <alignment horizontal="left" vertical="center" wrapText="1"/>
    </xf>
    <xf numFmtId="0" fontId="45" fillId="6" borderId="46" xfId="11" applyFont="1" applyFill="1" applyBorder="1" applyAlignment="1">
      <alignment vertical="center" wrapText="1"/>
    </xf>
    <xf numFmtId="0" fontId="45" fillId="6" borderId="47" xfId="11" applyFont="1" applyFill="1" applyBorder="1" applyAlignment="1">
      <alignment vertical="center" wrapText="1"/>
    </xf>
    <xf numFmtId="0" fontId="44" fillId="0" borderId="45" xfId="11" applyFont="1" applyBorder="1" applyAlignment="1">
      <alignment vertical="center"/>
    </xf>
    <xf numFmtId="0" fontId="44" fillId="0" borderId="46" xfId="11" applyFont="1" applyBorder="1" applyAlignment="1">
      <alignment vertical="center" wrapText="1"/>
    </xf>
    <xf numFmtId="0" fontId="44" fillId="0" borderId="46" xfId="11" applyFont="1" applyBorder="1" applyAlignment="1">
      <alignment vertical="center"/>
    </xf>
    <xf numFmtId="0" fontId="44" fillId="0" borderId="47" xfId="11" applyFont="1" applyBorder="1" applyAlignment="1">
      <alignment vertical="center" wrapText="1"/>
    </xf>
    <xf numFmtId="0" fontId="44" fillId="9" borderId="48" xfId="11" applyFont="1" applyFill="1" applyBorder="1" applyAlignment="1">
      <alignment horizontal="center" vertical="center" wrapText="1"/>
    </xf>
    <xf numFmtId="1" fontId="45" fillId="0" borderId="48" xfId="11" applyNumberFormat="1" applyFont="1" applyBorder="1" applyAlignment="1">
      <alignment horizontal="center" vertical="center" shrinkToFit="1"/>
    </xf>
    <xf numFmtId="0" fontId="45" fillId="0" borderId="48" xfId="11" applyFont="1" applyBorder="1" applyAlignment="1">
      <alignment horizontal="left" vertical="center" wrapText="1"/>
    </xf>
    <xf numFmtId="0" fontId="45" fillId="0" borderId="48" xfId="11" applyFont="1" applyBorder="1" applyAlignment="1">
      <alignment horizontal="center" vertical="center" wrapText="1"/>
    </xf>
    <xf numFmtId="0" fontId="46" fillId="0" borderId="48" xfId="11" applyFont="1" applyBorder="1" applyAlignment="1">
      <alignment horizontal="left" vertical="center"/>
    </xf>
    <xf numFmtId="1" fontId="45" fillId="0" borderId="46" xfId="11" applyNumberFormat="1" applyFont="1" applyBorder="1" applyAlignment="1">
      <alignment vertical="center" shrinkToFit="1"/>
    </xf>
    <xf numFmtId="1" fontId="45" fillId="0" borderId="47" xfId="11" applyNumberFormat="1" applyFont="1" applyBorder="1" applyAlignment="1">
      <alignment vertical="center" shrinkToFit="1"/>
    </xf>
    <xf numFmtId="1" fontId="47" fillId="10" borderId="48" xfId="11" applyNumberFormat="1" applyFont="1" applyFill="1" applyBorder="1" applyAlignment="1">
      <alignment horizontal="center" vertical="center" shrinkToFit="1"/>
    </xf>
    <xf numFmtId="0" fontId="42" fillId="0" borderId="45" xfId="11" applyFont="1" applyBorder="1" applyAlignment="1">
      <alignment vertical="center" wrapText="1"/>
    </xf>
    <xf numFmtId="0" fontId="42" fillId="0" borderId="46" xfId="11" applyFont="1" applyBorder="1" applyAlignment="1">
      <alignment vertical="center" wrapText="1"/>
    </xf>
    <xf numFmtId="0" fontId="42" fillId="0" borderId="46" xfId="11" applyFont="1" applyBorder="1" applyAlignment="1">
      <alignment vertical="center"/>
    </xf>
    <xf numFmtId="0" fontId="42" fillId="0" borderId="47" xfId="11" applyFont="1" applyBorder="1" applyAlignment="1">
      <alignment vertical="center" wrapText="1"/>
    </xf>
    <xf numFmtId="0" fontId="42" fillId="9" borderId="48" xfId="11" applyFont="1" applyFill="1" applyBorder="1" applyAlignment="1">
      <alignment horizontal="center" vertical="center" wrapText="1"/>
    </xf>
    <xf numFmtId="0" fontId="48" fillId="9" borderId="49" xfId="11" applyFont="1" applyFill="1" applyBorder="1" applyAlignment="1">
      <alignment horizontal="center" vertical="center" wrapText="1"/>
    </xf>
    <xf numFmtId="0" fontId="42" fillId="9" borderId="49" xfId="11" applyFont="1" applyFill="1" applyBorder="1" applyAlignment="1">
      <alignment horizontal="center" vertical="center" wrapText="1"/>
    </xf>
    <xf numFmtId="0" fontId="48" fillId="9" borderId="48" xfId="11" applyFont="1" applyFill="1" applyBorder="1" applyAlignment="1">
      <alignment horizontal="center" vertical="center" wrapText="1"/>
    </xf>
    <xf numFmtId="1" fontId="49" fillId="0" borderId="45" xfId="11" applyNumberFormat="1" applyFont="1" applyBorder="1" applyAlignment="1">
      <alignment horizontal="center" vertical="center" shrinkToFit="1"/>
    </xf>
    <xf numFmtId="0" fontId="45" fillId="0" borderId="17" xfId="11" applyFont="1" applyBorder="1" applyAlignment="1">
      <alignment horizontal="left" vertical="center"/>
    </xf>
    <xf numFmtId="0" fontId="45" fillId="0" borderId="17" xfId="11" applyFont="1" applyBorder="1" applyAlignment="1">
      <alignment horizontal="center" vertical="center" wrapText="1"/>
    </xf>
    <xf numFmtId="1" fontId="45" fillId="0" borderId="17" xfId="11" applyNumberFormat="1" applyFont="1" applyBorder="1" applyAlignment="1">
      <alignment horizontal="center" vertical="center" shrinkToFit="1"/>
    </xf>
    <xf numFmtId="0" fontId="43" fillId="0" borderId="50" xfId="11" applyFont="1" applyBorder="1" applyAlignment="1">
      <alignment horizontal="center" vertical="center" wrapText="1"/>
    </xf>
    <xf numFmtId="0" fontId="43" fillId="0" borderId="49" xfId="11" applyFont="1" applyBorder="1" applyAlignment="1">
      <alignment horizontal="center" vertical="center" wrapText="1"/>
    </xf>
    <xf numFmtId="1" fontId="45" fillId="0" borderId="28" xfId="11" applyNumberFormat="1" applyFont="1" applyBorder="1" applyAlignment="1">
      <alignment horizontal="center" vertical="center" shrinkToFit="1"/>
    </xf>
    <xf numFmtId="0" fontId="45" fillId="0" borderId="18" xfId="11" applyFont="1" applyBorder="1" applyAlignment="1">
      <alignment horizontal="left" vertical="center"/>
    </xf>
    <xf numFmtId="0" fontId="45" fillId="0" borderId="17" xfId="11" applyFont="1" applyBorder="1" applyAlignment="1">
      <alignment horizontal="left" vertical="center" wrapText="1"/>
    </xf>
    <xf numFmtId="1" fontId="49" fillId="0" borderId="51" xfId="11" applyNumberFormat="1" applyFont="1" applyBorder="1" applyAlignment="1">
      <alignment horizontal="center" vertical="center" shrinkToFit="1"/>
    </xf>
    <xf numFmtId="0" fontId="45" fillId="0" borderId="28" xfId="11" applyFont="1" applyBorder="1" applyAlignment="1">
      <alignment horizontal="left" vertical="center" wrapText="1"/>
    </xf>
    <xf numFmtId="0" fontId="45" fillId="0" borderId="38" xfId="11" applyFont="1" applyBorder="1" applyAlignment="1">
      <alignment horizontal="left" vertical="center"/>
    </xf>
    <xf numFmtId="0" fontId="45" fillId="0" borderId="28" xfId="11" applyFont="1" applyBorder="1" applyAlignment="1">
      <alignment horizontal="center" vertical="center" wrapText="1"/>
    </xf>
    <xf numFmtId="1" fontId="49" fillId="0" borderId="17" xfId="11" applyNumberFormat="1" applyFont="1" applyBorder="1" applyAlignment="1">
      <alignment horizontal="center" vertical="center" shrinkToFit="1"/>
    </xf>
    <xf numFmtId="0" fontId="46" fillId="0" borderId="17" xfId="11" applyFont="1" applyBorder="1" applyAlignment="1">
      <alignment horizontal="left" vertical="center"/>
    </xf>
    <xf numFmtId="1" fontId="50" fillId="10" borderId="54" xfId="11" applyNumberFormat="1" applyFont="1" applyFill="1" applyBorder="1" applyAlignment="1">
      <alignment horizontal="center" vertical="center" shrinkToFit="1"/>
    </xf>
    <xf numFmtId="0" fontId="1" fillId="0" borderId="0" xfId="12" applyAlignment="1">
      <alignment vertical="center"/>
    </xf>
    <xf numFmtId="0" fontId="54" fillId="11" borderId="57" xfId="12" applyFont="1" applyFill="1" applyBorder="1" applyAlignment="1">
      <alignment horizontal="left" vertical="center"/>
    </xf>
    <xf numFmtId="0" fontId="54" fillId="11" borderId="0" xfId="12" applyFont="1" applyFill="1" applyAlignment="1">
      <alignment horizontal="left" vertical="center"/>
    </xf>
    <xf numFmtId="0" fontId="54" fillId="11" borderId="0" xfId="12" applyFont="1" applyFill="1" applyAlignment="1">
      <alignment horizontal="center" vertical="center"/>
    </xf>
    <xf numFmtId="0" fontId="54" fillId="11" borderId="34" xfId="12" applyFont="1" applyFill="1" applyBorder="1" applyAlignment="1">
      <alignment horizontal="center" vertical="center"/>
    </xf>
    <xf numFmtId="0" fontId="52" fillId="11" borderId="61" xfId="12" applyFont="1" applyFill="1" applyBorder="1" applyAlignment="1">
      <alignment horizontal="left" vertical="center"/>
    </xf>
    <xf numFmtId="0" fontId="52" fillId="11" borderId="8" xfId="12" applyFont="1" applyFill="1" applyBorder="1" applyAlignment="1">
      <alignment horizontal="right" vertical="center"/>
    </xf>
    <xf numFmtId="0" fontId="57" fillId="0" borderId="0" xfId="12" applyFont="1" applyAlignment="1">
      <alignment horizontal="center" vertical="center"/>
    </xf>
    <xf numFmtId="0" fontId="57" fillId="0" borderId="0" xfId="12" applyFont="1"/>
    <xf numFmtId="0" fontId="1" fillId="0" borderId="0" xfId="12"/>
    <xf numFmtId="164" fontId="4" fillId="0" borderId="43" xfId="1" applyNumberFormat="1" applyFont="1" applyFill="1" applyBorder="1" applyAlignment="1">
      <alignment horizontal="center" vertical="center"/>
    </xf>
    <xf numFmtId="0" fontId="7" fillId="0" borderId="44" xfId="3" applyFont="1" applyBorder="1" applyAlignment="1">
      <alignment horizontal="center"/>
    </xf>
    <xf numFmtId="0" fontId="7" fillId="0" borderId="33" xfId="3" applyFont="1" applyBorder="1" applyAlignment="1">
      <alignment horizontal="center"/>
    </xf>
    <xf numFmtId="0" fontId="8" fillId="0" borderId="61" xfId="0" applyFont="1" applyBorder="1"/>
    <xf numFmtId="0" fontId="7" fillId="0" borderId="11" xfId="3" applyFont="1" applyBorder="1"/>
    <xf numFmtId="164" fontId="7" fillId="0" borderId="11" xfId="1" applyNumberFormat="1" applyFont="1" applyFill="1" applyBorder="1"/>
    <xf numFmtId="0" fontId="7" fillId="0" borderId="71" xfId="3" applyFont="1" applyBorder="1" applyAlignment="1">
      <alignment vertical="center"/>
    </xf>
    <xf numFmtId="0" fontId="7" fillId="0" borderId="73" xfId="3" applyFont="1" applyBorder="1" applyAlignment="1">
      <alignment vertical="center"/>
    </xf>
    <xf numFmtId="164" fontId="5" fillId="0" borderId="73" xfId="1" applyNumberFormat="1" applyFont="1" applyFill="1" applyBorder="1" applyAlignment="1">
      <alignment horizontal="center"/>
    </xf>
    <xf numFmtId="0" fontId="9" fillId="0" borderId="73" xfId="3" applyFont="1" applyBorder="1" applyAlignment="1">
      <alignment horizontal="right" vertical="center"/>
    </xf>
    <xf numFmtId="0" fontId="5" fillId="0" borderId="73" xfId="3" applyFont="1" applyBorder="1" applyAlignment="1">
      <alignment horizontal="left" vertical="center"/>
    </xf>
    <xf numFmtId="0" fontId="7" fillId="0" borderId="74" xfId="3" applyFont="1" applyBorder="1" applyAlignment="1">
      <alignment vertical="center"/>
    </xf>
    <xf numFmtId="0" fontId="5" fillId="0" borderId="74" xfId="3" applyFont="1" applyBorder="1" applyAlignment="1">
      <alignment horizontal="left" vertical="center"/>
    </xf>
    <xf numFmtId="164" fontId="5" fillId="0" borderId="72" xfId="1" applyNumberFormat="1" applyFont="1" applyFill="1" applyBorder="1" applyAlignment="1">
      <alignment horizontal="center" vertical="center"/>
    </xf>
    <xf numFmtId="0" fontId="4" fillId="4" borderId="7" xfId="3" applyFont="1" applyFill="1" applyBorder="1" applyAlignment="1">
      <alignment horizontal="center"/>
    </xf>
    <xf numFmtId="0" fontId="4" fillId="4" borderId="0" xfId="3" applyFont="1" applyFill="1" applyAlignment="1">
      <alignment horizontal="center"/>
    </xf>
    <xf numFmtId="0" fontId="7" fillId="4" borderId="0" xfId="3" applyFont="1" applyFill="1" applyAlignment="1">
      <alignment horizontal="center"/>
    </xf>
    <xf numFmtId="170" fontId="7" fillId="4" borderId="0" xfId="3" applyNumberFormat="1" applyFont="1" applyFill="1" applyAlignment="1">
      <alignment horizontal="center"/>
    </xf>
    <xf numFmtId="0" fontId="7" fillId="4" borderId="7" xfId="3" applyFont="1" applyFill="1" applyBorder="1" applyAlignment="1">
      <alignment horizontal="left"/>
    </xf>
    <xf numFmtId="9" fontId="9" fillId="4" borderId="0" xfId="3" applyNumberFormat="1" applyFont="1" applyFill="1" applyAlignment="1">
      <alignment horizontal="center"/>
    </xf>
    <xf numFmtId="0" fontId="4" fillId="4" borderId="7" xfId="3" applyFont="1" applyFill="1" applyBorder="1">
      <extLst>
        <ext xmlns:xfpb="http://schemas.microsoft.com/office/spreadsheetml/2022/featurepropertybag" uri="{C7286773-470A-42A8-94C5-96B5CB345126}">
          <xfpb:xfComplement i="0"/>
        </ext>
      </extLst>
    </xf>
    <xf numFmtId="0" fontId="7" fillId="4" borderId="0" xfId="3" applyFont="1" applyFill="1" applyAlignment="1">
      <alignment vertical="center"/>
      <extLst>
        <ext xmlns:xfpb="http://schemas.microsoft.com/office/spreadsheetml/2022/featurepropertybag" uri="{C7286773-470A-42A8-94C5-96B5CB345126}">
          <xfpb:xfComplement i="0"/>
        </ext>
      </extLst>
    </xf>
    <xf numFmtId="0" fontId="7" fillId="0" borderId="7" xfId="3" applyFont="1" applyBorder="1" applyAlignment="1">
      <alignment horizontal="left"/>
    </xf>
    <xf numFmtId="9" fontId="9" fillId="0" borderId="0" xfId="3" applyNumberFormat="1" applyFont="1" applyAlignment="1">
      <alignment horizontal="center"/>
    </xf>
    <xf numFmtId="0" fontId="8" fillId="0" borderId="24" xfId="0" applyFont="1" applyBorder="1" applyAlignment="1">
      <alignment horizontal="center" vertical="center" readingOrder="1"/>
    </xf>
    <xf numFmtId="0" fontId="8" fillId="0" borderId="25" xfId="0" applyFont="1" applyBorder="1" applyAlignment="1">
      <alignment horizontal="left" vertical="center" readingOrder="1"/>
    </xf>
    <xf numFmtId="0" fontId="7" fillId="0" borderId="26" xfId="0" applyFont="1" applyBorder="1" applyAlignment="1">
      <alignment horizontal="center" vertical="top"/>
    </xf>
    <xf numFmtId="43" fontId="7" fillId="0" borderId="27" xfId="4" applyFont="1" applyFill="1" applyBorder="1" applyAlignment="1">
      <alignment vertical="top" wrapText="1"/>
    </xf>
    <xf numFmtId="37" fontId="7" fillId="0" borderId="27" xfId="0" applyNumberFormat="1" applyFont="1" applyBorder="1" applyAlignment="1">
      <alignment horizontal="center" vertical="top"/>
    </xf>
    <xf numFmtId="167" fontId="7" fillId="0" borderId="17" xfId="1" applyNumberFormat="1" applyFont="1" applyBorder="1" applyAlignment="1">
      <alignment horizontal="right"/>
    </xf>
    <xf numFmtId="0" fontId="7" fillId="0" borderId="24" xfId="0" applyFont="1" applyBorder="1" applyAlignment="1">
      <alignment horizontal="center" vertical="top"/>
    </xf>
    <xf numFmtId="43" fontId="7" fillId="0" borderId="25" xfId="4" applyFont="1" applyFill="1" applyBorder="1" applyAlignment="1">
      <alignment vertical="top" wrapText="1"/>
    </xf>
    <xf numFmtId="37" fontId="7" fillId="0" borderId="25" xfId="0" applyNumberFormat="1" applyFont="1" applyBorder="1" applyAlignment="1">
      <alignment horizontal="center" vertical="top"/>
    </xf>
    <xf numFmtId="0" fontId="7" fillId="0" borderId="16" xfId="0" applyFont="1" applyBorder="1" applyAlignment="1">
      <alignment horizontal="center" vertical="top"/>
    </xf>
    <xf numFmtId="43" fontId="7" fillId="0" borderId="17" xfId="4" applyFont="1" applyFill="1" applyBorder="1" applyAlignment="1">
      <alignment horizontal="left" vertical="top" wrapText="1"/>
    </xf>
    <xf numFmtId="37" fontId="7" fillId="0" borderId="17" xfId="0" applyNumberFormat="1" applyFont="1" applyBorder="1" applyAlignment="1">
      <alignment horizontal="center" vertical="top"/>
    </xf>
    <xf numFmtId="43" fontId="7" fillId="0" borderId="17" xfId="4" applyFont="1" applyFill="1" applyBorder="1" applyAlignment="1">
      <alignment vertical="top" wrapText="1"/>
    </xf>
    <xf numFmtId="0" fontId="7" fillId="0" borderId="17" xfId="0" applyFont="1" applyBorder="1" applyAlignment="1">
      <alignment horizontal="center" vertical="top"/>
    </xf>
    <xf numFmtId="43" fontId="7" fillId="0" borderId="17" xfId="4" applyFont="1" applyFill="1" applyBorder="1" applyAlignment="1">
      <alignment horizontal="left" vertical="top"/>
    </xf>
    <xf numFmtId="0" fontId="7" fillId="0" borderId="16" xfId="0" applyFont="1" applyBorder="1" applyAlignment="1">
      <alignment horizontal="center" vertical="top" wrapText="1"/>
    </xf>
    <xf numFmtId="43" fontId="7" fillId="0" borderId="17" xfId="4" applyFont="1" applyFill="1" applyBorder="1" applyAlignment="1">
      <alignment vertical="top"/>
    </xf>
    <xf numFmtId="43" fontId="7" fillId="0" borderId="17" xfId="4" applyFont="1" applyFill="1" applyBorder="1" applyAlignment="1" applyProtection="1">
      <alignment horizontal="left" vertical="top" wrapText="1"/>
    </xf>
    <xf numFmtId="43" fontId="7" fillId="0" borderId="17" xfId="4" applyFont="1" applyFill="1" applyBorder="1" applyAlignment="1" applyProtection="1">
      <alignment vertical="top" wrapText="1"/>
    </xf>
    <xf numFmtId="0" fontId="7" fillId="0" borderId="17" xfId="0" applyFont="1" applyBorder="1" applyAlignment="1">
      <alignment vertical="top" wrapText="1"/>
    </xf>
    <xf numFmtId="0" fontId="7" fillId="0" borderId="17" xfId="0" applyFont="1" applyBorder="1" applyAlignment="1">
      <alignment horizontal="left" vertical="top" wrapText="1"/>
    </xf>
    <xf numFmtId="43" fontId="7" fillId="0" borderId="16" xfId="4" applyFont="1" applyFill="1" applyBorder="1" applyAlignment="1">
      <alignment horizontal="center" vertical="top" wrapText="1"/>
    </xf>
    <xf numFmtId="43" fontId="7" fillId="0" borderId="17" xfId="4" applyFont="1" applyFill="1" applyBorder="1" applyAlignment="1">
      <alignment horizontal="center" vertical="top" wrapText="1"/>
    </xf>
    <xf numFmtId="0" fontId="7" fillId="0" borderId="17" xfId="0" applyFont="1" applyBorder="1" applyAlignment="1">
      <alignment horizontal="justify" vertical="top"/>
    </xf>
    <xf numFmtId="0" fontId="7" fillId="0" borderId="17" xfId="0" applyFont="1" applyBorder="1" applyAlignment="1">
      <alignment horizontal="center" vertical="top" wrapText="1"/>
    </xf>
    <xf numFmtId="37" fontId="7" fillId="0" borderId="16" xfId="0" applyNumberFormat="1" applyFont="1" applyBorder="1" applyAlignment="1">
      <alignment horizontal="center" vertical="top"/>
    </xf>
    <xf numFmtId="170" fontId="7" fillId="0" borderId="17" xfId="0" applyNumberFormat="1" applyFont="1" applyBorder="1" applyAlignment="1">
      <alignment horizontal="center" vertical="top"/>
    </xf>
    <xf numFmtId="0" fontId="7" fillId="0" borderId="17" xfId="0" applyFont="1" applyBorder="1" applyAlignment="1">
      <alignment horizontal="justify" vertical="top" wrapText="1"/>
    </xf>
    <xf numFmtId="0" fontId="61" fillId="0" borderId="0" xfId="5" applyFont="1" applyFill="1" applyBorder="1" applyAlignment="1" applyProtection="1">
      <alignment vertical="center"/>
    </xf>
    <xf numFmtId="0" fontId="63" fillId="11" borderId="25" xfId="0" applyFont="1" applyFill="1" applyBorder="1" applyAlignment="1">
      <alignment horizontal="center" vertical="center"/>
    </xf>
    <xf numFmtId="0" fontId="38" fillId="4" borderId="0" xfId="3" applyFont="1" applyFill="1"/>
    <xf numFmtId="0" fontId="38" fillId="0" borderId="0" xfId="3" applyFont="1"/>
    <xf numFmtId="0" fontId="64" fillId="0" borderId="0" xfId="0" applyFont="1" applyAlignment="1">
      <alignment horizontal="center" vertical="center"/>
    </xf>
    <xf numFmtId="0" fontId="37" fillId="0" borderId="38" xfId="0" applyFont="1" applyBorder="1" applyAlignment="1">
      <alignment horizontal="left"/>
    </xf>
    <xf numFmtId="0" fontId="37" fillId="0" borderId="39" xfId="0" applyFont="1" applyBorder="1" applyAlignment="1">
      <alignment horizontal="left"/>
    </xf>
    <xf numFmtId="0" fontId="37" fillId="0" borderId="39" xfId="0" applyFont="1" applyBorder="1"/>
    <xf numFmtId="0" fontId="64" fillId="11" borderId="38" xfId="0" applyFont="1" applyFill="1" applyBorder="1" applyAlignment="1">
      <alignment horizontal="center" vertical="center"/>
    </xf>
    <xf numFmtId="0" fontId="64" fillId="11" borderId="43" xfId="0" applyFont="1" applyFill="1" applyBorder="1" applyAlignment="1">
      <alignment horizontal="center" vertical="center"/>
    </xf>
    <xf numFmtId="0" fontId="64" fillId="11" borderId="69" xfId="0" applyFont="1" applyFill="1" applyBorder="1" applyAlignment="1">
      <alignment horizontal="center" vertical="center"/>
    </xf>
    <xf numFmtId="0" fontId="64" fillId="11" borderId="68" xfId="0" applyFont="1" applyFill="1" applyBorder="1" applyAlignment="1">
      <alignment horizontal="center" vertical="center"/>
    </xf>
    <xf numFmtId="0" fontId="64" fillId="11" borderId="28" xfId="0" applyFont="1" applyFill="1" applyBorder="1" applyAlignment="1">
      <alignment horizontal="center" vertical="center"/>
    </xf>
    <xf numFmtId="0" fontId="64" fillId="11" borderId="83" xfId="0" applyFont="1" applyFill="1" applyBorder="1" applyAlignment="1">
      <alignment horizontal="center" vertical="center"/>
    </xf>
    <xf numFmtId="0" fontId="62" fillId="13" borderId="17" xfId="0" applyFont="1" applyFill="1" applyBorder="1" applyAlignment="1">
      <alignment horizontal="center" vertical="center"/>
    </xf>
    <xf numFmtId="0" fontId="64" fillId="11" borderId="31" xfId="0" applyFont="1" applyFill="1" applyBorder="1" applyAlignment="1">
      <alignment horizontal="center" vertical="center"/>
    </xf>
    <xf numFmtId="0" fontId="64" fillId="11" borderId="39" xfId="0" applyFont="1" applyFill="1" applyBorder="1" applyAlignment="1">
      <alignment horizontal="center" vertical="center"/>
    </xf>
    <xf numFmtId="0" fontId="64" fillId="11" borderId="0" xfId="0" applyFont="1" applyFill="1" applyAlignment="1">
      <alignment horizontal="center" vertical="center"/>
    </xf>
    <xf numFmtId="0" fontId="64" fillId="11" borderId="44" xfId="0" applyFont="1" applyFill="1" applyBorder="1" applyAlignment="1">
      <alignment horizontal="center" vertical="center"/>
    </xf>
    <xf numFmtId="0" fontId="64" fillId="11" borderId="11" xfId="0" applyFont="1" applyFill="1" applyBorder="1" applyAlignment="1">
      <alignment horizontal="center" vertical="center"/>
    </xf>
    <xf numFmtId="0" fontId="4" fillId="0" borderId="7" xfId="3" applyFont="1" applyBorder="1" applyAlignment="1">
      <alignment horizontal="center"/>
    </xf>
    <xf numFmtId="0" fontId="4" fillId="0" borderId="0" xfId="3" applyFont="1" applyAlignment="1">
      <alignment horizontal="center"/>
    </xf>
    <xf numFmtId="0" fontId="4" fillId="0" borderId="44" xfId="3" applyFont="1" applyBorder="1" applyAlignment="1">
      <alignment horizontal="center"/>
    </xf>
    <xf numFmtId="0" fontId="63" fillId="11" borderId="18" xfId="0" applyFont="1" applyFill="1" applyBorder="1" applyAlignment="1">
      <alignment horizontal="center" vertical="center"/>
    </xf>
    <xf numFmtId="0" fontId="63" fillId="11" borderId="32" xfId="0" applyFont="1" applyFill="1" applyBorder="1" applyAlignment="1">
      <alignment horizontal="center" vertical="center"/>
    </xf>
    <xf numFmtId="0" fontId="11" fillId="11" borderId="38" xfId="0" applyFont="1" applyFill="1" applyBorder="1" applyAlignment="1">
      <alignment horizontal="center" vertical="center"/>
    </xf>
    <xf numFmtId="0" fontId="11" fillId="11" borderId="43" xfId="0" applyFont="1" applyFill="1" applyBorder="1" applyAlignment="1">
      <alignment horizontal="center" vertical="center"/>
    </xf>
    <xf numFmtId="0" fontId="11" fillId="11" borderId="61" xfId="0" applyFont="1" applyFill="1" applyBorder="1" applyAlignment="1">
      <alignment horizontal="center" vertical="center"/>
    </xf>
    <xf numFmtId="0" fontId="11" fillId="11" borderId="33" xfId="0" applyFont="1" applyFill="1" applyBorder="1" applyAlignment="1">
      <alignment horizontal="center" vertical="center"/>
    </xf>
    <xf numFmtId="0" fontId="11" fillId="11" borderId="28" xfId="0" applyFont="1" applyFill="1" applyBorder="1" applyAlignment="1">
      <alignment horizontal="center" vertical="center"/>
    </xf>
    <xf numFmtId="0" fontId="11" fillId="11" borderId="25" xfId="0" applyFont="1" applyFill="1" applyBorder="1" applyAlignment="1">
      <alignment horizontal="center" vertical="center"/>
    </xf>
    <xf numFmtId="0" fontId="5" fillId="11" borderId="7" xfId="3" applyFont="1" applyFill="1" applyBorder="1" applyAlignment="1">
      <alignment horizontal="left" vertical="center"/>
    </xf>
    <xf numFmtId="0" fontId="5" fillId="11" borderId="0" xfId="3" applyFont="1" applyFill="1" applyAlignment="1">
      <alignment horizontal="left" vertical="center"/>
    </xf>
    <xf numFmtId="0" fontId="5" fillId="11" borderId="44" xfId="3" applyFont="1" applyFill="1" applyBorder="1" applyAlignment="1">
      <alignment horizontal="left" vertical="center"/>
    </xf>
    <xf numFmtId="164" fontId="7" fillId="0" borderId="75" xfId="1" applyNumberFormat="1" applyFont="1" applyFill="1" applyBorder="1" applyAlignment="1">
      <alignment horizontal="left"/>
    </xf>
    <xf numFmtId="164" fontId="7" fillId="0" borderId="76" xfId="1" applyNumberFormat="1" applyFont="1" applyFill="1" applyBorder="1" applyAlignment="1">
      <alignment horizontal="left"/>
    </xf>
    <xf numFmtId="164" fontId="5" fillId="0" borderId="77" xfId="1" applyNumberFormat="1" applyFont="1" applyFill="1" applyBorder="1" applyAlignment="1">
      <alignment horizontal="center" vertical="center"/>
    </xf>
    <xf numFmtId="164" fontId="5" fillId="0" borderId="78" xfId="1" applyNumberFormat="1" applyFont="1" applyFill="1" applyBorder="1" applyAlignment="1">
      <alignment horizontal="center" vertical="center"/>
    </xf>
    <xf numFmtId="165" fontId="5" fillId="0" borderId="79" xfId="3" applyNumberFormat="1" applyFont="1" applyBorder="1" applyAlignment="1">
      <alignment horizontal="center" vertical="center"/>
    </xf>
    <xf numFmtId="165" fontId="5" fillId="0" borderId="80" xfId="3" applyNumberFormat="1" applyFont="1" applyBorder="1" applyAlignment="1">
      <alignment horizontal="center" vertical="center"/>
    </xf>
    <xf numFmtId="165" fontId="5" fillId="0" borderId="81" xfId="3" applyNumberFormat="1" applyFont="1" applyBorder="1" applyAlignment="1">
      <alignment horizontal="center" vertical="center"/>
    </xf>
    <xf numFmtId="0" fontId="7" fillId="0" borderId="75" xfId="3" applyFont="1" applyBorder="1" applyAlignment="1">
      <alignment horizontal="center" vertical="center"/>
    </xf>
    <xf numFmtId="0" fontId="7" fillId="0" borderId="82" xfId="3" applyFont="1" applyBorder="1" applyAlignment="1">
      <alignment horizontal="center" vertical="center"/>
    </xf>
    <xf numFmtId="0" fontId="7" fillId="0" borderId="76" xfId="3" applyFont="1" applyBorder="1" applyAlignment="1">
      <alignment horizontal="center" vertical="center"/>
    </xf>
    <xf numFmtId="43" fontId="5" fillId="2" borderId="17" xfId="1" applyFont="1" applyFill="1" applyBorder="1" applyAlignment="1">
      <alignment horizontal="center" vertical="center" wrapText="1" shrinkToFit="1"/>
    </xf>
    <xf numFmtId="43" fontId="5" fillId="2" borderId="17" xfId="1" applyFont="1" applyFill="1" applyBorder="1" applyAlignment="1">
      <alignment horizontal="center" vertical="center" wrapText="1"/>
    </xf>
    <xf numFmtId="43" fontId="5" fillId="2" borderId="17" xfId="1" applyFont="1" applyFill="1" applyBorder="1" applyAlignment="1">
      <alignment horizontal="center" vertical="center"/>
    </xf>
    <xf numFmtId="164" fontId="4" fillId="0" borderId="1" xfId="1" applyNumberFormat="1" applyFont="1" applyFill="1" applyBorder="1" applyAlignment="1">
      <alignment horizontal="center" vertical="center"/>
    </xf>
    <xf numFmtId="164" fontId="4" fillId="0" borderId="2" xfId="1" applyNumberFormat="1" applyFont="1" applyFill="1" applyBorder="1" applyAlignment="1">
      <alignment horizontal="center" vertical="center"/>
    </xf>
    <xf numFmtId="164" fontId="4" fillId="0" borderId="3" xfId="1" applyNumberFormat="1" applyFont="1" applyFill="1" applyBorder="1" applyAlignment="1">
      <alignment horizontal="center" vertical="center"/>
    </xf>
    <xf numFmtId="0" fontId="5" fillId="0" borderId="12" xfId="3" applyFont="1" applyBorder="1" applyAlignment="1">
      <alignment horizontal="center" vertical="center" wrapText="1"/>
    </xf>
    <xf numFmtId="0" fontId="5" fillId="0" borderId="16" xfId="3" applyFont="1" applyBorder="1" applyAlignment="1">
      <alignment horizontal="center" vertical="center" wrapText="1"/>
    </xf>
    <xf numFmtId="0" fontId="5" fillId="0" borderId="20" xfId="3" applyFont="1" applyBorder="1" applyAlignment="1">
      <alignment horizontal="center" vertical="center" wrapText="1"/>
    </xf>
    <xf numFmtId="0" fontId="5" fillId="0" borderId="13" xfId="3" applyFont="1" applyBorder="1" applyAlignment="1">
      <alignment horizontal="center" vertical="center" wrapText="1"/>
    </xf>
    <xf numFmtId="0" fontId="5" fillId="0" borderId="17" xfId="3" applyFont="1" applyBorder="1" applyAlignment="1">
      <alignment horizontal="center" vertical="center" wrapText="1"/>
    </xf>
    <xf numFmtId="0" fontId="5" fillId="0" borderId="21" xfId="3" applyFont="1" applyBorder="1" applyAlignment="1">
      <alignment horizontal="center" vertical="center" wrapText="1"/>
    </xf>
    <xf numFmtId="0" fontId="5" fillId="0" borderId="13" xfId="3" applyFont="1" applyBorder="1" applyAlignment="1">
      <alignment horizontal="center" vertical="center" wrapText="1" shrinkToFit="1"/>
    </xf>
    <xf numFmtId="0" fontId="5" fillId="0" borderId="17" xfId="3" applyFont="1" applyBorder="1" applyAlignment="1">
      <alignment horizontal="center" vertical="center" wrapText="1" shrinkToFit="1"/>
    </xf>
    <xf numFmtId="0" fontId="5" fillId="0" borderId="14" xfId="3" applyFont="1" applyBorder="1" applyAlignment="1">
      <alignment horizontal="center" vertical="center" wrapText="1" shrinkToFit="1"/>
    </xf>
    <xf numFmtId="0" fontId="5" fillId="0" borderId="18" xfId="3" applyFont="1" applyBorder="1" applyAlignment="1">
      <alignment horizontal="center" vertical="center" wrapText="1" shrinkToFit="1"/>
    </xf>
    <xf numFmtId="0" fontId="5" fillId="0" borderId="15" xfId="3" applyFont="1" applyBorder="1" applyAlignment="1">
      <alignment horizontal="center" vertical="center" wrapText="1" shrinkToFit="1"/>
    </xf>
    <xf numFmtId="0" fontId="5" fillId="0" borderId="19" xfId="3" applyFont="1" applyBorder="1" applyAlignment="1">
      <alignment horizontal="center" vertical="center" wrapText="1" shrinkToFit="1"/>
    </xf>
    <xf numFmtId="0" fontId="5" fillId="0" borderId="23" xfId="3" applyFont="1" applyBorder="1" applyAlignment="1">
      <alignment horizontal="center" vertical="center" wrapText="1" shrinkToFit="1"/>
    </xf>
    <xf numFmtId="164" fontId="7" fillId="0" borderId="73" xfId="1" applyNumberFormat="1" applyFont="1" applyFill="1" applyBorder="1" applyAlignment="1">
      <alignment horizontal="left"/>
    </xf>
    <xf numFmtId="164" fontId="5" fillId="0" borderId="72" xfId="1" applyNumberFormat="1" applyFont="1" applyFill="1" applyBorder="1" applyAlignment="1">
      <alignment horizontal="center" vertical="center"/>
    </xf>
    <xf numFmtId="0" fontId="22" fillId="0" borderId="1" xfId="3" applyFont="1" applyBorder="1" applyAlignment="1">
      <alignment horizontal="center"/>
    </xf>
    <xf numFmtId="0" fontId="22" fillId="0" borderId="2" xfId="3" applyFont="1" applyBorder="1" applyAlignment="1">
      <alignment horizontal="center"/>
    </xf>
    <xf numFmtId="0" fontId="22" fillId="0" borderId="3" xfId="3" applyFont="1" applyBorder="1" applyAlignment="1">
      <alignment horizontal="center"/>
    </xf>
    <xf numFmtId="0" fontId="31" fillId="0" borderId="40" xfId="3" applyFont="1" applyBorder="1" applyAlignment="1">
      <alignment horizontal="center"/>
    </xf>
    <xf numFmtId="0" fontId="31" fillId="0" borderId="41" xfId="3" applyFont="1" applyBorder="1" applyAlignment="1">
      <alignment horizontal="center"/>
    </xf>
    <xf numFmtId="167" fontId="38" fillId="0" borderId="17" xfId="0" applyNumberFormat="1" applyFont="1" applyBorder="1" applyAlignment="1">
      <alignment horizontal="center" vertical="center"/>
    </xf>
    <xf numFmtId="168" fontId="38" fillId="0" borderId="17" xfId="0" applyNumberFormat="1" applyFont="1" applyBorder="1" applyAlignment="1">
      <alignment horizontal="center" vertical="center" wrapText="1"/>
    </xf>
    <xf numFmtId="167" fontId="38" fillId="0" borderId="17" xfId="0" applyNumberFormat="1" applyFont="1" applyBorder="1" applyAlignment="1">
      <alignment horizontal="center" vertical="center" wrapText="1"/>
    </xf>
    <xf numFmtId="167" fontId="10" fillId="0" borderId="0" xfId="3" applyNumberFormat="1" applyFont="1" applyAlignment="1">
      <alignment horizontal="center"/>
    </xf>
    <xf numFmtId="0" fontId="42" fillId="8" borderId="45" xfId="11" applyFont="1" applyFill="1" applyBorder="1" applyAlignment="1">
      <alignment horizontal="left" vertical="center" wrapText="1"/>
    </xf>
    <xf numFmtId="0" fontId="42" fillId="8" borderId="46" xfId="11" applyFont="1" applyFill="1" applyBorder="1" applyAlignment="1">
      <alignment horizontal="left" vertical="center" wrapText="1"/>
    </xf>
    <xf numFmtId="0" fontId="42" fillId="8" borderId="47" xfId="11" applyFont="1" applyFill="1" applyBorder="1" applyAlignment="1">
      <alignment horizontal="left" vertical="center" wrapText="1"/>
    </xf>
    <xf numFmtId="0" fontId="42" fillId="10" borderId="52" xfId="11" applyFont="1" applyFill="1" applyBorder="1" applyAlignment="1">
      <alignment horizontal="center" vertical="center" wrapText="1"/>
    </xf>
    <xf numFmtId="0" fontId="42" fillId="10" borderId="53" xfId="11" applyFont="1" applyFill="1" applyBorder="1" applyAlignment="1">
      <alignment horizontal="center" vertical="center" wrapText="1"/>
    </xf>
    <xf numFmtId="0" fontId="43" fillId="0" borderId="45" xfId="11" applyFont="1" applyBorder="1" applyAlignment="1">
      <alignment horizontal="left" vertical="center" wrapText="1"/>
    </xf>
    <xf numFmtId="0" fontId="43" fillId="0" borderId="46" xfId="11" applyFont="1" applyBorder="1" applyAlignment="1">
      <alignment horizontal="left" vertical="center" wrapText="1"/>
    </xf>
    <xf numFmtId="0" fontId="43" fillId="0" borderId="47" xfId="11" applyFont="1" applyBorder="1" applyAlignment="1">
      <alignment horizontal="left" vertical="center" wrapText="1"/>
    </xf>
    <xf numFmtId="0" fontId="42" fillId="6" borderId="45" xfId="11" applyFont="1" applyFill="1" applyBorder="1" applyAlignment="1">
      <alignment horizontal="left" vertical="center" wrapText="1"/>
    </xf>
    <xf numFmtId="0" fontId="42" fillId="6" borderId="46" xfId="11" applyFont="1" applyFill="1" applyBorder="1" applyAlignment="1">
      <alignment horizontal="left" vertical="center" wrapText="1"/>
    </xf>
    <xf numFmtId="0" fontId="42" fillId="6" borderId="47" xfId="11" applyFont="1" applyFill="1" applyBorder="1" applyAlignment="1">
      <alignment horizontal="left" vertical="center" wrapText="1"/>
    </xf>
    <xf numFmtId="0" fontId="44" fillId="7" borderId="45" xfId="11" applyFont="1" applyFill="1" applyBorder="1" applyAlignment="1">
      <alignment horizontal="center" vertical="center" wrapText="1"/>
    </xf>
    <xf numFmtId="0" fontId="44" fillId="7" borderId="46" xfId="11" applyFont="1" applyFill="1" applyBorder="1" applyAlignment="1">
      <alignment horizontal="center" vertical="center" wrapText="1"/>
    </xf>
    <xf numFmtId="0" fontId="44" fillId="7" borderId="47" xfId="11" applyFont="1" applyFill="1" applyBorder="1" applyAlignment="1">
      <alignment horizontal="center" vertical="center" wrapText="1"/>
    </xf>
    <xf numFmtId="0" fontId="44" fillId="8" borderId="45" xfId="11" applyFont="1" applyFill="1" applyBorder="1" applyAlignment="1">
      <alignment horizontal="left" vertical="center" wrapText="1"/>
    </xf>
    <xf numFmtId="0" fontId="44" fillId="8" borderId="46" xfId="11" applyFont="1" applyFill="1" applyBorder="1" applyAlignment="1">
      <alignment horizontal="left" vertical="center" wrapText="1"/>
    </xf>
    <xf numFmtId="0" fontId="44" fillId="8" borderId="47" xfId="11" applyFont="1" applyFill="1" applyBorder="1" applyAlignment="1">
      <alignment horizontal="left" vertical="center" wrapText="1"/>
    </xf>
    <xf numFmtId="0" fontId="44" fillId="10" borderId="45" xfId="11" applyFont="1" applyFill="1" applyBorder="1" applyAlignment="1">
      <alignment horizontal="center" vertical="center" wrapText="1"/>
    </xf>
    <xf numFmtId="0" fontId="44" fillId="10" borderId="47" xfId="11" applyFont="1" applyFill="1" applyBorder="1" applyAlignment="1">
      <alignment horizontal="center" vertical="center" wrapText="1"/>
    </xf>
    <xf numFmtId="0" fontId="57" fillId="0" borderId="58" xfId="12" applyFont="1" applyBorder="1" applyAlignment="1">
      <alignment horizontal="center" wrapText="1"/>
    </xf>
    <xf numFmtId="0" fontId="57" fillId="0" borderId="31" xfId="12" applyFont="1" applyBorder="1" applyAlignment="1">
      <alignment horizontal="center" wrapText="1"/>
    </xf>
    <xf numFmtId="0" fontId="57" fillId="0" borderId="43" xfId="12" applyFont="1" applyBorder="1" applyAlignment="1">
      <alignment horizontal="center" wrapText="1"/>
    </xf>
    <xf numFmtId="0" fontId="57" fillId="0" borderId="57" xfId="12" applyFont="1" applyBorder="1" applyAlignment="1">
      <alignment horizontal="center" wrapText="1"/>
    </xf>
    <xf numFmtId="0" fontId="57" fillId="0" borderId="0" xfId="12" applyFont="1" applyAlignment="1">
      <alignment horizontal="center" wrapText="1"/>
    </xf>
    <xf numFmtId="0" fontId="57" fillId="0" borderId="44" xfId="12" applyFont="1" applyBorder="1" applyAlignment="1">
      <alignment horizontal="center" wrapText="1"/>
    </xf>
    <xf numFmtId="0" fontId="57" fillId="0" borderId="67" xfId="12" applyFont="1" applyBorder="1" applyAlignment="1">
      <alignment horizontal="center" wrapText="1"/>
    </xf>
    <xf numFmtId="0" fontId="57" fillId="0" borderId="11" xfId="12" applyFont="1" applyBorder="1" applyAlignment="1">
      <alignment horizontal="center" wrapText="1"/>
    </xf>
    <xf numFmtId="0" fontId="57" fillId="0" borderId="68" xfId="12" applyFont="1" applyBorder="1" applyAlignment="1">
      <alignment horizontal="center" wrapText="1"/>
    </xf>
    <xf numFmtId="0" fontId="57" fillId="0" borderId="38" xfId="12" applyFont="1" applyBorder="1" applyAlignment="1">
      <alignment horizontal="center" wrapText="1"/>
    </xf>
    <xf numFmtId="0" fontId="57" fillId="0" borderId="39" xfId="12" applyFont="1" applyBorder="1" applyAlignment="1">
      <alignment horizontal="center" wrapText="1"/>
    </xf>
    <xf numFmtId="0" fontId="57" fillId="0" borderId="69" xfId="12" applyFont="1" applyBorder="1" applyAlignment="1">
      <alignment horizontal="center" wrapText="1"/>
    </xf>
    <xf numFmtId="0" fontId="57" fillId="0" borderId="59" xfId="12" applyFont="1" applyBorder="1" applyAlignment="1">
      <alignment horizontal="center" wrapText="1"/>
    </xf>
    <xf numFmtId="0" fontId="57" fillId="0" borderId="34" xfId="12" applyFont="1" applyBorder="1" applyAlignment="1">
      <alignment horizontal="center" wrapText="1"/>
    </xf>
    <xf numFmtId="0" fontId="57" fillId="0" borderId="70" xfId="12" applyFont="1" applyBorder="1" applyAlignment="1">
      <alignment horizontal="center" wrapText="1"/>
    </xf>
    <xf numFmtId="0" fontId="57" fillId="0" borderId="60" xfId="12" applyFont="1" applyBorder="1" applyAlignment="1">
      <alignment horizontal="center" wrapText="1"/>
    </xf>
    <xf numFmtId="0" fontId="57" fillId="0" borderId="8" xfId="12" applyFont="1" applyBorder="1" applyAlignment="1">
      <alignment horizontal="center" wrapText="1"/>
    </xf>
    <xf numFmtId="0" fontId="57" fillId="0" borderId="33" xfId="12" applyFont="1" applyBorder="1" applyAlignment="1">
      <alignment horizontal="center" wrapText="1"/>
    </xf>
    <xf numFmtId="9" fontId="57" fillId="0" borderId="0" xfId="12" applyNumberFormat="1" applyFont="1" applyAlignment="1">
      <alignment horizontal="center" wrapText="1"/>
    </xf>
    <xf numFmtId="0" fontId="57" fillId="0" borderId="61" xfId="12" applyFont="1" applyBorder="1" applyAlignment="1">
      <alignment horizontal="center" wrapText="1"/>
    </xf>
    <xf numFmtId="0" fontId="57" fillId="0" borderId="62" xfId="12" applyFont="1" applyBorder="1" applyAlignment="1">
      <alignment horizontal="center" wrapText="1"/>
    </xf>
    <xf numFmtId="0" fontId="59" fillId="4" borderId="63" xfId="12" applyFont="1" applyFill="1" applyBorder="1" applyAlignment="1">
      <alignment horizontal="center" vertical="center"/>
    </xf>
    <xf numFmtId="0" fontId="59" fillId="4" borderId="64" xfId="12" applyFont="1" applyFill="1" applyBorder="1" applyAlignment="1">
      <alignment horizontal="center" vertical="center"/>
    </xf>
    <xf numFmtId="0" fontId="59" fillId="4" borderId="32" xfId="12" applyFont="1" applyFill="1" applyBorder="1" applyAlignment="1">
      <alignment horizontal="center" vertical="center"/>
    </xf>
    <xf numFmtId="0" fontId="59" fillId="4" borderId="18" xfId="12" applyFont="1" applyFill="1" applyBorder="1" applyAlignment="1">
      <alignment horizontal="center" vertical="center"/>
    </xf>
    <xf numFmtId="0" fontId="59" fillId="4" borderId="65" xfId="12" applyFont="1" applyFill="1" applyBorder="1" applyAlignment="1">
      <alignment horizontal="center" vertical="center"/>
    </xf>
    <xf numFmtId="0" fontId="56" fillId="4" borderId="63" xfId="12" applyFont="1" applyFill="1" applyBorder="1" applyAlignment="1">
      <alignment horizontal="center" vertical="center"/>
    </xf>
    <xf numFmtId="0" fontId="56" fillId="4" borderId="64" xfId="12" applyFont="1" applyFill="1" applyBorder="1" applyAlignment="1">
      <alignment horizontal="center" vertical="center"/>
    </xf>
    <xf numFmtId="0" fontId="56" fillId="4" borderId="32" xfId="12" applyFont="1" applyFill="1" applyBorder="1" applyAlignment="1">
      <alignment horizontal="center" vertical="center"/>
    </xf>
    <xf numFmtId="0" fontId="56" fillId="4" borderId="18" xfId="12" applyFont="1" applyFill="1" applyBorder="1" applyAlignment="1">
      <alignment horizontal="center" vertical="center"/>
    </xf>
    <xf numFmtId="0" fontId="56" fillId="4" borderId="65" xfId="12" applyFont="1" applyFill="1" applyBorder="1" applyAlignment="1">
      <alignment horizontal="center" vertical="center"/>
    </xf>
    <xf numFmtId="0" fontId="57" fillId="0" borderId="57" xfId="12" applyFont="1" applyBorder="1" applyAlignment="1">
      <alignment horizontal="center"/>
    </xf>
    <xf numFmtId="0" fontId="57" fillId="0" borderId="0" xfId="12" applyFont="1" applyAlignment="1">
      <alignment horizontal="center"/>
    </xf>
    <xf numFmtId="0" fontId="57" fillId="0" borderId="44" xfId="12" applyFont="1" applyBorder="1" applyAlignment="1">
      <alignment horizontal="center"/>
    </xf>
    <xf numFmtId="0" fontId="57" fillId="0" borderId="60" xfId="12" applyFont="1" applyBorder="1" applyAlignment="1">
      <alignment horizontal="center"/>
    </xf>
    <xf numFmtId="0" fontId="57" fillId="0" borderId="8" xfId="12" applyFont="1" applyBorder="1" applyAlignment="1">
      <alignment horizontal="center"/>
    </xf>
    <xf numFmtId="0" fontId="57" fillId="0" borderId="33" xfId="12" applyFont="1" applyBorder="1" applyAlignment="1">
      <alignment horizontal="center"/>
    </xf>
    <xf numFmtId="0" fontId="57" fillId="0" borderId="39" xfId="12" applyFont="1" applyBorder="1" applyAlignment="1">
      <alignment horizontal="center"/>
    </xf>
    <xf numFmtId="0" fontId="57" fillId="0" borderId="61" xfId="12" applyFont="1" applyBorder="1" applyAlignment="1">
      <alignment horizontal="center"/>
    </xf>
    <xf numFmtId="0" fontId="57" fillId="0" borderId="34" xfId="12" applyFont="1" applyBorder="1" applyAlignment="1">
      <alignment horizontal="center"/>
    </xf>
    <xf numFmtId="0" fontId="57" fillId="0" borderId="62" xfId="12" applyFont="1" applyBorder="1" applyAlignment="1">
      <alignment horizontal="center"/>
    </xf>
    <xf numFmtId="0" fontId="58" fillId="0" borderId="63" xfId="12" applyFont="1" applyBorder="1" applyAlignment="1">
      <alignment horizontal="center"/>
    </xf>
    <xf numFmtId="0" fontId="58" fillId="0" borderId="64" xfId="12" applyFont="1" applyBorder="1" applyAlignment="1">
      <alignment horizontal="center"/>
    </xf>
    <xf numFmtId="0" fontId="58" fillId="0" borderId="32" xfId="12" applyFont="1" applyBorder="1" applyAlignment="1">
      <alignment horizontal="center"/>
    </xf>
    <xf numFmtId="0" fontId="58" fillId="0" borderId="18" xfId="12" applyFont="1" applyBorder="1" applyAlignment="1">
      <alignment horizontal="center"/>
    </xf>
    <xf numFmtId="0" fontId="58" fillId="0" borderId="65" xfId="12" applyFont="1" applyBorder="1" applyAlignment="1">
      <alignment horizontal="center"/>
    </xf>
    <xf numFmtId="0" fontId="55" fillId="12" borderId="60" xfId="12" applyFont="1" applyFill="1" applyBorder="1" applyAlignment="1">
      <alignment horizontal="center" vertical="center"/>
    </xf>
    <xf numFmtId="0" fontId="55" fillId="12" borderId="8" xfId="12" applyFont="1" applyFill="1" applyBorder="1" applyAlignment="1">
      <alignment horizontal="center" vertical="center"/>
    </xf>
    <xf numFmtId="0" fontId="55" fillId="12" borderId="62" xfId="12" applyFont="1" applyFill="1" applyBorder="1" applyAlignment="1">
      <alignment horizontal="center" vertical="center"/>
    </xf>
    <xf numFmtId="0" fontId="57" fillId="0" borderId="66" xfId="12" applyFont="1" applyBorder="1" applyAlignment="1">
      <alignment horizontal="center" wrapText="1"/>
    </xf>
    <xf numFmtId="0" fontId="57" fillId="0" borderId="17" xfId="12" applyFont="1" applyBorder="1" applyAlignment="1">
      <alignment horizontal="center" wrapText="1"/>
    </xf>
    <xf numFmtId="0" fontId="51" fillId="11" borderId="60" xfId="12" applyFont="1" applyFill="1" applyBorder="1" applyAlignment="1">
      <alignment horizontal="left" vertical="center"/>
    </xf>
    <xf numFmtId="0" fontId="51" fillId="11" borderId="8" xfId="12" applyFont="1" applyFill="1" applyBorder="1" applyAlignment="1">
      <alignment horizontal="left" vertical="center"/>
    </xf>
    <xf numFmtId="173" fontId="53" fillId="11" borderId="8" xfId="12" applyNumberFormat="1" applyFont="1" applyFill="1" applyBorder="1" applyAlignment="1">
      <alignment horizontal="left" vertical="center"/>
    </xf>
    <xf numFmtId="173" fontId="53" fillId="11" borderId="62" xfId="12" applyNumberFormat="1" applyFont="1" applyFill="1" applyBorder="1" applyAlignment="1">
      <alignment horizontal="left" vertical="center"/>
    </xf>
    <xf numFmtId="0" fontId="1" fillId="11" borderId="55" xfId="12" applyFill="1" applyBorder="1" applyAlignment="1">
      <alignment horizontal="center" vertical="center"/>
    </xf>
    <xf numFmtId="0" fontId="1" fillId="11" borderId="5" xfId="12" applyFill="1" applyBorder="1" applyAlignment="1">
      <alignment horizontal="center" vertical="center"/>
    </xf>
    <xf numFmtId="0" fontId="1" fillId="11" borderId="56" xfId="12" applyFill="1" applyBorder="1" applyAlignment="1">
      <alignment horizontal="center" vertical="center"/>
    </xf>
    <xf numFmtId="0" fontId="1" fillId="11" borderId="57" xfId="12" applyFill="1" applyBorder="1" applyAlignment="1">
      <alignment horizontal="center" vertical="center"/>
    </xf>
    <xf numFmtId="0" fontId="1" fillId="11" borderId="0" xfId="12" applyFill="1" applyAlignment="1">
      <alignment horizontal="center" vertical="center"/>
    </xf>
    <xf numFmtId="0" fontId="1" fillId="11" borderId="34" xfId="12" applyFill="1" applyBorder="1" applyAlignment="1">
      <alignment horizontal="center" vertical="center"/>
    </xf>
    <xf numFmtId="0" fontId="51" fillId="11" borderId="58" xfId="12" applyFont="1" applyFill="1" applyBorder="1" applyAlignment="1">
      <alignment horizontal="left" vertical="center"/>
    </xf>
    <xf numFmtId="0" fontId="51" fillId="11" borderId="31" xfId="12" applyFont="1" applyFill="1" applyBorder="1" applyAlignment="1">
      <alignment horizontal="left" vertical="center"/>
    </xf>
    <xf numFmtId="0" fontId="52" fillId="11" borderId="38" xfId="12" applyFont="1" applyFill="1" applyBorder="1" applyAlignment="1">
      <alignment horizontal="left" vertical="center"/>
    </xf>
    <xf numFmtId="0" fontId="52" fillId="11" borderId="31" xfId="12" applyFont="1" applyFill="1" applyBorder="1" applyAlignment="1">
      <alignment horizontal="left" vertical="center"/>
    </xf>
    <xf numFmtId="0" fontId="52" fillId="11" borderId="39" xfId="12" applyFont="1" applyFill="1" applyBorder="1" applyAlignment="1">
      <alignment horizontal="left" vertical="center"/>
    </xf>
    <xf numFmtId="0" fontId="52" fillId="11" borderId="0" xfId="12" applyFont="1" applyFill="1" applyAlignment="1">
      <alignment horizontal="left" vertical="center"/>
    </xf>
    <xf numFmtId="0" fontId="53" fillId="11" borderId="31" xfId="12" applyFont="1" applyFill="1" applyBorder="1" applyAlignment="1">
      <alignment horizontal="left" vertical="center"/>
    </xf>
    <xf numFmtId="0" fontId="53" fillId="11" borderId="0" xfId="12" applyFont="1" applyFill="1" applyAlignment="1">
      <alignment horizontal="left" vertical="center"/>
    </xf>
    <xf numFmtId="0" fontId="54" fillId="11" borderId="31" xfId="12" applyFont="1" applyFill="1" applyBorder="1" applyAlignment="1">
      <alignment horizontal="center" vertical="center"/>
    </xf>
    <xf numFmtId="0" fontId="54" fillId="11" borderId="59" xfId="12" applyFont="1" applyFill="1" applyBorder="1" applyAlignment="1">
      <alignment horizontal="center" vertical="center"/>
    </xf>
  </cellXfs>
  <cellStyles count="13">
    <cellStyle name="Comma" xfId="1" builtinId="3"/>
    <cellStyle name="Comma 2" xfId="4" xr:uid="{00000000-0005-0000-0000-000001000000}"/>
    <cellStyle name="Comma 3" xfId="6" xr:uid="{00000000-0005-0000-0000-000002000000}"/>
    <cellStyle name="Comma 4" xfId="7" xr:uid="{00000000-0005-0000-0000-000003000000}"/>
    <cellStyle name="Hyperlink" xfId="5" builtinId="8"/>
    <cellStyle name="Normal" xfId="0" builtinId="0"/>
    <cellStyle name="Normal 2" xfId="8" xr:uid="{00000000-0005-0000-0000-000006000000}"/>
    <cellStyle name="Normal 2 2" xfId="9" xr:uid="{00000000-0005-0000-0000-000007000000}"/>
    <cellStyle name="Normal 3" xfId="10" xr:uid="{00000000-0005-0000-0000-000008000000}"/>
    <cellStyle name="Normal 3 2" xfId="11" xr:uid="{3627AEEB-3215-4C33-A506-341AE2AC9810}"/>
    <cellStyle name="Normal 4" xfId="12" xr:uid="{0BA876FE-25DC-4F2E-A8A4-F27CB96A6BC2}"/>
    <cellStyle name="Normal_Daily Progress report May-09" xfId="3" xr:uid="{00000000-0005-0000-0000-000009000000}"/>
    <cellStyle name="Percent" xfId="2" builtinId="5"/>
  </cellStyles>
  <dxfs count="3">
    <dxf>
      <font>
        <condense val="0"/>
        <extend val="0"/>
        <color indexed="22"/>
      </font>
    </dxf>
    <dxf>
      <font>
        <condense val="0"/>
        <extend val="0"/>
        <color indexed="22"/>
      </font>
    </dxf>
    <dxf>
      <font>
        <condense val="0"/>
        <extend val="0"/>
        <color indexed="22"/>
      </font>
    </dxf>
  </dxfs>
  <tableStyles count="0" defaultTableStyle="TableStyleMedium9" defaultPivotStyle="PivotStyleLight16"/>
  <colors>
    <mruColors>
      <color rgb="FFFFFF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26" Type="http://schemas.openxmlformats.org/officeDocument/2006/relationships/externalLink" Target="externalLinks/externalLink20.xml"/><Relationship Id="rId3" Type="http://schemas.openxmlformats.org/officeDocument/2006/relationships/worksheet" Target="worksheets/sheet3.xml"/><Relationship Id="rId21" Type="http://schemas.openxmlformats.org/officeDocument/2006/relationships/externalLink" Target="externalLinks/externalLink15.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externalLink" Target="externalLinks/externalLink19.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externalLink" Target="externalLinks/externalLink14.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24" Type="http://schemas.openxmlformats.org/officeDocument/2006/relationships/externalLink" Target="externalLinks/externalLink18.xml"/><Relationship Id="rId32" Type="http://schemas.microsoft.com/office/2022/11/relationships/FeaturePropertyBag" Target="featurePropertyBag/featurePropertyBag.xml"/><Relationship Id="rId5" Type="http://schemas.openxmlformats.org/officeDocument/2006/relationships/worksheet" Target="worksheets/sheet5.xml"/><Relationship Id="rId15" Type="http://schemas.openxmlformats.org/officeDocument/2006/relationships/externalLink" Target="externalLinks/externalLink9.xml"/><Relationship Id="rId23" Type="http://schemas.openxmlformats.org/officeDocument/2006/relationships/externalLink" Target="externalLinks/externalLink17.xml"/><Relationship Id="rId28" Type="http://schemas.openxmlformats.org/officeDocument/2006/relationships/externalLink" Target="externalLinks/externalLink22.xml"/><Relationship Id="rId10" Type="http://schemas.openxmlformats.org/officeDocument/2006/relationships/externalLink" Target="externalLinks/externalLink4.xml"/><Relationship Id="rId19" Type="http://schemas.openxmlformats.org/officeDocument/2006/relationships/externalLink" Target="externalLinks/externalLink13.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externalLink" Target="externalLinks/externalLink16.xml"/><Relationship Id="rId27" Type="http://schemas.openxmlformats.org/officeDocument/2006/relationships/externalLink" Target="externalLinks/externalLink21.xml"/><Relationship Id="rId30" Type="http://schemas.openxmlformats.org/officeDocument/2006/relationships/styles" Target="styles.xml"/><Relationship Id="rId8" Type="http://schemas.openxmlformats.org/officeDocument/2006/relationships/externalLink" Target="externalLinks/externalLink2.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228</xdr:row>
      <xdr:rowOff>95252</xdr:rowOff>
    </xdr:from>
    <xdr:to>
      <xdr:col>0</xdr:col>
      <xdr:colOff>467479</xdr:colOff>
      <xdr:row>228</xdr:row>
      <xdr:rowOff>256157</xdr:rowOff>
    </xdr:to>
    <xdr:sp macro="" textlink="">
      <xdr:nvSpPr>
        <xdr:cNvPr id="2" name="TextBox 11">
          <a:extLst>
            <a:ext uri="{FF2B5EF4-FFF2-40B4-BE49-F238E27FC236}">
              <a16:creationId xmlns:a16="http://schemas.microsoft.com/office/drawing/2014/main" id="{9FD5AC48-6E67-470F-8607-DB4A98CCD034}"/>
            </a:ext>
          </a:extLst>
        </xdr:cNvPr>
        <xdr:cNvSpPr txBox="1"/>
      </xdr:nvSpPr>
      <xdr:spPr>
        <a:xfrm>
          <a:off x="38100" y="73171052"/>
          <a:ext cx="429379" cy="16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GB" sz="800" b="1"/>
            <a:t>SUNNY</a:t>
          </a:r>
        </a:p>
      </xdr:txBody>
    </xdr:sp>
    <xdr:clientData/>
  </xdr:twoCellAnchor>
  <xdr:twoCellAnchor>
    <xdr:from>
      <xdr:col>0</xdr:col>
      <xdr:colOff>653649</xdr:colOff>
      <xdr:row>228</xdr:row>
      <xdr:rowOff>104778</xdr:rowOff>
    </xdr:from>
    <xdr:to>
      <xdr:col>1</xdr:col>
      <xdr:colOff>496326</xdr:colOff>
      <xdr:row>228</xdr:row>
      <xdr:rowOff>247014</xdr:rowOff>
    </xdr:to>
    <xdr:sp macro="" textlink="">
      <xdr:nvSpPr>
        <xdr:cNvPr id="3" name="TextBox 23">
          <a:extLst>
            <a:ext uri="{FF2B5EF4-FFF2-40B4-BE49-F238E27FC236}">
              <a16:creationId xmlns:a16="http://schemas.microsoft.com/office/drawing/2014/main" id="{44E90B62-3E64-497F-B977-A07BE9DDA7AF}"/>
            </a:ext>
          </a:extLst>
        </xdr:cNvPr>
        <xdr:cNvSpPr txBox="1"/>
      </xdr:nvSpPr>
      <xdr:spPr>
        <a:xfrm>
          <a:off x="653649" y="73180578"/>
          <a:ext cx="738027" cy="142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GB" sz="800" b="1"/>
            <a:t>PARTIAL CLOUDY</a:t>
          </a:r>
        </a:p>
      </xdr:txBody>
    </xdr:sp>
    <xdr:clientData/>
  </xdr:twoCellAnchor>
  <xdr:twoCellAnchor>
    <xdr:from>
      <xdr:col>1</xdr:col>
      <xdr:colOff>858012</xdr:colOff>
      <xdr:row>228</xdr:row>
      <xdr:rowOff>104777</xdr:rowOff>
    </xdr:from>
    <xdr:to>
      <xdr:col>1</xdr:col>
      <xdr:colOff>1325600</xdr:colOff>
      <xdr:row>229</xdr:row>
      <xdr:rowOff>1376</xdr:rowOff>
    </xdr:to>
    <xdr:sp macro="" textlink="">
      <xdr:nvSpPr>
        <xdr:cNvPr id="4" name="TextBox 24">
          <a:extLst>
            <a:ext uri="{FF2B5EF4-FFF2-40B4-BE49-F238E27FC236}">
              <a16:creationId xmlns:a16="http://schemas.microsoft.com/office/drawing/2014/main" id="{0141BD78-BD4B-4A59-9715-97ABD1B4A53F}"/>
            </a:ext>
          </a:extLst>
        </xdr:cNvPr>
        <xdr:cNvSpPr txBox="1"/>
      </xdr:nvSpPr>
      <xdr:spPr>
        <a:xfrm>
          <a:off x="1753362" y="73180577"/>
          <a:ext cx="467588" cy="163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GB" sz="800" b="1"/>
            <a:t>RAINY</a:t>
          </a:r>
        </a:p>
      </xdr:txBody>
    </xdr:sp>
    <xdr:clientData/>
  </xdr:twoCellAnchor>
  <xdr:twoCellAnchor>
    <xdr:from>
      <xdr:col>1</xdr:col>
      <xdr:colOff>1344543</xdr:colOff>
      <xdr:row>228</xdr:row>
      <xdr:rowOff>109105</xdr:rowOff>
    </xdr:from>
    <xdr:to>
      <xdr:col>1</xdr:col>
      <xdr:colOff>2695925</xdr:colOff>
      <xdr:row>228</xdr:row>
      <xdr:rowOff>259607</xdr:rowOff>
    </xdr:to>
    <xdr:sp macro="" textlink="">
      <xdr:nvSpPr>
        <xdr:cNvPr id="5" name="TextBox 21">
          <a:extLst>
            <a:ext uri="{FF2B5EF4-FFF2-40B4-BE49-F238E27FC236}">
              <a16:creationId xmlns:a16="http://schemas.microsoft.com/office/drawing/2014/main" id="{FE274457-76ED-451B-8298-9540B7A8DEE4}"/>
            </a:ext>
          </a:extLst>
        </xdr:cNvPr>
        <xdr:cNvSpPr txBox="1"/>
      </xdr:nvSpPr>
      <xdr:spPr>
        <a:xfrm>
          <a:off x="2239893" y="73184905"/>
          <a:ext cx="1351382" cy="150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GB" sz="800" b="1"/>
            <a:t>CLOUDY</a:t>
          </a:r>
        </a:p>
      </xdr:txBody>
    </xdr:sp>
    <xdr:clientData/>
  </xdr:twoCellAnchor>
  <xdr:twoCellAnchor>
    <xdr:from>
      <xdr:col>1</xdr:col>
      <xdr:colOff>2886424</xdr:colOff>
      <xdr:row>228</xdr:row>
      <xdr:rowOff>109103</xdr:rowOff>
    </xdr:from>
    <xdr:to>
      <xdr:col>1</xdr:col>
      <xdr:colOff>3309933</xdr:colOff>
      <xdr:row>228</xdr:row>
      <xdr:rowOff>255126</xdr:rowOff>
    </xdr:to>
    <xdr:sp macro="" textlink="">
      <xdr:nvSpPr>
        <xdr:cNvPr id="6" name="TextBox 25">
          <a:extLst>
            <a:ext uri="{FF2B5EF4-FFF2-40B4-BE49-F238E27FC236}">
              <a16:creationId xmlns:a16="http://schemas.microsoft.com/office/drawing/2014/main" id="{4EFD2DEB-A147-46B3-9259-8FA71EDB667F}"/>
            </a:ext>
          </a:extLst>
        </xdr:cNvPr>
        <xdr:cNvSpPr txBox="1"/>
      </xdr:nvSpPr>
      <xdr:spPr>
        <a:xfrm flipH="1">
          <a:off x="3781774" y="73184903"/>
          <a:ext cx="423509" cy="146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GB" sz="800" b="1"/>
            <a:t>STORMY</a:t>
          </a:r>
        </a:p>
      </xdr:txBody>
    </xdr:sp>
    <xdr:clientData/>
  </xdr:twoCellAnchor>
  <xdr:twoCellAnchor>
    <xdr:from>
      <xdr:col>1</xdr:col>
      <xdr:colOff>3558936</xdr:colOff>
      <xdr:row>228</xdr:row>
      <xdr:rowOff>109105</xdr:rowOff>
    </xdr:from>
    <xdr:to>
      <xdr:col>1</xdr:col>
      <xdr:colOff>4111798</xdr:colOff>
      <xdr:row>228</xdr:row>
      <xdr:rowOff>252962</xdr:rowOff>
    </xdr:to>
    <xdr:sp macro="" textlink="">
      <xdr:nvSpPr>
        <xdr:cNvPr id="7" name="TextBox 22">
          <a:extLst>
            <a:ext uri="{FF2B5EF4-FFF2-40B4-BE49-F238E27FC236}">
              <a16:creationId xmlns:a16="http://schemas.microsoft.com/office/drawing/2014/main" id="{9C48C325-B804-47F3-BC28-359C5E9B4AC2}"/>
            </a:ext>
          </a:extLst>
        </xdr:cNvPr>
        <xdr:cNvSpPr txBox="1"/>
      </xdr:nvSpPr>
      <xdr:spPr>
        <a:xfrm>
          <a:off x="4454286" y="73184905"/>
          <a:ext cx="552862" cy="143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GB" sz="800" b="1"/>
            <a:t>SNOWY</a:t>
          </a:r>
        </a:p>
      </xdr:txBody>
    </xdr:sp>
    <xdr:clientData/>
  </xdr:twoCellAnchor>
  <xdr:twoCellAnchor>
    <xdr:from>
      <xdr:col>1</xdr:col>
      <xdr:colOff>4215697</xdr:colOff>
      <xdr:row>228</xdr:row>
      <xdr:rowOff>104775</xdr:rowOff>
    </xdr:from>
    <xdr:to>
      <xdr:col>2</xdr:col>
      <xdr:colOff>179243</xdr:colOff>
      <xdr:row>228</xdr:row>
      <xdr:rowOff>253378</xdr:rowOff>
    </xdr:to>
    <xdr:sp macro="" textlink="">
      <xdr:nvSpPr>
        <xdr:cNvPr id="8" name="TextBox 22">
          <a:extLst>
            <a:ext uri="{FF2B5EF4-FFF2-40B4-BE49-F238E27FC236}">
              <a16:creationId xmlns:a16="http://schemas.microsoft.com/office/drawing/2014/main" id="{BA68E40E-6A26-40D7-9DC0-3315EA092160}"/>
            </a:ext>
          </a:extLst>
        </xdr:cNvPr>
        <xdr:cNvSpPr txBox="1"/>
      </xdr:nvSpPr>
      <xdr:spPr>
        <a:xfrm>
          <a:off x="5111047" y="73180575"/>
          <a:ext cx="678421" cy="148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GB" sz="800" b="1"/>
            <a:t>HIGH</a:t>
          </a:r>
          <a:r>
            <a:rPr lang="en-GB" sz="800" b="1" baseline="0"/>
            <a:t> WIND</a:t>
          </a:r>
          <a:endParaRPr lang="en-GB" sz="800" b="1"/>
        </a:p>
      </xdr:txBody>
    </xdr:sp>
    <xdr:clientData/>
  </xdr:twoCellAnchor>
  <xdr:oneCellAnchor>
    <xdr:from>
      <xdr:col>0</xdr:col>
      <xdr:colOff>34389</xdr:colOff>
      <xdr:row>229</xdr:row>
      <xdr:rowOff>52055</xdr:rowOff>
    </xdr:from>
    <xdr:ext cx="437532" cy="384587"/>
    <xdr:pic>
      <xdr:nvPicPr>
        <xdr:cNvPr id="9" name="Picture 1">
          <a:extLst>
            <a:ext uri="{FF2B5EF4-FFF2-40B4-BE49-F238E27FC236}">
              <a16:creationId xmlns:a16="http://schemas.microsoft.com/office/drawing/2014/main" id="{774329E4-98D2-402C-8E74-766F7F2B3290}"/>
            </a:ext>
          </a:extLst>
        </xdr:cNvPr>
        <xdr:cNvPicPr>
          <a:picLocks noChangeAspect="1"/>
        </xdr:cNvPicPr>
      </xdr:nvPicPr>
      <xdr:blipFill>
        <a:blip xmlns:r="http://schemas.openxmlformats.org/officeDocument/2006/relationships" r:embed="rId1" cstate="print"/>
        <a:stretch>
          <a:fillRect/>
        </a:stretch>
      </xdr:blipFill>
      <xdr:spPr>
        <a:xfrm>
          <a:off x="34389" y="73394555"/>
          <a:ext cx="437532" cy="384587"/>
        </a:xfrm>
        <a:prstGeom prst="rect">
          <a:avLst/>
        </a:prstGeom>
      </xdr:spPr>
    </xdr:pic>
    <xdr:clientData/>
  </xdr:oneCellAnchor>
  <xdr:oneCellAnchor>
    <xdr:from>
      <xdr:col>0</xdr:col>
      <xdr:colOff>652533</xdr:colOff>
      <xdr:row>229</xdr:row>
      <xdr:rowOff>88918</xdr:rowOff>
    </xdr:from>
    <xdr:ext cx="526720" cy="352920"/>
    <xdr:pic>
      <xdr:nvPicPr>
        <xdr:cNvPr id="10" name="Picture 3">
          <a:extLst>
            <a:ext uri="{FF2B5EF4-FFF2-40B4-BE49-F238E27FC236}">
              <a16:creationId xmlns:a16="http://schemas.microsoft.com/office/drawing/2014/main" id="{75B4701D-5E09-4D0A-9718-0D0D0D557ABB}"/>
            </a:ext>
          </a:extLst>
        </xdr:cNvPr>
        <xdr:cNvPicPr>
          <a:picLocks noChangeAspect="1"/>
        </xdr:cNvPicPr>
      </xdr:nvPicPr>
      <xdr:blipFill>
        <a:blip xmlns:r="http://schemas.openxmlformats.org/officeDocument/2006/relationships" r:embed="rId2" cstate="print"/>
        <a:stretch>
          <a:fillRect/>
        </a:stretch>
      </xdr:blipFill>
      <xdr:spPr>
        <a:xfrm>
          <a:off x="652533" y="73431418"/>
          <a:ext cx="526720" cy="352920"/>
        </a:xfrm>
        <a:prstGeom prst="rect">
          <a:avLst/>
        </a:prstGeom>
      </xdr:spPr>
    </xdr:pic>
    <xdr:clientData/>
  </xdr:oneCellAnchor>
  <xdr:oneCellAnchor>
    <xdr:from>
      <xdr:col>1</xdr:col>
      <xdr:colOff>821143</xdr:colOff>
      <xdr:row>229</xdr:row>
      <xdr:rowOff>111678</xdr:rowOff>
    </xdr:from>
    <xdr:ext cx="530432" cy="377784"/>
    <xdr:pic>
      <xdr:nvPicPr>
        <xdr:cNvPr id="11" name="Picture 5">
          <a:extLst>
            <a:ext uri="{FF2B5EF4-FFF2-40B4-BE49-F238E27FC236}">
              <a16:creationId xmlns:a16="http://schemas.microsoft.com/office/drawing/2014/main" id="{594E7CC1-C2F5-4791-92BB-AD13BC0B61A0}"/>
            </a:ext>
          </a:extLst>
        </xdr:cNvPr>
        <xdr:cNvPicPr>
          <a:picLocks noChangeAspect="1"/>
        </xdr:cNvPicPr>
      </xdr:nvPicPr>
      <xdr:blipFill>
        <a:blip xmlns:r="http://schemas.openxmlformats.org/officeDocument/2006/relationships" r:embed="rId3" cstate="print"/>
        <a:stretch>
          <a:fillRect/>
        </a:stretch>
      </xdr:blipFill>
      <xdr:spPr>
        <a:xfrm>
          <a:off x="1716493" y="73454178"/>
          <a:ext cx="530432" cy="377784"/>
        </a:xfrm>
        <a:prstGeom prst="rect">
          <a:avLst/>
        </a:prstGeom>
      </xdr:spPr>
    </xdr:pic>
    <xdr:clientData/>
  </xdr:oneCellAnchor>
  <xdr:oneCellAnchor>
    <xdr:from>
      <xdr:col>1</xdr:col>
      <xdr:colOff>1750638</xdr:colOff>
      <xdr:row>229</xdr:row>
      <xdr:rowOff>131844</xdr:rowOff>
    </xdr:from>
    <xdr:ext cx="545523" cy="381000"/>
    <xdr:pic>
      <xdr:nvPicPr>
        <xdr:cNvPr id="12" name="Picture 4">
          <a:extLst>
            <a:ext uri="{FF2B5EF4-FFF2-40B4-BE49-F238E27FC236}">
              <a16:creationId xmlns:a16="http://schemas.microsoft.com/office/drawing/2014/main" id="{294616D5-D489-4DDA-B629-2BEF874C70D4}"/>
            </a:ext>
          </a:extLst>
        </xdr:cNvPr>
        <xdr:cNvPicPr>
          <a:picLocks noChangeAspect="1"/>
        </xdr:cNvPicPr>
      </xdr:nvPicPr>
      <xdr:blipFill>
        <a:blip xmlns:r="http://schemas.openxmlformats.org/officeDocument/2006/relationships" r:embed="rId4" cstate="print"/>
        <a:stretch>
          <a:fillRect/>
        </a:stretch>
      </xdr:blipFill>
      <xdr:spPr>
        <a:xfrm>
          <a:off x="2645988" y="73474344"/>
          <a:ext cx="545523" cy="381000"/>
        </a:xfrm>
        <a:prstGeom prst="rect">
          <a:avLst/>
        </a:prstGeom>
      </xdr:spPr>
    </xdr:pic>
    <xdr:clientData/>
  </xdr:oneCellAnchor>
  <xdr:oneCellAnchor>
    <xdr:from>
      <xdr:col>1</xdr:col>
      <xdr:colOff>2916732</xdr:colOff>
      <xdr:row>229</xdr:row>
      <xdr:rowOff>117119</xdr:rowOff>
    </xdr:from>
    <xdr:ext cx="484907" cy="385332"/>
    <xdr:pic>
      <xdr:nvPicPr>
        <xdr:cNvPr id="13" name="Picture 12">
          <a:extLst>
            <a:ext uri="{FF2B5EF4-FFF2-40B4-BE49-F238E27FC236}">
              <a16:creationId xmlns:a16="http://schemas.microsoft.com/office/drawing/2014/main" id="{056005B2-7555-4E0B-AD37-90B0FB364A0D}"/>
            </a:ext>
          </a:extLst>
        </xdr:cNvPr>
        <xdr:cNvPicPr>
          <a:picLocks noChangeAspect="1"/>
        </xdr:cNvPicPr>
      </xdr:nvPicPr>
      <xdr:blipFill>
        <a:blip xmlns:r="http://schemas.openxmlformats.org/officeDocument/2006/relationships" r:embed="rId5" cstate="print"/>
        <a:stretch>
          <a:fillRect/>
        </a:stretch>
      </xdr:blipFill>
      <xdr:spPr>
        <a:xfrm>
          <a:off x="3812082" y="73459619"/>
          <a:ext cx="484907" cy="385332"/>
        </a:xfrm>
        <a:prstGeom prst="rect">
          <a:avLst/>
        </a:prstGeom>
      </xdr:spPr>
    </xdr:pic>
    <xdr:clientData/>
  </xdr:oneCellAnchor>
  <xdr:oneCellAnchor>
    <xdr:from>
      <xdr:col>1</xdr:col>
      <xdr:colOff>3623872</xdr:colOff>
      <xdr:row>229</xdr:row>
      <xdr:rowOff>104130</xdr:rowOff>
    </xdr:from>
    <xdr:ext cx="489234" cy="401098"/>
    <xdr:pic>
      <xdr:nvPicPr>
        <xdr:cNvPr id="14" name="Picture 6">
          <a:extLst>
            <a:ext uri="{FF2B5EF4-FFF2-40B4-BE49-F238E27FC236}">
              <a16:creationId xmlns:a16="http://schemas.microsoft.com/office/drawing/2014/main" id="{5600D249-73D6-43E4-B74E-69E632216011}"/>
            </a:ext>
          </a:extLst>
        </xdr:cNvPr>
        <xdr:cNvPicPr>
          <a:picLocks noChangeAspect="1"/>
        </xdr:cNvPicPr>
      </xdr:nvPicPr>
      <xdr:blipFill>
        <a:blip xmlns:r="http://schemas.openxmlformats.org/officeDocument/2006/relationships" r:embed="rId6" cstate="print"/>
        <a:stretch>
          <a:fillRect/>
        </a:stretch>
      </xdr:blipFill>
      <xdr:spPr>
        <a:xfrm>
          <a:off x="4519222" y="73446630"/>
          <a:ext cx="489234" cy="401098"/>
        </a:xfrm>
        <a:prstGeom prst="rect">
          <a:avLst/>
        </a:prstGeom>
      </xdr:spPr>
    </xdr:pic>
    <xdr:clientData/>
  </xdr:oneCellAnchor>
  <xdr:twoCellAnchor editAs="oneCell">
    <xdr:from>
      <xdr:col>1</xdr:col>
      <xdr:colOff>4315286</xdr:colOff>
      <xdr:row>229</xdr:row>
      <xdr:rowOff>151754</xdr:rowOff>
    </xdr:from>
    <xdr:to>
      <xdr:col>2</xdr:col>
      <xdr:colOff>90780</xdr:colOff>
      <xdr:row>230</xdr:row>
      <xdr:rowOff>212190</xdr:rowOff>
    </xdr:to>
    <xdr:pic>
      <xdr:nvPicPr>
        <xdr:cNvPr id="15" name="Picture 14">
          <a:extLst>
            <a:ext uri="{FF2B5EF4-FFF2-40B4-BE49-F238E27FC236}">
              <a16:creationId xmlns:a16="http://schemas.microsoft.com/office/drawing/2014/main" id="{A57AD232-6826-4579-8A3E-98572B665F2D}"/>
            </a:ext>
          </a:extLst>
        </xdr:cNvPr>
        <xdr:cNvPicPr>
          <a:picLocks noChangeAspect="1"/>
        </xdr:cNvPicPr>
      </xdr:nvPicPr>
      <xdr:blipFill>
        <a:blip xmlns:r="http://schemas.openxmlformats.org/officeDocument/2006/relationships" r:embed="rId7"/>
        <a:stretch>
          <a:fillRect/>
        </a:stretch>
      </xdr:blipFill>
      <xdr:spPr>
        <a:xfrm>
          <a:off x="5210636" y="73494254"/>
          <a:ext cx="490369" cy="327136"/>
        </a:xfrm>
        <a:prstGeom prst="rect">
          <a:avLst/>
        </a:prstGeom>
      </xdr:spPr>
    </xdr:pic>
    <xdr:clientData/>
  </xdr:twoCellAnchor>
  <mc:AlternateContent xmlns:mc="http://schemas.openxmlformats.org/markup-compatibility/2006">
    <mc:Choice xmlns:a14="http://schemas.microsoft.com/office/drawing/2010/main" Requires="a14">
      <xdr:twoCellAnchor>
        <xdr:from>
          <xdr:col>5</xdr:col>
          <xdr:colOff>83820</xdr:colOff>
          <xdr:row>229</xdr:row>
          <xdr:rowOff>68580</xdr:rowOff>
        </xdr:from>
        <xdr:to>
          <xdr:col>5</xdr:col>
          <xdr:colOff>365760</xdr:colOff>
          <xdr:row>230</xdr:row>
          <xdr:rowOff>137160</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0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213360</xdr:colOff>
          <xdr:row>229</xdr:row>
          <xdr:rowOff>68580</xdr:rowOff>
        </xdr:from>
        <xdr:to>
          <xdr:col>6</xdr:col>
          <xdr:colOff>487680</xdr:colOff>
          <xdr:row>230</xdr:row>
          <xdr:rowOff>137160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0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7</xdr:col>
          <xdr:colOff>213360</xdr:colOff>
          <xdr:row>229</xdr:row>
          <xdr:rowOff>68580</xdr:rowOff>
        </xdr:from>
        <xdr:to>
          <xdr:col>7</xdr:col>
          <xdr:colOff>487680</xdr:colOff>
          <xdr:row>230</xdr:row>
          <xdr:rowOff>137160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0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60960</xdr:colOff>
      <xdr:row>0</xdr:row>
      <xdr:rowOff>83820</xdr:rowOff>
    </xdr:from>
    <xdr:to>
      <xdr:col>1</xdr:col>
      <xdr:colOff>838200</xdr:colOff>
      <xdr:row>0</xdr:row>
      <xdr:rowOff>487680</xdr:rowOff>
    </xdr:to>
    <xdr:sp macro="" textlink="">
      <xdr:nvSpPr>
        <xdr:cNvPr id="6" name="TextBox 5">
          <a:extLst>
            <a:ext uri="{FF2B5EF4-FFF2-40B4-BE49-F238E27FC236}">
              <a16:creationId xmlns:a16="http://schemas.microsoft.com/office/drawing/2014/main" id="{ABEC86D8-624C-471B-E327-FBECE3C27400}"/>
            </a:ext>
          </a:extLst>
        </xdr:cNvPr>
        <xdr:cNvSpPr txBox="1"/>
      </xdr:nvSpPr>
      <xdr:spPr>
        <a:xfrm>
          <a:off x="60960" y="83820"/>
          <a:ext cx="1082040" cy="403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Contractor logo</a:t>
          </a:r>
        </a:p>
      </xdr:txBody>
    </xdr:sp>
    <xdr:clientData/>
  </xdr:twoCellAnchor>
  <xdr:twoCellAnchor>
    <xdr:from>
      <xdr:col>3</xdr:col>
      <xdr:colOff>434340</xdr:colOff>
      <xdr:row>0</xdr:row>
      <xdr:rowOff>106680</xdr:rowOff>
    </xdr:from>
    <xdr:to>
      <xdr:col>5</xdr:col>
      <xdr:colOff>228600</xdr:colOff>
      <xdr:row>0</xdr:row>
      <xdr:rowOff>510540</xdr:rowOff>
    </xdr:to>
    <xdr:sp macro="" textlink="">
      <xdr:nvSpPr>
        <xdr:cNvPr id="7" name="TextBox 6">
          <a:extLst>
            <a:ext uri="{FF2B5EF4-FFF2-40B4-BE49-F238E27FC236}">
              <a16:creationId xmlns:a16="http://schemas.microsoft.com/office/drawing/2014/main" id="{E8374075-DBD6-4E5E-BE89-C911276C83E8}"/>
            </a:ext>
          </a:extLst>
        </xdr:cNvPr>
        <xdr:cNvSpPr txBox="1"/>
      </xdr:nvSpPr>
      <xdr:spPr>
        <a:xfrm>
          <a:off x="3093720" y="106680"/>
          <a:ext cx="929640" cy="403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Client Logo</a:t>
          </a:r>
        </a:p>
      </xdr:txBody>
    </xdr:sp>
    <xdr:clientData/>
  </xdr:twoCellAnchor>
  <xdr:twoCellAnchor>
    <xdr:from>
      <xdr:col>7</xdr:col>
      <xdr:colOff>327660</xdr:colOff>
      <xdr:row>0</xdr:row>
      <xdr:rowOff>68580</xdr:rowOff>
    </xdr:from>
    <xdr:to>
      <xdr:col>9</xdr:col>
      <xdr:colOff>373380</xdr:colOff>
      <xdr:row>0</xdr:row>
      <xdr:rowOff>510540</xdr:rowOff>
    </xdr:to>
    <xdr:sp macro="" textlink="">
      <xdr:nvSpPr>
        <xdr:cNvPr id="8" name="TextBox 7">
          <a:extLst>
            <a:ext uri="{FF2B5EF4-FFF2-40B4-BE49-F238E27FC236}">
              <a16:creationId xmlns:a16="http://schemas.microsoft.com/office/drawing/2014/main" id="{325AEDA4-5C49-4631-B2E4-FEB6D83216F5}"/>
            </a:ext>
          </a:extLst>
        </xdr:cNvPr>
        <xdr:cNvSpPr txBox="1"/>
      </xdr:nvSpPr>
      <xdr:spPr>
        <a:xfrm>
          <a:off x="6240780" y="68580"/>
          <a:ext cx="1211580" cy="4419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Concultant Logo</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470647</xdr:colOff>
      <xdr:row>0</xdr:row>
      <xdr:rowOff>261770</xdr:rowOff>
    </xdr:from>
    <xdr:to>
      <xdr:col>2</xdr:col>
      <xdr:colOff>325419</xdr:colOff>
      <xdr:row>2</xdr:row>
      <xdr:rowOff>82924</xdr:rowOff>
    </xdr:to>
    <xdr:sp macro="" textlink="">
      <xdr:nvSpPr>
        <xdr:cNvPr id="8" name="TextBox 7">
          <a:extLst>
            <a:ext uri="{FF2B5EF4-FFF2-40B4-BE49-F238E27FC236}">
              <a16:creationId xmlns:a16="http://schemas.microsoft.com/office/drawing/2014/main" id="{7115494F-B688-4A82-B02B-0D30019A860F}"/>
            </a:ext>
          </a:extLst>
        </xdr:cNvPr>
        <xdr:cNvSpPr txBox="1"/>
      </xdr:nvSpPr>
      <xdr:spPr>
        <a:xfrm>
          <a:off x="470647" y="261770"/>
          <a:ext cx="1165860" cy="403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Contractor logo</a:t>
          </a:r>
        </a:p>
      </xdr:txBody>
    </xdr:sp>
    <xdr:clientData/>
  </xdr:twoCellAnchor>
  <xdr:twoCellAnchor>
    <xdr:from>
      <xdr:col>8</xdr:col>
      <xdr:colOff>432995</xdr:colOff>
      <xdr:row>1</xdr:row>
      <xdr:rowOff>15689</xdr:rowOff>
    </xdr:from>
    <xdr:to>
      <xdr:col>10</xdr:col>
      <xdr:colOff>17929</xdr:colOff>
      <xdr:row>2</xdr:row>
      <xdr:rowOff>128196</xdr:rowOff>
    </xdr:to>
    <xdr:sp macro="" textlink="">
      <xdr:nvSpPr>
        <xdr:cNvPr id="9" name="TextBox 8">
          <a:extLst>
            <a:ext uri="{FF2B5EF4-FFF2-40B4-BE49-F238E27FC236}">
              <a16:creationId xmlns:a16="http://schemas.microsoft.com/office/drawing/2014/main" id="{AA2482DB-8616-4D39-A71F-195BC072C192}"/>
            </a:ext>
          </a:extLst>
        </xdr:cNvPr>
        <xdr:cNvSpPr txBox="1"/>
      </xdr:nvSpPr>
      <xdr:spPr>
        <a:xfrm>
          <a:off x="7167730" y="307042"/>
          <a:ext cx="929640" cy="403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Client Logo</a:t>
          </a:r>
        </a:p>
      </xdr:txBody>
    </xdr:sp>
    <xdr:clientData/>
  </xdr:twoCellAnchor>
  <xdr:twoCellAnchor>
    <xdr:from>
      <xdr:col>16</xdr:col>
      <xdr:colOff>1114761</xdr:colOff>
      <xdr:row>0</xdr:row>
      <xdr:rowOff>145677</xdr:rowOff>
    </xdr:from>
    <xdr:to>
      <xdr:col>16</xdr:col>
      <xdr:colOff>2326341</xdr:colOff>
      <xdr:row>2</xdr:row>
      <xdr:rowOff>4931</xdr:rowOff>
    </xdr:to>
    <xdr:sp macro="" textlink="">
      <xdr:nvSpPr>
        <xdr:cNvPr id="10" name="TextBox 9">
          <a:extLst>
            <a:ext uri="{FF2B5EF4-FFF2-40B4-BE49-F238E27FC236}">
              <a16:creationId xmlns:a16="http://schemas.microsoft.com/office/drawing/2014/main" id="{4ED222ED-EF9B-4EB6-AAD9-DBCEA85DDBE4}"/>
            </a:ext>
          </a:extLst>
        </xdr:cNvPr>
        <xdr:cNvSpPr txBox="1"/>
      </xdr:nvSpPr>
      <xdr:spPr>
        <a:xfrm>
          <a:off x="14573026" y="145677"/>
          <a:ext cx="1211580" cy="4419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Concultant Logo</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t-idbcd-wg1\USER\SETSUBI\ME-2&#31309;&#31639;\01&#31309;&#31639;&#12503;&#12525;&#12472;&#12455;&#12463;&#12488;\&#20013;&#22269;\(2004.12)ACW%20PJ(&#12381;&#12398;2&#65289;\pulau%20final\WINDOWS\Desktop\New%20Folder\Qo-158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DATA\SANDAN.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Nt_com002\pyro\Edgar\TECHNIP%20GAS%20COMPRESSION\Package%201\Aboveground%20pipi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gsmail2.gsconst.co.kr/Documents%20and%20Settings/&#50724;%20&#44305;&#50896;/My%20Documents/My%20Documents/SKKIM/Work1999/&#54840;&#45224;&#49437;&#50976;/&#49892;&#54665;BM/YUKONG/PROPOSAL/SEOUL/PROPOSA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HEE%20Internal%20Progress%20Report%2012-06-04\Proj%20579%20Weekly%20Internal%20Report%2007-03-0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92.168.155.73\haliba-ffd\CHINA\PROJECT\CONTROL\CST_STAT.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ilesrv\departments\Coordination%20Meeting%20Report\Coordination%20Meeting%20Formats\RIC\RECORDS,%20RATES%20&amp;%20DATES\HEE%20Internal%20Progress%20Report%2012-06-04\Proj%20579%20Weekly%20Internal%20Report%2007-03-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ecretry\c\1997m\Book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OA3\VOL3\USERS\MZABAN\ESTIMATE\1998\1765\STAFF\E1765sum.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Addis\Gewane\Tender%20analysis\Gewanalysis_Origina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G:\departments\tes\4%20Projects\1%20Europe\34%20Greece\034%20Maliakos-Kleidi\2%20Tender\10%20Tos\03%20Approval\Estimate%2014-02\Tos%2020-0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Y:\Documents%20and%20Settings\plng03\My%20Documents\Calender.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Fmm-2\alli\Files\Alli\1999\Metro%20Naga%20-%20water%20works\Breakdown\Files\ALLI\Metro%20Naga%20-%20water%20works\ALLI\Agno-Hyundai\Break\Civil.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Filesrv\departments\hee.Plan\Templates\PROJECT%20PROGRESS%20CARD\Current\Project%20Cards%202006%2006%203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bopl-nadeem\BOPL%20DATA\Progress%20Reports\Weekly%20Progress%20Report\Progress%20till%2014-03-2009%20pip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la2005\Develop_MVS\Documents\TECHINT%20SHEET%20ULTIMA%20RELEASE\TABELLE.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MOA3\VOL3\USERS\MZABAN\ESTIMATE\1998\1765\STAFF\STAF1765.XLS"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AECOM1/JP&amp;CI/JEC-Packages/BI/Weekly%20Report/July-17/12-Jul-17/EMRC/CRCC-%20PMS%20Weekly%20Tracker%20Weekly%20Report%20(20170712).xlsx" TargetMode="External"/><Relationship Id="rId1" Type="http://schemas.openxmlformats.org/officeDocument/2006/relationships/externalLinkPath" Target="/AECOM1/JP&amp;CI/JEC-Packages/BI/Weekly%20Report/July-17/12-Jul-17/EMRC/CRCC-%20PMS%20Weekly%20Tracker%20Weekly%20Report%20(20170712).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gsmail2.gsconst.co.kr/Documents%20and%20Settings/&#50724;%20&#44305;&#50896;/My%20Documents/My%20Documents/SKKIM/Work1999/SKC%20CDP/My%20Documents/CIVIL/&#53664;&#47785;&#44204;&#51201;/#2CDU&#49892;&#54665;.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rojection%20VS%20ACH%20August-2016%20(H.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Bi_Week_20_02_11"/>
      <sheetName val="Bi_Weekly"/>
      <sheetName val="Assumptions"/>
      <sheetName val="Assmpns"/>
      <sheetName val="Input"/>
      <sheetName val="fco"/>
      <sheetName val="Equipment"/>
      <sheetName val="DETAIL_SHEET"/>
      <sheetName val="NLD_-_Assum"/>
      <sheetName val="Const QMS Dash Board"/>
      <sheetName val="1_PROGRESS_BY_LOCATION_FINAL"/>
      <sheetName val="1_PROGRESS_FINAL"/>
      <sheetName val="narrative"/>
      <sheetName val="Site Findings Status Sheet"/>
      <sheetName val="Const_QMS_Dash_Board"/>
      <sheetName val="Nature"/>
      <sheetName val="daywork- Tham khao"/>
      <sheetName val="Data Valid"/>
      <sheetName val="Data_Valid"/>
      <sheetName val="MAG1 tracker"/>
      <sheetName val="NLD AG1"/>
      <sheetName val="Valid Inputs"/>
      <sheetName val="Sheet2"/>
      <sheetName val="Reasons"/>
      <sheetName val="Const_QMS_Dash_Board1"/>
      <sheetName val="Data_Valid1"/>
      <sheetName val="MAG1_tracker"/>
      <sheetName val="NLD_AG1"/>
      <sheetName val="Valid_Inputs"/>
      <sheetName val=" Values"/>
      <sheetName val="EZ"/>
      <sheetName val="Const_QMS_Dash_Board2"/>
      <sheetName val="Site_Findings_Status_Sheet"/>
      <sheetName val="daywork-_Tham_khao"/>
      <sheetName val="Data_Valid2"/>
      <sheetName val="MAG1_tracker1"/>
      <sheetName val="NLD_AG11"/>
      <sheetName val="Valid_Inputs1"/>
      <sheetName val="_Values"/>
      <sheetName val="Droupdown"/>
      <sheetName val="Phase-1_4th-Addition(Sector)"/>
      <sheetName val="JC Database"/>
      <sheetName val="Data Val."/>
      <sheetName val="Sheet1"/>
      <sheetName val="Note"/>
      <sheetName val="gVL"/>
      <sheetName val="Consequences Categories"/>
      <sheetName val="Cause Categories"/>
      <sheetName val="New Drop Down Menu"/>
      <sheetName val="SPT vs PHI"/>
      <sheetName val="Tag"/>
      <sheetName val="Conditions"/>
      <sheetName val="Ins Erection"/>
      <sheetName val="Estimate"/>
      <sheetName val="EMPL-ETIME"/>
      <sheetName val="Dropdown"/>
      <sheetName val="Sheet3"/>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JC_Database"/>
      <sheetName val="Data_Val_"/>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Risk"/>
      <sheetName val="#REF"/>
      <sheetName val="COLUMN"/>
      <sheetName val="FitOutConfCentre"/>
      <sheetName val="Invoices"/>
      <sheetName val="Evaluate"/>
      <sheetName val="Calculations"/>
      <sheetName val="Civil Boq"/>
      <sheetName val="L-Planks"/>
      <sheetName val="Pre-cast Qty"/>
      <sheetName val="precast RC element"/>
      <sheetName val="Typical floor on 3BHK -STD"/>
      <sheetName val="Loads"/>
      <sheetName val="1"/>
      <sheetName val="CASHFLOWS"/>
      <sheetName val="BS"/>
      <sheetName val="InputPO_Del"/>
      <sheetName val="Material "/>
      <sheetName val="Complex_F"/>
      <sheetName val="upa"/>
      <sheetName val="hist&amp;proj"/>
      <sheetName val="PROCTOR"/>
      <sheetName val="98Price"/>
      <sheetName val="Intro"/>
      <sheetName val="CP-R0"/>
      <sheetName val="Back up"/>
      <sheetName val="Summary"/>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ate Analysis"/>
      <sheetName val="Cash Flow Working"/>
      <sheetName val="Labor abs-NMR"/>
      <sheetName val="Design"/>
      <sheetName val="sheet6"/>
      <sheetName val="IIb"/>
      <sheetName val="Earnings model"/>
      <sheetName val="JAN91"/>
      <sheetName val="SC Cost FEB 03"/>
      <sheetName val="Civil_Boq"/>
      <sheetName val="Pre-cast_Qty"/>
      <sheetName val="precast_RC_element"/>
      <sheetName val="Typical_floor_on_3BHK_-STD"/>
      <sheetName val="SC_Cost_FEB_03"/>
      <sheetName val="Material_"/>
      <sheetName val="GF Columns"/>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Pass-Thru Income JE"/>
      <sheetName val="Data Dictionery"/>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refreshError="1"/>
      <sheetData sheetId="143"/>
      <sheetData sheetId="144"/>
      <sheetData sheetId="145"/>
      <sheetData sheetId="146"/>
      <sheetData sheetId="147"/>
      <sheetData sheetId="148"/>
      <sheetData sheetId="149"/>
      <sheetData sheetId="150"/>
      <sheetData sheetId="151"/>
      <sheetData sheetId="152" refreshError="1"/>
      <sheetData sheetId="15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Cash1"/>
      <sheetName val="Cash2"/>
      <sheetName val="Cash_Sum"/>
      <sheetName val="Scope"/>
      <sheetName val="C1ㅇ"/>
      <sheetName val="Base BM-rebar"/>
      <sheetName val="List"/>
      <sheetName val="Raw Data"/>
      <sheetName val="BOQ"/>
      <sheetName val="Fit Out B2a"/>
      <sheetName val="Option"/>
      <sheetName val="기계내역서"/>
      <sheetName val="Base_BM-rebar"/>
      <sheetName val="Raw_Data"/>
      <sheetName val="Fit_Out_B2a"/>
      <sheetName val="Qo-1585"/>
      <sheetName val="FOL - Bar"/>
      <sheetName val="katsayı"/>
      <sheetName val="Testing"/>
      <sheetName val="ANALIZ"/>
      <sheetName val="③赤紙(日文)"/>
      <sheetName val="KADIKES2"/>
      <sheetName val="Co_Ef"/>
      <sheetName val="Co Eff"/>
      <sheetName val="TESİSAT"/>
      <sheetName val="C3"/>
      <sheetName val="Day work"/>
      <sheetName val="Payments and Cash Calls"/>
      <sheetName val="Calendar"/>
      <sheetName val="FitOutConfCentre"/>
      <sheetName val="COST"/>
      <sheetName val="A4 Register"/>
      <sheetName val="Schedules"/>
      <sheetName val="SubmitCal"/>
      <sheetName val="1"/>
      <sheetName val="Trade"/>
      <sheetName val="Sheet1"/>
      <sheetName val="mvac_Offer"/>
      <sheetName val="mvac_BOQ"/>
      <sheetName val="Summary"/>
      <sheetName val="Factors"/>
      <sheetName val="NPV"/>
      <sheetName val="Register"/>
      <sheetName val="Basic Material Costs"/>
      <sheetName val="Control"/>
      <sheetName val="Direct"/>
      <sheetName val="SEX"/>
      <sheetName val="#REF"/>
      <sheetName val="KABLO"/>
      <sheetName val="Chiet tinh dz22"/>
      <sheetName val="입찰내역 발주처 양식"/>
      <sheetName val="SPT vs PHI"/>
      <sheetName val="item #13  Structur"/>
      <sheetName val="Item # 20 Structure"/>
      <sheetName val="NOTES"/>
      <sheetName val="AOP Summary-2"/>
      <sheetName val="공사내역"/>
      <sheetName val="Co_Eff"/>
      <sheetName val="Base_BM-rebar1"/>
      <sheetName val="Raw_Data1"/>
      <sheetName val="Fit_Out_B2a1"/>
      <sheetName val="FOL_-_Bar"/>
      <sheetName val="Co_Eff1"/>
      <sheetName val="Payments_and_Cash_Calls"/>
      <sheetName val="Day_work"/>
      <sheetName val="Chiet_tinh_dz22"/>
      <sheetName val="입찰내역_발주처_양식"/>
      <sheetName val="AOP_Summary-2"/>
      <sheetName val="SPT_vs_PHI"/>
      <sheetName val="1.11.b"/>
      <sheetName val="Lstsub"/>
      <sheetName val="QUOTE_E"/>
      <sheetName val="opstat"/>
      <sheetName val="costs"/>
      <sheetName val="data"/>
      <sheetName val="Eq. Mobilization"/>
      <sheetName val="MASTER_RATE ANALYSIS"/>
      <sheetName val="Gravel in pond"/>
      <sheetName val="(Not to print)"/>
      <sheetName val="11"/>
      <sheetName val="Equip"/>
      <sheetName val="PROGRAM"/>
      <sheetName val="CASHFLOW"/>
      <sheetName val="E H Blinding"/>
      <sheetName val="E H Excavation"/>
      <sheetName val="Pc name"/>
      <sheetName val="DCF_5"/>
      <sheetName val="US Ship Repair Industry Growth"/>
      <sheetName val="Market Overview"/>
      <sheetName val="US Shipyard Repair Output"/>
      <sheetName val="Charts"/>
      <sheetName val="LBO"/>
      <sheetName val="Summary Financials"/>
      <sheetName val="Part-A"/>
      <sheetName val="MOS"/>
      <sheetName val="mw"/>
      <sheetName val="ERECIN"/>
      <sheetName val="Demand"/>
      <sheetName val="Occ"/>
      <sheetName val="Summ"/>
      <sheetName val="laroux"/>
      <sheetName val="Summary "/>
      <sheetName val="VVa"/>
      <sheetName val="BOQ-FD PA"/>
      <sheetName val="Price List FD PA"/>
      <sheetName val="报价费率计算表"/>
      <sheetName val="Base_BM-rebar2"/>
      <sheetName val="Raw_Data2"/>
      <sheetName val="FOL_-_Bar1"/>
      <sheetName val="Day_work1"/>
      <sheetName val="Payments_and_Cash_Calls1"/>
      <sheetName val="item_#13__Structur"/>
      <sheetName val="Item_#_20_Structure"/>
      <sheetName val="MASTER_RATE_ANALYSIS"/>
      <sheetName val="Gravel_in_pond"/>
      <sheetName val="Eq__Mobilization"/>
      <sheetName val="DBs"/>
      <sheetName val="Cost Sheet"/>
      <sheetName val="fire detection offer"/>
      <sheetName val="fire detection cost"/>
      <sheetName val="Price List"/>
      <sheetName val="upa"/>
      <sheetName val="FA_SUMMARY"/>
      <sheetName val="MS08-01 S"/>
      <sheetName val="MS08-01 P"/>
      <sheetName val="Ra  stair"/>
      <sheetName val="Cashflow Analysis"/>
      <sheetName val="Rate Analysis"/>
      <sheetName val="mapping"/>
      <sheetName val="BYBU96"/>
      <sheetName val="Name"/>
      <sheetName val="1-G1"/>
      <sheetName val="dýsýplýn"/>
      <sheetName val="upa of boq"/>
      <sheetName val="inWords"/>
      <sheetName val="equipment"/>
      <sheetName val="Summary Foreign Comp"/>
      <sheetName val="grand summary"/>
      <sheetName val="labour"/>
      <sheetName val="material"/>
      <sheetName val="wordsdata"/>
      <sheetName val="New Rates"/>
      <sheetName val="Takeoff"/>
      <sheetName val="Architect"/>
      <sheetName val="공문"/>
      <sheetName val="PE"/>
      <sheetName val="15.13"/>
      <sheetName val="SRC-B3U2"/>
      <sheetName val="Bill07"/>
      <sheetName val="운반"/>
      <sheetName val="Food"/>
      <sheetName val="Build-up"/>
      <sheetName val="SCHEDULE"/>
      <sheetName val="Bldg"/>
      <sheetName val="Est"/>
      <sheetName val="Base_BM-rebar3"/>
      <sheetName val="Raw_Data3"/>
      <sheetName val="Co_Eff2"/>
      <sheetName val="Fit_Out_B2a2"/>
      <sheetName val="FOL_-_Bar2"/>
      <sheetName val="Day_work2"/>
      <sheetName val="Payments_and_Cash_Calls2"/>
      <sheetName val="Chiet_tinh_dz221"/>
      <sheetName val="입찰내역_발주처_양식1"/>
      <sheetName val="AOP_Summary-21"/>
      <sheetName val="SPT_vs_PHI1"/>
      <sheetName val="1_11_b"/>
      <sheetName val="Basic_Material_Costs"/>
      <sheetName val="item_#13__Structur1"/>
      <sheetName val="Item_#_20_Structure1"/>
      <sheetName val="MASTER_RATE_ANALYSIS1"/>
      <sheetName val="Gravel_in_pond1"/>
      <sheetName val="Eq__Mobilization1"/>
      <sheetName val="(Not_to_print)"/>
      <sheetName val="15_13"/>
      <sheetName val="???? ??? ??"/>
      <sheetName val=" GULF"/>
      <sheetName val="Sheet7"/>
      <sheetName val="h-013211-2"/>
      <sheetName val="당초"/>
      <sheetName val="Spread"/>
      <sheetName val="CSC"/>
      <sheetName val="Bill No. 3"/>
      <sheetName val="imput costi par."/>
      <sheetName val="BILL 1"/>
      <sheetName val="BT3-Package 05"/>
      <sheetName val="BOQ-Civil"/>
      <sheetName val="VIABILITY"/>
      <sheetName val="COLUMN"/>
      <sheetName val="Funding Drwdn"/>
      <sheetName val="GRSummary"/>
      <sheetName val="E H - H. W.P."/>
      <sheetName val="E. H. Treatment for pile cap"/>
      <sheetName val="#3E1_GCR"/>
      <sheetName val="S3 Architectural"/>
      <sheetName val="analysis"/>
      <sheetName val="Area Analysis"/>
      <sheetName val="Sensitivity"/>
      <sheetName val="DETAILED  BOQ"/>
      <sheetName val="FINA"/>
      <sheetName val="vendor"/>
      <sheetName val="Kur"/>
      <sheetName val="Keşif-I"/>
      <sheetName val="HAKEDİŞ "/>
      <sheetName val="BUTCE+MANHOUR"/>
      <sheetName val="keşif özeti"/>
      <sheetName val="Katsayılar"/>
      <sheetName val="Bill.10"/>
      <sheetName val="Sec 1 BOQ"/>
      <sheetName val="Sec 2 BOQ-MRO"/>
      <sheetName val="Sec 3 BOQ-FBO"/>
      <sheetName val="Sec 4 BOQ-CUP"/>
      <sheetName val="Adsorption - MRO"/>
      <sheetName val="Adsorption - CUP"/>
      <sheetName val="Sec 5 BOQ-ASG"/>
      <sheetName val="Sec 6 BOQ-SUBSTN"/>
      <sheetName val="Sec 8 BOQ-dayworks"/>
      <sheetName val="BILL-1"/>
      <sheetName val="BILL-3"/>
      <sheetName val="Category Lookup Table"/>
      <sheetName val="Netstatement"/>
      <sheetName val="macros"/>
      <sheetName val="DHEQSUPT"/>
      <sheetName val="BILL-6"/>
      <sheetName val="Headings"/>
      <sheetName val="Basement Budget"/>
      <sheetName val="bkg"/>
      <sheetName val="cbrd460"/>
      <sheetName val="bcl"/>
      <sheetName val="1.0 Section 1 Cover"/>
      <sheetName val="col-reinft1"/>
      <sheetName val="LOB"/>
      <sheetName val="sal"/>
      <sheetName val="Formulas"/>
      <sheetName val="Base_BM-rebar4"/>
      <sheetName val="Raw_Data4"/>
      <sheetName val="Co_Eff3"/>
      <sheetName val="Fit_Out_B2a3"/>
      <sheetName val="FOL_-_Bar3"/>
      <sheetName val="Day_work3"/>
      <sheetName val="Payments_and_Cash_Calls3"/>
      <sheetName val="Chiet_tinh_dz222"/>
      <sheetName val="입찰내역_발주처_양식2"/>
      <sheetName val="AOP_Summary-22"/>
      <sheetName val="SPT_vs_PHI2"/>
      <sheetName val="1_11_b1"/>
      <sheetName val="Basic_Material_Costs1"/>
      <sheetName val="item_#13__Structur2"/>
      <sheetName val="Item_#_20_Structure2"/>
      <sheetName val="MASTER_RATE_ANALYSIS2"/>
      <sheetName val="Gravel_in_pond2"/>
      <sheetName val="Eq__Mobilization2"/>
      <sheetName val="(Not_to_print)1"/>
      <sheetName val="15_131"/>
      <sheetName val="????_???_??"/>
      <sheetName val="Rate_Analysis"/>
      <sheetName val="_GULF"/>
      <sheetName val="Bill_No__3"/>
      <sheetName val="New_Rates"/>
      <sheetName val="1_0_Section_1_Cover"/>
      <sheetName val="Summary_"/>
      <sheetName val="BOQ-FD_PA"/>
      <sheetName val="Price_List_FD_PA"/>
      <sheetName val="office"/>
      <sheetName val="Lab"/>
      <sheetName val="C P A Blinding"/>
      <sheetName val="Main Log"/>
      <sheetName val="Materials "/>
      <sheetName val="MAchinery(R1)"/>
      <sheetName val="APP. B"/>
      <sheetName val="App. A(contd)"/>
      <sheetName val="4"/>
      <sheetName val="1. Summary Sheet (R01_Oct.2019)"/>
      <sheetName val="RTW4"/>
      <sheetName val="Filter Block"/>
      <sheetName val="Inputs"/>
      <sheetName val="hvac"/>
      <sheetName val="B.100"/>
      <sheetName val="ARC308-1"/>
      <sheetName val="Data Sheet"/>
      <sheetName val="DETAIL"/>
      <sheetName val="Area_Analysis"/>
      <sheetName val="DETAILED__BOQ"/>
      <sheetName val="B_100"/>
      <sheetName val="3.1"/>
      <sheetName val="2.2"/>
      <sheetName val="3.4"/>
      <sheetName val="5.4"/>
      <sheetName val="8.1"/>
      <sheetName val="5.1"/>
      <sheetName val="6.3"/>
      <sheetName val="2.3"/>
      <sheetName val="3.6"/>
      <sheetName val="2.5"/>
      <sheetName val="8.3"/>
      <sheetName val="3.2"/>
      <sheetName val="2.4"/>
      <sheetName val="2.1"/>
      <sheetName val="5.7"/>
      <sheetName val="3.3"/>
      <sheetName val="3.5"/>
      <sheetName val="2.8"/>
      <sheetName val="2.6"/>
      <sheetName val="Basis"/>
      <sheetName val="CBDG"/>
      <sheetName val="CREEL"/>
      <sheetName val="0RESULT"/>
      <sheetName val="Database"/>
      <sheetName val="schedule nos"/>
      <sheetName val="CERTIFICATE"/>
      <sheetName val="2.05 Sprinkler"/>
      <sheetName val="2.01 Electrical "/>
      <sheetName val="8.1-8.2"/>
      <sheetName val="8.3-8.4"/>
      <sheetName val="EEV(Prilim)"/>
      <sheetName val="intr stool brkup"/>
      <sheetName val="Specs"/>
      <sheetName val="Summary Transformers"/>
      <sheetName val="FORM5"/>
      <sheetName val="PB"/>
      <sheetName val="200205C"/>
      <sheetName val="IPC"/>
      <sheetName val="Contents"/>
      <sheetName val="sc"/>
      <sheetName val="일위대가"/>
      <sheetName val="OnSchedule"/>
      <sheetName val="Budget"/>
      <sheetName val="Curve"/>
      <sheetName val="BQMPALOC"/>
      <sheetName val="rayıc"/>
      <sheetName val="HKED.KEŞFİ İmalat"/>
      <sheetName val="YEŞİL DEFTER-İmalat"/>
      <sheetName val="ESCON"/>
      <sheetName val="Rapor"/>
      <sheetName val=" N Finansal Eğri"/>
      <sheetName val="34. BLOK EK ISLER-NO1 HAKEDIS"/>
      <sheetName val="Material-1"/>
      <sheetName val="3004"/>
      <sheetName val="SERVICES I"/>
      <sheetName val="TABLO-3"/>
      <sheetName val="Degiskenler"/>
      <sheetName val="analizler"/>
      <sheetName val="Project"/>
      <sheetName val="PRICE INFO"/>
      <sheetName val="RC SUMMARY"/>
      <sheetName val="LABOUR PRODUCTIVITY-TAV"/>
      <sheetName val="MATERIAL PRICES"/>
      <sheetName val="CONCRETE ANALYSIS"/>
      <sheetName val="PriceSummary"/>
      <sheetName val="Doha Farm"/>
      <sheetName val="15 문제점"/>
      <sheetName val="Preliminaries-REVISED"/>
      <sheetName val="p&amp;m"/>
      <sheetName val="CLAY"/>
      <sheetName val="Form 6"/>
      <sheetName val="Design"/>
      <sheetName val="CostPlan"/>
      <sheetName val="DATI_CONS"/>
      <sheetName val="BILL_11"/>
      <sheetName val="HAKEDİŞ_1"/>
      <sheetName val="keşif_özeti1"/>
      <sheetName val="Bill_101"/>
      <sheetName val="imput_costi_par_1"/>
      <sheetName val="Rate_Analysis1"/>
      <sheetName val="BILL_1"/>
      <sheetName val="HAKEDİŞ_"/>
      <sheetName val="keşif_özeti"/>
      <sheetName val="Bill_10"/>
      <sheetName val="imput_costi_par_"/>
      <sheetName val="SOR"/>
      <sheetName val="ELECTRICAL"/>
      <sheetName val="PLUMBING&amp;FF"/>
      <sheetName val="Bldg Wise Summaries 20-10-09"/>
      <sheetName val="Base_BM-rebar6"/>
      <sheetName val="Raw_Data6"/>
      <sheetName val="Fit_Out_B2a5"/>
      <sheetName val="FOL_-_Bar5"/>
      <sheetName val="Co_Eff5"/>
      <sheetName val="Day_work5"/>
      <sheetName val="Payments_and_Cash_Calls5"/>
      <sheetName val="Chiet_tinh_dz224"/>
      <sheetName val="입찰내역_발주처_양식4"/>
      <sheetName val="AOP_Summary-24"/>
      <sheetName val="SPT_vs_PHI4"/>
      <sheetName val="1_11_b3"/>
      <sheetName val="Basic_Material_Costs3"/>
      <sheetName val="item_#13__Structur4"/>
      <sheetName val="Item_#_20_Structure4"/>
      <sheetName val="MASTER_RATE_ANALYSIS4"/>
      <sheetName val="Gravel_in_pond4"/>
      <sheetName val="Eq__Mobilization4"/>
      <sheetName val="(Not_to_print)3"/>
      <sheetName val="Base_BM-rebar5"/>
      <sheetName val="Raw_Data5"/>
      <sheetName val="Fit_Out_B2a4"/>
      <sheetName val="FOL_-_Bar4"/>
      <sheetName val="Co_Eff4"/>
      <sheetName val="Day_work4"/>
      <sheetName val="Payments_and_Cash_Calls4"/>
      <sheetName val="Chiet_tinh_dz223"/>
      <sheetName val="입찰내역_발주처_양식3"/>
      <sheetName val="AOP_Summary-23"/>
      <sheetName val="SPT_vs_PHI3"/>
      <sheetName val="1_11_b2"/>
      <sheetName val="Basic_Material_Costs2"/>
      <sheetName val="item_#13__Structur3"/>
      <sheetName val="Item_#_20_Structure3"/>
      <sheetName val="MASTER_RATE_ANALYSIS3"/>
      <sheetName val="Gravel_in_pond3"/>
      <sheetName val="Eq__Mobilization3"/>
      <sheetName val="(Not_to_print)2"/>
      <sheetName val="Sayfa1"/>
      <sheetName val="INDIRECT COST"/>
      <sheetName val="fORMAT"/>
      <sheetName val="Certificate "/>
      <sheetName val="Valn Cover"/>
      <sheetName val="Contract Part"/>
      <sheetName val="M Budget"/>
      <sheetName val="Material of Quantities"/>
      <sheetName val="unit price list"/>
      <sheetName val="Project Data"/>
      <sheetName val="Cover"/>
      <sheetName val="Ｎｏ.13"/>
      <sheetName val="아파트 "/>
      <sheetName val="6MONTHS"/>
      <sheetName val="Sign (2)"/>
      <sheetName val="Master Data Sheet"/>
      <sheetName val="SIVA"/>
      <sheetName val="PRICES"/>
      <sheetName val="SUM"/>
      <sheetName val="INDIRECTS"/>
      <sheetName val="CASHFLOWS"/>
      <sheetName val="Schedule(4)"/>
      <sheetName val="VENTILATIE"/>
      <sheetName val="MALZEME"/>
      <sheetName val="SW"/>
      <sheetName val="SW (2)"/>
      <sheetName val="Manpower"/>
      <sheetName val="Civil Work - B Wall"/>
      <sheetName val="MEP"/>
      <sheetName val="LANDSCAPE"/>
      <sheetName val="SHADES &amp; GATES"/>
      <sheetName val="ADDITIONAL"/>
      <sheetName val="NOTES (2)"/>
      <sheetName val="LANDSCAPE (2)"/>
      <sheetName val="Civil Work - B Wall (2)"/>
      <sheetName val="LANDSCAPE (Hard &amp; Soft)"/>
      <sheetName val="Civil Work - B Wall (3)"/>
      <sheetName val="Sheet8"/>
      <sheetName val="15_132"/>
      <sheetName val="????_???_??1"/>
      <sheetName val="_GULF1"/>
      <sheetName val="Bill_No__31"/>
      <sheetName val="New_Rates1"/>
      <sheetName val="1_0_Section_1_Cover1"/>
      <sheetName val="Summary_1"/>
      <sheetName val="BOQ-FD_PA1"/>
      <sheetName val="Price_List_FD_PA1"/>
      <sheetName val="BT3-Package_05"/>
      <sheetName val="E_H_-_H__W_P_"/>
      <sheetName val="E__H__Treatment_for_pile_cap"/>
      <sheetName val="Cost_Sheet"/>
      <sheetName val="fire_detection_offer"/>
      <sheetName val="fire_detection_cost"/>
      <sheetName val="Price_List"/>
      <sheetName val="Cashflow_Analysis"/>
      <sheetName val="MS08-01_S"/>
      <sheetName val="MS08-01_P"/>
      <sheetName val="E_H_Blinding"/>
      <sheetName val="E_H_Excavation"/>
      <sheetName val="Pc_name"/>
      <sheetName val="US_Ship_Repair_Industry_Growth"/>
      <sheetName val="Market_Overview"/>
      <sheetName val="US_Shipyard_Repair_Output"/>
      <sheetName val="Summary_Financials"/>
      <sheetName val="COMPLEXALL"/>
      <sheetName val="MOU"/>
      <sheetName val="Contra"/>
      <sheetName val="LetterofComf"/>
      <sheetName val="Forecast"/>
      <sheetName val="VO"/>
      <sheetName val="NegVO"/>
      <sheetName val="CrNotes"/>
      <sheetName val="AEAGraph"/>
      <sheetName val="01-RESOURCE LIST"/>
      <sheetName val="SS MH"/>
      <sheetName val="GWC"/>
      <sheetName val="NWC"/>
      <sheetName val="MANP"/>
      <sheetName val="Payment"/>
      <sheetName val="Input"/>
      <sheetName val="Ti"/>
      <sheetName val="Criteria"/>
      <sheetName val="PROJECT BRIEF_EX_NEW_"/>
      <sheetName val="cal"/>
      <sheetName val="INPUT - Revenue &amp; CGS"/>
      <sheetName val="Code03"/>
      <sheetName val="Part A"/>
      <sheetName val="PROJECT_BRIEF_EX_NEW_1"/>
      <sheetName val="B_1001"/>
      <sheetName val="schedule_nos1"/>
      <sheetName val="3_11"/>
      <sheetName val="2_21"/>
      <sheetName val="3_41"/>
      <sheetName val="5_41"/>
      <sheetName val="8_11"/>
      <sheetName val="5_11"/>
      <sheetName val="6_31"/>
      <sheetName val="2_31"/>
      <sheetName val="3_61"/>
      <sheetName val="2_51"/>
      <sheetName val="8_31"/>
      <sheetName val="3_21"/>
      <sheetName val="2_41"/>
      <sheetName val="2_11"/>
      <sheetName val="5_71"/>
      <sheetName val="3_31"/>
      <sheetName val="3_51"/>
      <sheetName val="2_81"/>
      <sheetName val="2_61"/>
      <sheetName val="Area_Analysis1"/>
      <sheetName val="DETAILED__BOQ1"/>
      <sheetName val="8_1-8_21"/>
      <sheetName val="8_3-8_41"/>
      <sheetName val="2_05_Sprinkler1"/>
      <sheetName val="2_01_Electrical_1"/>
      <sheetName val="INPUT_-_Revenue_&amp;_CGS1"/>
      <sheetName val="Category_Lookup_Table1"/>
      <sheetName val="Part_A1"/>
      <sheetName val="PROJECT_BRIEF_EX_NEW_"/>
      <sheetName val="schedule_nos"/>
      <sheetName val="3_1"/>
      <sheetName val="2_2"/>
      <sheetName val="3_4"/>
      <sheetName val="5_4"/>
      <sheetName val="8_1"/>
      <sheetName val="5_1"/>
      <sheetName val="6_3"/>
      <sheetName val="2_3"/>
      <sheetName val="3_6"/>
      <sheetName val="2_5"/>
      <sheetName val="8_3"/>
      <sheetName val="3_2"/>
      <sheetName val="2_4"/>
      <sheetName val="2_1"/>
      <sheetName val="5_7"/>
      <sheetName val="3_3"/>
      <sheetName val="3_5"/>
      <sheetName val="2_8"/>
      <sheetName val="2_6"/>
      <sheetName val="8_1-8_2"/>
      <sheetName val="8_3-8_4"/>
      <sheetName val="2_05_Sprinkler"/>
      <sheetName val="2_01_Electrical_"/>
      <sheetName val="INPUT_-_Revenue_&amp;_CGS"/>
      <sheetName val="Category_Lookup_Table"/>
      <sheetName val="Part_A"/>
      <sheetName val="B_1002"/>
      <sheetName val="2_05_Sprinkler2"/>
      <sheetName val="2_01_Electrical_2"/>
      <sheetName val="schedule_nos2"/>
      <sheetName val="3_12"/>
      <sheetName val="2_22"/>
      <sheetName val="3_42"/>
      <sheetName val="5_42"/>
      <sheetName val="8_12"/>
      <sheetName val="5_12"/>
      <sheetName val="6_32"/>
      <sheetName val="2_32"/>
      <sheetName val="3_62"/>
      <sheetName val="2_52"/>
      <sheetName val="8_32"/>
      <sheetName val="3_22"/>
      <sheetName val="2_42"/>
      <sheetName val="2_12"/>
      <sheetName val="5_72"/>
      <sheetName val="3_32"/>
      <sheetName val="3_52"/>
      <sheetName val="2_82"/>
      <sheetName val="2_62"/>
      <sheetName val="Area_Analysis2"/>
      <sheetName val="DETAILED__BOQ2"/>
      <sheetName val="8_1-8_22"/>
      <sheetName val="8_3-8_42"/>
      <sheetName val="_GULF2"/>
      <sheetName val="PROJECT_BRIEF_EX_NEW_2"/>
      <sheetName val="INPUT_-_Revenue_&amp;_CGS2"/>
      <sheetName val="Category_Lookup_Table2"/>
      <sheetName val="Part_A2"/>
      <sheetName val="PROJECT BRIEF(EX.NEW)"/>
      <sheetName val="Data_Sheet"/>
      <sheetName val="Staff Acco."/>
      <sheetName val="9618UH"/>
      <sheetName val="nw4"/>
      <sheetName val="nw4 (2)"/>
      <sheetName val="FAB별"/>
      <sheetName val="MATERIALS"/>
      <sheetName val="Graph"/>
      <sheetName val="钢筋"/>
      <sheetName val="Airfreight(A)"/>
      <sheetName val="IMAR(B)"/>
      <sheetName val="HD(C)"/>
      <sheetName val="Z-Lock(D)"/>
      <sheetName val="Rentals(E)"/>
      <sheetName val="Not in Budget(F)"/>
      <sheetName val="Logistics(G)"/>
      <sheetName val="BES(H)"/>
      <sheetName val="RAF(I)"/>
      <sheetName val="HD Mat'ls(J)"/>
      <sheetName val="Qty(K)"/>
      <sheetName val="Disputed Rates(L)"/>
      <sheetName val="Rates"/>
      <sheetName val="India F&amp;S Template"/>
      <sheetName val="PLT-SUM"/>
      <sheetName val="New Issue Pipeline"/>
      <sheetName val="HQ-TO"/>
      <sheetName val="Area_Analysis3"/>
      <sheetName val="DETAILED__BOQ3"/>
      <sheetName val="_GULF3"/>
      <sheetName val="PROJECT_BRIEF_EX_NEW_3"/>
      <sheetName val="B_1003"/>
      <sheetName val="schedule_nos3"/>
      <sheetName val="3_13"/>
      <sheetName val="2_23"/>
      <sheetName val="3_43"/>
      <sheetName val="5_43"/>
      <sheetName val="8_13"/>
      <sheetName val="5_13"/>
      <sheetName val="6_33"/>
      <sheetName val="2_33"/>
      <sheetName val="3_63"/>
      <sheetName val="2_53"/>
      <sheetName val="8_33"/>
      <sheetName val="3_23"/>
      <sheetName val="2_43"/>
      <sheetName val="2_13"/>
      <sheetName val="5_73"/>
      <sheetName val="3_33"/>
      <sheetName val="3_53"/>
      <sheetName val="2_83"/>
      <sheetName val="2_63"/>
      <sheetName val="8_1-8_23"/>
      <sheetName val="8_3-8_43"/>
      <sheetName val="2_05_Sprinkler3"/>
      <sheetName val="2_01_Electrical_3"/>
      <sheetName val="INPUT_-_Revenue_&amp;_CGS3"/>
      <sheetName val="Category_Lookup_Table3"/>
      <sheetName val="Part_A3"/>
      <sheetName val="Data_Sheet1"/>
      <sheetName val="Gravel_in_pond5"/>
      <sheetName val="Area_Analysis4"/>
      <sheetName val="DETAILED__BOQ4"/>
      <sheetName val="Basic_Material_Costs4"/>
      <sheetName val="_GULF4"/>
      <sheetName val="PROJECT_BRIEF_EX_NEW_4"/>
      <sheetName val="B_1004"/>
      <sheetName val="schedule_nos4"/>
      <sheetName val="3_14"/>
      <sheetName val="2_24"/>
      <sheetName val="3_44"/>
      <sheetName val="5_44"/>
      <sheetName val="8_14"/>
      <sheetName val="5_14"/>
      <sheetName val="6_34"/>
      <sheetName val="2_34"/>
      <sheetName val="3_64"/>
      <sheetName val="2_54"/>
      <sheetName val="8_34"/>
      <sheetName val="3_24"/>
      <sheetName val="2_44"/>
      <sheetName val="2_14"/>
      <sheetName val="5_74"/>
      <sheetName val="3_34"/>
      <sheetName val="3_54"/>
      <sheetName val="2_84"/>
      <sheetName val="2_64"/>
      <sheetName val="8_1-8_24"/>
      <sheetName val="8_3-8_44"/>
      <sheetName val="2_05_Sprinkler4"/>
      <sheetName val="2_01_Electrical_4"/>
      <sheetName val="INPUT_-_Revenue_&amp;_CGS4"/>
      <sheetName val="Category_Lookup_Table4"/>
      <sheetName val="Part_A4"/>
      <sheetName val="Summary_Transformers"/>
      <sheetName val="PROJECT_BRIEF(EX_NEW)"/>
      <sheetName val="Summary_Transformers1"/>
      <sheetName val="PROJECT_BRIEF(EX_NEW)1"/>
      <sheetName val="Cable Codes"/>
      <sheetName val="2.0 Section 2 Cover"/>
      <sheetName val="upa_of_boq"/>
      <sheetName val="Summary_Foreign_Comp"/>
      <sheetName val="grand_summary"/>
      <sheetName val="Doha_Farm"/>
      <sheetName val="15_문제점"/>
      <sheetName val="Ra__stair"/>
      <sheetName val="SW_(2)"/>
      <sheetName val="Certificate_"/>
      <sheetName val="Valn_Cover"/>
      <sheetName val="Contract_Part"/>
      <sheetName val="Master_Data_Sheet"/>
      <sheetName val="upa_of_boq2"/>
      <sheetName val="Summary_Foreign_Comp2"/>
      <sheetName val="grand_summary2"/>
      <sheetName val="15_문제점2"/>
      <sheetName val="Doha_Farm2"/>
      <sheetName val="Ra__stair2"/>
      <sheetName val="Summary_2"/>
      <sheetName val="BOQ-FD_PA2"/>
      <sheetName val="Price_List_FD_PA2"/>
      <sheetName val="Cashflow_Analysis2"/>
      <sheetName val="Rate_Analysis2"/>
      <sheetName val="Cost_Sheet2"/>
      <sheetName val="fire_detection_offer2"/>
      <sheetName val="fire_detection_cost2"/>
      <sheetName val="Price_List2"/>
      <sheetName val="upa_of_boq1"/>
      <sheetName val="Summary_Foreign_Comp1"/>
      <sheetName val="grand_summary1"/>
      <sheetName val="15_문제점1"/>
      <sheetName val="Doha_Farm1"/>
      <sheetName val="Ra__stair1"/>
      <sheetName val="Cashflow_Analysis1"/>
      <sheetName val="Cost_Sheet1"/>
      <sheetName val="fire_detection_offer1"/>
      <sheetName val="fire_detection_cost1"/>
      <sheetName val="Price_List1"/>
      <sheetName val="prl"/>
      <sheetName val="Col-Schedule"/>
      <sheetName val="BORDGC"/>
      <sheetName val="Sec_1_BOQ"/>
      <sheetName val="Sec_2_BOQ-MRO"/>
      <sheetName val="Sec_3_BOQ-FBO"/>
      <sheetName val="Sec_4_BOQ-CUP"/>
      <sheetName val="Adsorption_-_MRO"/>
      <sheetName val="Adsorption_-_CUP"/>
      <sheetName val="Sec_5_BOQ-ASG"/>
      <sheetName val="Sec_6_BOQ-SUBSTN"/>
      <sheetName val="Sec_8_BOQ-dayworks"/>
      <sheetName val="01-RESOURCE_LIST"/>
      <sheetName val="실행"/>
      <sheetName val="STAFFSCHED "/>
      <sheetName val="MAIN"/>
      <sheetName val="Competitors"/>
      <sheetName val="업무처리전"/>
      <sheetName val="M_Budget"/>
      <sheetName val="Material_of_Quantities"/>
      <sheetName val="unit_price_list"/>
      <sheetName val="Project_Data"/>
      <sheetName val="아파트_"/>
      <sheetName val="Ｎｏ_13"/>
      <sheetName val="Labor (HA)"/>
      <sheetName val="Equiment (HA)"/>
      <sheetName val="MTP"/>
      <sheetName val="Compar 28.12.17"/>
      <sheetName val="Master"/>
      <sheetName val="PNT-QUOT-#3"/>
      <sheetName val="COAT&amp;WRAP-QIOT-#3"/>
      <sheetName val="VL"/>
      <sheetName val="TN"/>
      <sheetName val="ND"/>
      <sheetName val="RAB AR&amp;STR"/>
      <sheetName val="tifico"/>
      <sheetName val="負荷集計（断熱不燃）"/>
      <sheetName val="A2 (4)"/>
      <sheetName val="M_Budget1"/>
      <sheetName val="Material_of_Quantities1"/>
      <sheetName val="unit_price_list1"/>
      <sheetName val="Project_Data1"/>
      <sheetName val="Ｎｏ_131"/>
      <sheetName val="아파트_1"/>
      <sheetName val="Earthwork"/>
      <sheetName val="XL4Poppy"/>
      <sheetName val="Compar_28_12_17"/>
      <sheetName val="SUM-AIR-Submit"/>
      <sheetName val="MTO REV_2_ARMOR_"/>
      <sheetName val="Sheet2"/>
      <sheetName val="AQA"/>
      <sheetName val="Currency"/>
      <sheetName val="Sheet4"/>
      <sheetName val="도급양식"/>
      <sheetName val="Schedule of Material Submittals"/>
      <sheetName val="train cash"/>
      <sheetName val="accom cash"/>
      <sheetName val="Scatter"/>
      <sheetName val="Base_BM-rebar7"/>
      <sheetName val="Raw_Data7"/>
      <sheetName val="Co_Eff6"/>
      <sheetName val="Fit_Out_B2a6"/>
      <sheetName val="FOL_-_Bar6"/>
      <sheetName val="Day_work6"/>
      <sheetName val="Payments_and_Cash_Calls6"/>
      <sheetName val="Chiet_tinh_dz225"/>
      <sheetName val="입찰내역_발주처_양식5"/>
      <sheetName val="AOP_Summary-25"/>
      <sheetName val="SPT_vs_PHI5"/>
      <sheetName val="item_#13__Structur5"/>
      <sheetName val="Item_#_20_Structure5"/>
      <sheetName val="1_11_b4"/>
      <sheetName val="Eq__Mobilization5"/>
      <sheetName val="MASTER_RATE_ANALYSIS5"/>
      <sheetName val="(Not_to_print)4"/>
      <sheetName val="imput_costi_par_2"/>
      <sheetName val="BILL_12"/>
      <sheetName val="HAKEDİŞ_2"/>
      <sheetName val="keşif_özeti2"/>
      <sheetName val="Bill_102"/>
      <sheetName val="Sec_1_BOQ1"/>
      <sheetName val="Sec_2_BOQ-MRO1"/>
      <sheetName val="Sec_3_BOQ-FBO1"/>
      <sheetName val="Sec_4_BOQ-CUP1"/>
      <sheetName val="Adsorption_-_MRO1"/>
      <sheetName val="Adsorption_-_CUP1"/>
      <sheetName val="Sec_5_BOQ-ASG1"/>
      <sheetName val="Sec_6_BOQ-SUBSTN1"/>
      <sheetName val="Sec_8_BOQ-dayworks1"/>
      <sheetName val="01-RESOURCE_LIST1"/>
      <sheetName val="Materials_"/>
      <sheetName val="Basement_Budget"/>
      <sheetName val="intr_stool_brkup"/>
      <sheetName val="Filter_Block"/>
      <sheetName val="Bldg_Wise_Summaries_20-10-09"/>
      <sheetName val="A4_Register"/>
      <sheetName val="_N_Finansal_Eğri"/>
      <sheetName val="HKED_KEŞFİ_İmalat"/>
      <sheetName val="YEŞİL_DEFTER-İmalat"/>
      <sheetName val="34__BLOK_EK_ISLER-NO1_HAKEDIS"/>
      <sheetName val="SERVICES_I"/>
      <sheetName val="INDIRECT_COST"/>
      <sheetName val="PRICE_INFO"/>
      <sheetName val="RC_SUMMARY"/>
      <sheetName val="LABOUR_PRODUCTIVITY-TAV"/>
      <sheetName val="MATERIAL_PRICES"/>
      <sheetName val="CONCRETE_ANALYSIS"/>
      <sheetName val="Form_6"/>
      <sheetName val="Sign_(2)"/>
      <sheetName val="Funding_Drwdn"/>
      <sheetName val="C_P_A_Blinding"/>
      <sheetName val="Staff_Acco_"/>
      <sheetName val="New_Issue_Pipeline"/>
      <sheetName val="1__Summary_Sheet_(R01_Oct_2019)"/>
      <sheetName val="2_0_Section_2_Cover"/>
      <sheetName val="E_H_Blinding1"/>
      <sheetName val="E_H_Excavation1"/>
      <sheetName val="Pc_name1"/>
      <sheetName val="15_133"/>
      <sheetName val="New_Rates2"/>
      <sheetName val="????_???_??2"/>
      <sheetName val="MS08-01_S1"/>
      <sheetName val="MS08-01_P1"/>
      <sheetName val="US_Ship_Repair_Industry_Growth1"/>
      <sheetName val="Market_Overview1"/>
      <sheetName val="US_Shipyard_Repair_Output1"/>
      <sheetName val="Summary_Financials1"/>
      <sheetName val="1_0_Section_1_Cover2"/>
      <sheetName val="Bill_No__32"/>
      <sheetName val="BT3-Package_051"/>
      <sheetName val="E_H_-_H__W_P_1"/>
      <sheetName val="E__H__Treatment_for_pile_cap1"/>
      <sheetName val="2.2 STAFF Scedule"/>
      <sheetName val="Rate_Analysis3"/>
      <sheetName val="E_H_Blinding2"/>
      <sheetName val="E_H_Excavation2"/>
      <sheetName val="Pc_name2"/>
      <sheetName val="C_P_A_Blinding1"/>
      <sheetName val="imput_costi_par_3"/>
      <sheetName val="BILL_13"/>
      <sheetName val="15_134"/>
      <sheetName val="New_Rates3"/>
      <sheetName val="Basement_Budget1"/>
      <sheetName val="Summary_3"/>
      <sheetName val="BOQ-FD_PA3"/>
      <sheetName val="Price_List_FD_PA3"/>
      <sheetName val="????_???_??3"/>
      <sheetName val="MS08-01_S2"/>
      <sheetName val="MS08-01_P2"/>
      <sheetName val="US_Ship_Repair_Industry_Growth2"/>
      <sheetName val="Market_Overview2"/>
      <sheetName val="US_Shipyard_Repair_Output2"/>
      <sheetName val="Summary_Financials2"/>
      <sheetName val="HAKEDİŞ_3"/>
      <sheetName val="keşif_özeti3"/>
      <sheetName val="Bill_103"/>
      <sheetName val="1_0_Section_1_Cover3"/>
      <sheetName val="Bill_No__33"/>
      <sheetName val="intr_stool_brkup1"/>
      <sheetName val="BT3-Package_052"/>
      <sheetName val="E_H_-_H__W_P_2"/>
      <sheetName val="E__H__Treatment_for_pile_cap2"/>
      <sheetName val="Base_BM-rebar8"/>
      <sheetName val="Raw_Data8"/>
      <sheetName val="Co_Eff7"/>
      <sheetName val="Fit_Out_B2a7"/>
      <sheetName val="FOL_-_Bar7"/>
      <sheetName val="Day_work7"/>
      <sheetName val="Payments_and_Cash_Calls7"/>
      <sheetName val="Basic_Material_Costs5"/>
      <sheetName val="Chiet_tinh_dz226"/>
      <sheetName val="입찰내역_발주처_양식6"/>
      <sheetName val="AOP_Summary-26"/>
      <sheetName val="SPT_vs_PHI6"/>
      <sheetName val="1_11_b5"/>
      <sheetName val="item_#13__Structur6"/>
      <sheetName val="Item_#_20_Structure6"/>
      <sheetName val="MASTER_RATE_ANALYSIS6"/>
      <sheetName val="Gravel_in_pond6"/>
      <sheetName val="Eq__Mobilization6"/>
      <sheetName val="(Not_to_print)5"/>
      <sheetName val="Rate_Analysis4"/>
      <sheetName val="E_H_Blinding3"/>
      <sheetName val="E_H_Excavation3"/>
      <sheetName val="Pc_name3"/>
      <sheetName val="C_P_A_Blinding2"/>
      <sheetName val="imput_costi_par_4"/>
      <sheetName val="BILL_14"/>
      <sheetName val="15_135"/>
      <sheetName val="New_Rates4"/>
      <sheetName val="Basement_Budget2"/>
      <sheetName val="Summary_4"/>
      <sheetName val="BOQ-FD_PA4"/>
      <sheetName val="Price_List_FD_PA4"/>
      <sheetName val="????_???_??4"/>
      <sheetName val="MS08-01_S3"/>
      <sheetName val="MS08-01_P3"/>
      <sheetName val="Cashflow_Analysis3"/>
      <sheetName val="Cost_Sheet3"/>
      <sheetName val="fire_detection_offer3"/>
      <sheetName val="fire_detection_cost3"/>
      <sheetName val="Price_List3"/>
      <sheetName val="US_Ship_Repair_Industry_Growth3"/>
      <sheetName val="Market_Overview3"/>
      <sheetName val="US_Shipyard_Repair_Output3"/>
      <sheetName val="Summary_Financials3"/>
      <sheetName val="HAKEDİŞ_4"/>
      <sheetName val="keşif_özeti4"/>
      <sheetName val="Bill_104"/>
      <sheetName val="Sec_1_BOQ2"/>
      <sheetName val="Sec_2_BOQ-MRO2"/>
      <sheetName val="Sec_3_BOQ-FBO2"/>
      <sheetName val="Sec_4_BOQ-CUP2"/>
      <sheetName val="Adsorption_-_MRO2"/>
      <sheetName val="Adsorption_-_CUP2"/>
      <sheetName val="Sec_5_BOQ-ASG2"/>
      <sheetName val="Sec_6_BOQ-SUBSTN2"/>
      <sheetName val="Sec_8_BOQ-dayworks2"/>
      <sheetName val="1_0_Section_1_Cover4"/>
      <sheetName val="Bill_No__34"/>
      <sheetName val="intr_stool_brkup2"/>
      <sheetName val="BT3-Package_053"/>
      <sheetName val="E_H_-_H__W_P_3"/>
      <sheetName val="E__H__Treatment_for_pile_cap3"/>
      <sheetName val="_N_Finansal_Eğri1"/>
      <sheetName val="HKED_KEŞFİ_İmalat1"/>
      <sheetName val="YEŞİL_DEFTER-İmalat1"/>
      <sheetName val="34__BLOK_EK_ISLER-NO1_HAKEDIS1"/>
      <sheetName val="SERVICES_I1"/>
      <sheetName val="INDIRECT_COST1"/>
      <sheetName val="PRICE_INFO1"/>
      <sheetName val="RC_SUMMARY1"/>
      <sheetName val="LABOUR_PRODUCTIVITY-TAV1"/>
      <sheetName val="MATERIAL_PRICES1"/>
      <sheetName val="CONCRETE_ANALYSIS1"/>
      <sheetName val="Form_61"/>
      <sheetName val="Certificate_1"/>
      <sheetName val="Valn_Cover1"/>
      <sheetName val="Contract_Part1"/>
      <sheetName val="Sign_(2)1"/>
      <sheetName val="1__Summary_Sheet_(R01_Oct_20191"/>
      <sheetName val="Filter_Block1"/>
      <sheetName val="Funding_Drwdn1"/>
      <sheetName val="BOQ Distribution"/>
      <sheetName val="APP__B"/>
      <sheetName val="App__A(contd)"/>
      <sheetName val="S3_Architectural"/>
      <sheetName val="Main_Log"/>
      <sheetName val="Not_in_Budget(F)"/>
      <sheetName val="HD_Mat'ls(J)"/>
      <sheetName val="Disputed_Rates(L)"/>
      <sheetName val="SS_MH"/>
      <sheetName val="Master_Data_Sheet1"/>
      <sheetName val="APP__B1"/>
      <sheetName val="App__A(contd)1"/>
      <sheetName val="S3_Architectural1"/>
      <sheetName val="A4_Register1"/>
      <sheetName val="Bldg_Wise_Summaries_20-10-091"/>
      <sheetName val="Materials_1"/>
      <sheetName val="Not_in_Budget(F)1"/>
      <sheetName val="HD_Mat'ls(J)1"/>
      <sheetName val="Disputed_Rates(L)1"/>
      <sheetName val="Data_Sheet2"/>
      <sheetName val="Civil_Work_-_B_Wall"/>
      <sheetName val="SHADES_&amp;_GATES"/>
      <sheetName val="NOTES_(2)"/>
      <sheetName val="LANDSCAPE_(2)"/>
      <sheetName val="Civil_Work_-_B_Wall_(2)"/>
      <sheetName val="LANDSCAPE_(Hard_&amp;_Soft)"/>
      <sheetName val="Civil_Work_-_B_Wall_(3)"/>
      <sheetName val="Staff_Acco_1"/>
      <sheetName val="New_Issue_Pipeline1"/>
      <sheetName val="Main_Log1"/>
      <sheetName val="SS_MH1"/>
      <sheetName val="____ ___ __"/>
      <sheetName val="___________"/>
      <sheetName val="___________1"/>
      <sheetName val="8-31-98"/>
      <sheetName val="worksheet inchican"/>
      <sheetName val="combined 9-30"/>
      <sheetName val=" "/>
      <sheetName val="sheet6"/>
      <sheetName val="_"/>
      <sheetName val="_2"/>
      <sheetName val="_1"/>
      <sheetName val="B9"/>
      <sheetName val="sumary"/>
      <sheetName val="Xenon(R2)"/>
      <sheetName val="Rate Analysis "/>
      <sheetName val="PROJECT_BRIEF(EX_NEW)2"/>
      <sheetName val="Staff_Acco_2"/>
      <sheetName val="Rate_Analysis_1"/>
      <sheetName val="Rate_Analysis_"/>
      <sheetName val="TB09"/>
      <sheetName val="slipsumpR"/>
      <sheetName val="Area_Analysis5"/>
      <sheetName val="DETAILED__BOQ5"/>
      <sheetName val="_GULF5"/>
      <sheetName val="PROJECT_BRIEF_EX_NEW_5"/>
      <sheetName val="B_1005"/>
      <sheetName val="schedule_nos5"/>
      <sheetName val="3_15"/>
      <sheetName val="2_25"/>
      <sheetName val="3_45"/>
      <sheetName val="5_45"/>
      <sheetName val="8_15"/>
      <sheetName val="5_15"/>
      <sheetName val="6_35"/>
      <sheetName val="2_35"/>
      <sheetName val="3_65"/>
      <sheetName val="2_55"/>
      <sheetName val="8_35"/>
      <sheetName val="3_25"/>
      <sheetName val="2_45"/>
      <sheetName val="2_15"/>
      <sheetName val="5_75"/>
      <sheetName val="3_35"/>
      <sheetName val="3_55"/>
      <sheetName val="2_85"/>
      <sheetName val="2_65"/>
      <sheetName val="8_1-8_25"/>
      <sheetName val="8_3-8_45"/>
      <sheetName val="2_05_Sprinkler5"/>
      <sheetName val="2_01_Electrical_5"/>
      <sheetName val="INPUT_-_Revenue_&amp;_CGS5"/>
      <sheetName val="Category_Lookup_Table5"/>
      <sheetName val="Part_A5"/>
      <sheetName val="Mp-team 1"/>
      <sheetName val="Categories"/>
      <sheetName val="Activity"/>
      <sheetName val="Crew"/>
      <sheetName val="Piping"/>
      <sheetName val="Pipe Supports"/>
      <sheetName val="PRODL297"/>
      <sheetName val="1.2 STAFF Scedule"/>
      <sheetName val="Control Sheet Header"/>
      <sheetName val="G2- Ground works"/>
      <sheetName val="2"/>
      <sheetName val="inter"/>
      <sheetName val="Micro"/>
      <sheetName val="Macro"/>
      <sheetName val="Assumptions"/>
      <sheetName val="@risk rents and incentives"/>
      <sheetName val="Car park lease"/>
      <sheetName val="Net rent analysis"/>
      <sheetName val="1.1. Manpower(Data Ref)"/>
      <sheetName val="CONS. PROJECT HITS"/>
      <sheetName val="Cost_Any."/>
      <sheetName val="Costing"/>
      <sheetName val="Mat.Cost"/>
      <sheetName val="Mat_Cost"/>
      <sheetName val="HITS"/>
      <sheetName val="Flight-1"/>
      <sheetName val="CC4.5.4"/>
      <sheetName val="갑지"/>
      <sheetName val="Sayfa2"/>
      <sheetName val="2-Sunum"/>
      <sheetName val="Satir Bazli Odeme Listesi"/>
      <sheetName val="pencere merkezi ys ab"/>
      <sheetName val="kule pencere merk"/>
      <sheetName val="B09.1"/>
      <sheetName val="B03"/>
      <sheetName val="yeşil-01"/>
      <sheetName val="YEŞİL DEFTER (2)"/>
      <sheetName val="total"/>
      <sheetName val="BUTCE KURLARI"/>
      <sheetName val="GBA"/>
      <sheetName val="Finansal tamamlanma Eğrisi"/>
      <sheetName val="BUS BAR"/>
      <sheetName val="ısıtma"/>
      <sheetName val="288"/>
      <sheetName val="495"/>
      <sheetName val="498"/>
      <sheetName val="500"/>
      <sheetName val="505"/>
      <sheetName val="506"/>
      <sheetName val="509"/>
      <sheetName val="512"/>
      <sheetName val="515"/>
      <sheetName val="516"/>
      <sheetName val="520"/>
      <sheetName val="521"/>
      <sheetName val="523"/>
      <sheetName val="525"/>
      <sheetName val="526"/>
      <sheetName val="527"/>
      <sheetName val="528"/>
      <sheetName val="548"/>
      <sheetName val="580"/>
      <sheetName val="581"/>
      <sheetName val="348"/>
      <sheetName val="198"/>
      <sheetName val="335"/>
      <sheetName val="337"/>
      <sheetName val="339"/>
      <sheetName val="341"/>
      <sheetName val="343"/>
      <sheetName val="552"/>
      <sheetName val="555"/>
      <sheetName val="557"/>
      <sheetName val="328"/>
      <sheetName val="333"/>
      <sheetName val="405"/>
      <sheetName val="409"/>
      <sheetName val="419"/>
      <sheetName val="423"/>
      <sheetName val="426"/>
      <sheetName val="489"/>
      <sheetName val="491"/>
      <sheetName val="Boru Çap - Fiyat"/>
      <sheetName val="borç"/>
      <sheetName val="V.O."/>
      <sheetName val="GDS"/>
      <sheetName val="yansıtma"/>
      <sheetName val="yüro - eski"/>
      <sheetName val="Özet"/>
      <sheetName val="€"/>
      <sheetName val="$"/>
      <sheetName val="AU"/>
      <sheetName val="TL"/>
      <sheetName val="Manhour"/>
      <sheetName val="bfk2000"/>
      <sheetName val="AN"/>
      <sheetName val="SW_(2)1"/>
      <sheetName val="Master_Data_Sheet2"/>
      <sheetName val="SW_(2)2"/>
      <sheetName val="Form_62"/>
      <sheetName val="_N_Finansal_Eğri2"/>
      <sheetName val="Certificate_2"/>
      <sheetName val="Valn_Cover2"/>
      <sheetName val="Contract_Part2"/>
      <sheetName val="SERVICES_I2"/>
      <sheetName val="HKED_KEŞFİ_İmalat2"/>
      <sheetName val="YEŞİL_DEFTER-İmalat2"/>
      <sheetName val="34__BLOK_EK_ISLER-NO1_HAKEDIS2"/>
      <sheetName val="PRICE_INFO2"/>
      <sheetName val="RC_SUMMARY2"/>
      <sheetName val="LABOUR_PRODUCTIVITY-TAV2"/>
      <sheetName val="MATERIAL_PRICES2"/>
      <sheetName val="CONCRETE_ANALYSIS2"/>
      <sheetName val="APP__B2"/>
      <sheetName val="App__A(contd)2"/>
      <sheetName val="Filter_Block2"/>
      <sheetName val="upa_of_boq3"/>
      <sheetName val="Summary_Foreign_Comp3"/>
      <sheetName val="grand_summary3"/>
      <sheetName val="Doha_Farm3"/>
      <sheetName val="Master_Data_Sheet3"/>
      <sheetName val="15_문제점3"/>
      <sheetName val="SERVICES_I3"/>
      <sheetName val="_N_Finansal_Eğri3"/>
      <sheetName val="HKED_KEŞFİ_İmalat3"/>
      <sheetName val="YEŞİL_DEFTER-İmalat3"/>
      <sheetName val="34__BLOK_EK_ISLER-NO1_HAKEDIS3"/>
      <sheetName val="PRICE_INFO3"/>
      <sheetName val="RC_SUMMARY3"/>
      <sheetName val="LABOUR_PRODUCTIVITY-TAV3"/>
      <sheetName val="MATERIAL_PRICES3"/>
      <sheetName val="CONCRETE_ANALYSIS3"/>
      <sheetName val="Ra__stair3"/>
      <sheetName val="Filter_Block3"/>
      <sheetName val="Certificate_3"/>
      <sheetName val="Valn_Cover3"/>
      <sheetName val="Contract_Part3"/>
      <sheetName val="SW_(2)3"/>
      <sheetName val="Form_63"/>
      <sheetName val="APP__B3"/>
      <sheetName val="App__A(contd)3"/>
      <sheetName val="Summary_5"/>
      <sheetName val="BOQ-FD_PA5"/>
      <sheetName val="Price_List_FD_PA5"/>
      <sheetName val="MS08-01_S4"/>
      <sheetName val="MS08-01_P4"/>
      <sheetName val="Cashflow_Analysis4"/>
      <sheetName val="Cost_Sheet4"/>
      <sheetName val="fire_detection_offer4"/>
      <sheetName val="fire_detection_cost4"/>
      <sheetName val="Price_List4"/>
      <sheetName val="upa_of_boq4"/>
      <sheetName val="Summary_Foreign_Comp4"/>
      <sheetName val="grand_summary4"/>
      <sheetName val="Doha_Farm4"/>
      <sheetName val="Master_Data_Sheet4"/>
      <sheetName val="15_문제점4"/>
      <sheetName val="SERVICES_I4"/>
      <sheetName val="_N_Finansal_Eğri4"/>
      <sheetName val="HKED_KEŞFİ_İmalat4"/>
      <sheetName val="YEŞİL_DEFTER-İmalat4"/>
      <sheetName val="34__BLOK_EK_ISLER-NO1_HAKEDIS4"/>
      <sheetName val="PRICE_INFO4"/>
      <sheetName val="RC_SUMMARY4"/>
      <sheetName val="LABOUR_PRODUCTIVITY-TAV4"/>
      <sheetName val="MATERIAL_PRICES4"/>
      <sheetName val="CONCRETE_ANALYSIS4"/>
      <sheetName val="Ra__stair4"/>
      <sheetName val="Filter_Block4"/>
      <sheetName val="BT3-Package_054"/>
      <sheetName val="Certificate_4"/>
      <sheetName val="Valn_Cover4"/>
      <sheetName val="Contract_Part4"/>
      <sheetName val="Form_64"/>
      <sheetName val="APP__B4"/>
      <sheetName val="App__A(contd)4"/>
      <sheetName val="SW_(2)4"/>
      <sheetName val="Base_BM-rebar9"/>
      <sheetName val="Raw_Data9"/>
      <sheetName val="Fit_Out_B2a8"/>
      <sheetName val="FOL_-_Bar8"/>
      <sheetName val="Co_Eff8"/>
      <sheetName val="Day_work8"/>
      <sheetName val="Payments_and_Cash_Calls8"/>
      <sheetName val="item_#13__Structur7"/>
      <sheetName val="Item_#_20_Structure7"/>
      <sheetName val="(Not_to_print)6"/>
      <sheetName val="Chiet_tinh_dz227"/>
      <sheetName val="MASTER_RATE_ANALYSIS7"/>
      <sheetName val="Gravel_in_pond7"/>
      <sheetName val="Eq__Mobilization7"/>
      <sheetName val="upa_of_boq5"/>
      <sheetName val="Summary_Foreign_Comp5"/>
      <sheetName val="grand_summary5"/>
      <sheetName val="AOP_Summary-27"/>
      <sheetName val="입찰내역_발주처_양식7"/>
      <sheetName val="SPT_vs_PHI7"/>
      <sheetName val="Summary_6"/>
      <sheetName val="BOQ-FD_PA6"/>
      <sheetName val="Price_List_FD_PA6"/>
      <sheetName val="1_11_b6"/>
      <sheetName val="Basic_Material_Costs6"/>
      <sheetName val="MS08-01_S5"/>
      <sheetName val="MS08-01_P5"/>
      <sheetName val="Cashflow_Analysis5"/>
      <sheetName val="Rate_Analysis5"/>
      <sheetName val="Cost_Sheet5"/>
      <sheetName val="fire_detection_offer5"/>
      <sheetName val="fire_detection_cost5"/>
      <sheetName val="Price_List5"/>
      <sheetName val="Doha_Farm5"/>
      <sheetName val="Master_Data_Sheet5"/>
      <sheetName val="15_문제점5"/>
      <sheetName val="SERVICES_I5"/>
      <sheetName val="_N_Finansal_Eğri5"/>
      <sheetName val="HKED_KEŞFİ_İmalat5"/>
      <sheetName val="YEŞİL_DEFTER-İmalat5"/>
      <sheetName val="34__BLOK_EK_ISLER-NO1_HAKEDIS5"/>
      <sheetName val="imput_costi_par_5"/>
      <sheetName val="PRICE_INFO5"/>
      <sheetName val="RC_SUMMARY5"/>
      <sheetName val="LABOUR_PRODUCTIVITY-TAV5"/>
      <sheetName val="MATERIAL_PRICES5"/>
      <sheetName val="CONCRETE_ANALYSIS5"/>
      <sheetName val="Ra__stair5"/>
      <sheetName val="BT3-Package_055"/>
      <sheetName val="SW_(2)5"/>
      <sheetName val="Form_65"/>
      <sheetName val="Certificate_5"/>
      <sheetName val="Valn_Cover5"/>
      <sheetName val="Contract_Part5"/>
      <sheetName val="APP__B5"/>
      <sheetName val="App__A(contd)5"/>
      <sheetName val="15_136"/>
      <sheetName val="????_???_??5"/>
      <sheetName val="Bill_No__35"/>
      <sheetName val="New_Rates5"/>
      <sheetName val="Filter_Block5"/>
      <sheetName val="Base_BM-rebar10"/>
      <sheetName val="Raw_Data10"/>
      <sheetName val="Fit_Out_B2a9"/>
      <sheetName val="Co_Eff9"/>
      <sheetName val="FOL_-_Bar9"/>
      <sheetName val="Day_work9"/>
      <sheetName val="Payments_and_Cash_Calls9"/>
      <sheetName val="item_#13__Structur8"/>
      <sheetName val="Item_#_20_Structure8"/>
      <sheetName val="(Not_to_print)7"/>
      <sheetName val="MASTER_RATE_ANALYSIS8"/>
      <sheetName val="Gravel_in_pond8"/>
      <sheetName val="Eq__Mobilization8"/>
      <sheetName val="Chiet_tinh_dz228"/>
      <sheetName val="AOP_Summary-28"/>
      <sheetName val="입찰내역_발주처_양식8"/>
      <sheetName val="upa_of_boq6"/>
      <sheetName val="Summary_Foreign_Comp6"/>
      <sheetName val="grand_summary6"/>
      <sheetName val="Doha_Farm6"/>
      <sheetName val="Summary_7"/>
      <sheetName val="BOQ-FD_PA7"/>
      <sheetName val="Price_List_FD_PA7"/>
      <sheetName val="SPT_vs_PHI8"/>
      <sheetName val="1_11_b7"/>
      <sheetName val="Basic_Material_Costs7"/>
      <sheetName val="MS08-01_S6"/>
      <sheetName val="MS08-01_P6"/>
      <sheetName val="Cashflow_Analysis6"/>
      <sheetName val="Rate_Analysis6"/>
      <sheetName val="Cost_Sheet6"/>
      <sheetName val="fire_detection_offer6"/>
      <sheetName val="fire_detection_cost6"/>
      <sheetName val="Price_List6"/>
      <sheetName val="_GULF6"/>
      <sheetName val="Master_Data_Sheet6"/>
      <sheetName val="15_문제점6"/>
      <sheetName val="SERVICES_I6"/>
      <sheetName val="_N_Finansal_Eğri6"/>
      <sheetName val="HKED_KEŞFİ_İmalat6"/>
      <sheetName val="YEŞİL_DEFTER-İmalat6"/>
      <sheetName val="34__BLOK_EK_ISLER-NO1_HAKEDIS6"/>
      <sheetName val="imput_costi_par_6"/>
      <sheetName val="PRICE_INFO6"/>
      <sheetName val="RC_SUMMARY6"/>
      <sheetName val="LABOUR_PRODUCTIVITY-TAV6"/>
      <sheetName val="MATERIAL_PRICES6"/>
      <sheetName val="CONCRETE_ANALYSIS6"/>
      <sheetName val="Ra__stair6"/>
      <sheetName val="Filter_Block6"/>
      <sheetName val="BT3-Package_056"/>
      <sheetName val="Certificate_6"/>
      <sheetName val="Valn_Cover6"/>
      <sheetName val="Contract_Part6"/>
      <sheetName val="SW_(2)6"/>
      <sheetName val="Form_66"/>
      <sheetName val="APP__B6"/>
      <sheetName val="App__A(contd)6"/>
      <sheetName val="15_137"/>
      <sheetName val="????_???_??6"/>
      <sheetName val="Bill_No__36"/>
      <sheetName val="New_Rates6"/>
      <sheetName val="Base_BM-rebar11"/>
      <sheetName val="Raw_Data11"/>
      <sheetName val="Fit_Out_B2a10"/>
      <sheetName val="Co_Eff10"/>
      <sheetName val="FOL_-_Bar10"/>
      <sheetName val="Day_work10"/>
      <sheetName val="Payments_and_Cash_Calls10"/>
      <sheetName val="item_#13__Structur9"/>
      <sheetName val="Item_#_20_Structure9"/>
      <sheetName val="(Not_to_print)8"/>
      <sheetName val="MASTER_RATE_ANALYSIS9"/>
      <sheetName val="Gravel_in_pond9"/>
      <sheetName val="Eq__Mobilization9"/>
      <sheetName val="Chiet_tinh_dz229"/>
      <sheetName val="AOP_Summary-29"/>
      <sheetName val="입찰내역_발주처_양식9"/>
      <sheetName val="upa_of_boq7"/>
      <sheetName val="Summary_Foreign_Comp7"/>
      <sheetName val="grand_summary7"/>
      <sheetName val="Doha_Farm7"/>
      <sheetName val="Summary_8"/>
      <sheetName val="BOQ-FD_PA8"/>
      <sheetName val="Price_List_FD_PA8"/>
      <sheetName val="SPT_vs_PHI9"/>
      <sheetName val="1_11_b8"/>
      <sheetName val="Basic_Material_Costs8"/>
      <sheetName val="MS08-01_S7"/>
      <sheetName val="MS08-01_P7"/>
      <sheetName val="Cashflow_Analysis7"/>
      <sheetName val="Rate_Analysis7"/>
      <sheetName val="Cost_Sheet7"/>
      <sheetName val="fire_detection_offer7"/>
      <sheetName val="fire_detection_cost7"/>
      <sheetName val="Price_List7"/>
      <sheetName val="_GULF7"/>
      <sheetName val="Master_Data_Sheet7"/>
      <sheetName val="15_문제점7"/>
      <sheetName val="SERVICES_I7"/>
      <sheetName val="_N_Finansal_Eğri7"/>
      <sheetName val="HKED_KEŞFİ_İmalat7"/>
      <sheetName val="YEŞİL_DEFTER-İmalat7"/>
      <sheetName val="34__BLOK_EK_ISLER-NO1_HAKEDIS7"/>
      <sheetName val="imput_costi_par_7"/>
      <sheetName val="PRICE_INFO7"/>
      <sheetName val="RC_SUMMARY7"/>
      <sheetName val="LABOUR_PRODUCTIVITY-TAV7"/>
      <sheetName val="MATERIAL_PRICES7"/>
      <sheetName val="CONCRETE_ANALYSIS7"/>
      <sheetName val="Ra__stair7"/>
      <sheetName val="Filter_Block7"/>
      <sheetName val="BT3-Package_057"/>
      <sheetName val="Certificate_7"/>
      <sheetName val="Valn_Cover7"/>
      <sheetName val="Contract_Part7"/>
      <sheetName val="SW_(2)7"/>
      <sheetName val="Form_67"/>
      <sheetName val="APP__B7"/>
      <sheetName val="App__A(contd)7"/>
      <sheetName val="15_138"/>
      <sheetName val="????_???_??7"/>
      <sheetName val="Bill_No__37"/>
      <sheetName val="New_Rates7"/>
      <sheetName val="3,000"/>
      <sheetName val="5,000"/>
      <sheetName val="6,000"/>
      <sheetName val="8,000"/>
      <sheetName val="9,000"/>
      <sheetName val="Base_BM-rebar12"/>
      <sheetName val="Raw_Data12"/>
      <sheetName val="Fit_Out_B2a11"/>
      <sheetName val="FOL_-_Bar11"/>
      <sheetName val="Co_Eff11"/>
      <sheetName val="Payments_and_Cash_Calls11"/>
      <sheetName val="Day_work11"/>
      <sheetName val="Chiet_tinh_dz2210"/>
      <sheetName val="입찰내역_발주처_양식10"/>
      <sheetName val="item_#13__Structur10"/>
      <sheetName val="Item_#_20_Structure10"/>
      <sheetName val="(Not_to_print)9"/>
      <sheetName val="MASTER_RATE_ANALYSIS10"/>
      <sheetName val="Gravel_in_pond10"/>
      <sheetName val="Eq__Mobilization10"/>
      <sheetName val="AOP_Summary-210"/>
      <sheetName val="Summary_9"/>
      <sheetName val="BOQ-FD_PA9"/>
      <sheetName val="Price_List_FD_PA9"/>
      <sheetName val="SPT_vs_PHI10"/>
      <sheetName val="1_11_b9"/>
      <sheetName val="Basic_Material_Costs9"/>
      <sheetName val="MS08-01_S8"/>
      <sheetName val="MS08-01_P8"/>
      <sheetName val="Cashflow_Analysis8"/>
      <sheetName val="Rate_Analysis8"/>
      <sheetName val="Cost_Sheet8"/>
      <sheetName val="fire_detection_offer8"/>
      <sheetName val="fire_detection_cost8"/>
      <sheetName val="Price_List8"/>
      <sheetName val="upa_of_boq8"/>
      <sheetName val="Summary_Foreign_Comp8"/>
      <sheetName val="grand_summary8"/>
      <sheetName val="Doha_Farm8"/>
      <sheetName val="_GULF8"/>
      <sheetName val="Master_Data_Sheet8"/>
      <sheetName val="15_문제점8"/>
      <sheetName val="SERVICES_I8"/>
      <sheetName val="_N_Finansal_Eğri8"/>
      <sheetName val="HKED_KEŞFİ_İmalat8"/>
      <sheetName val="YEŞİL_DEFTER-İmalat8"/>
      <sheetName val="34__BLOK_EK_ISLER-NO1_HAKEDIS8"/>
      <sheetName val="imput_costi_par_8"/>
      <sheetName val="PRICE_INFO8"/>
      <sheetName val="RC_SUMMARY8"/>
      <sheetName val="LABOUR_PRODUCTIVITY-TAV8"/>
      <sheetName val="MATERIAL_PRICES8"/>
      <sheetName val="CONCRETE_ANALYSIS8"/>
      <sheetName val="Ra__stair8"/>
      <sheetName val="Filter_Block8"/>
      <sheetName val="BT3-Package_058"/>
      <sheetName val="Certificate_8"/>
      <sheetName val="Valn_Cover8"/>
      <sheetName val="Contract_Part8"/>
      <sheetName val="SW_(2)8"/>
      <sheetName val="Form_68"/>
      <sheetName val="APP__B8"/>
      <sheetName val="App__A(contd)8"/>
      <sheetName val="15_139"/>
      <sheetName val="Base_BM-rebar13"/>
      <sheetName val="Raw_Data13"/>
      <sheetName val="Fit_Out_B2a12"/>
      <sheetName val="FOL_-_Bar12"/>
      <sheetName val="Co_Eff12"/>
      <sheetName val="Payments_and_Cash_Calls12"/>
      <sheetName val="Day_work12"/>
      <sheetName val="Chiet_tinh_dz2211"/>
      <sheetName val="입찰내역_발주처_양식11"/>
      <sheetName val="item_#13__Structur11"/>
      <sheetName val="Item_#_20_Structure11"/>
      <sheetName val="(Not_to_print)10"/>
      <sheetName val="MASTER_RATE_ANALYSIS11"/>
      <sheetName val="Gravel_in_pond11"/>
      <sheetName val="Eq__Mobilization11"/>
      <sheetName val="AOP_Summary-211"/>
      <sheetName val="Summary_10"/>
      <sheetName val="BOQ-FD_PA10"/>
      <sheetName val="Price_List_FD_PA10"/>
      <sheetName val="SPT_vs_PHI11"/>
      <sheetName val="1_11_b10"/>
      <sheetName val="Basic_Material_Costs10"/>
      <sheetName val="MS08-01_S9"/>
      <sheetName val="MS08-01_P9"/>
      <sheetName val="Cashflow_Analysis9"/>
      <sheetName val="Rate_Analysis9"/>
      <sheetName val="Cost_Sheet9"/>
      <sheetName val="fire_detection_offer9"/>
      <sheetName val="fire_detection_cost9"/>
      <sheetName val="Price_List9"/>
      <sheetName val="upa_of_boq9"/>
      <sheetName val="Summary_Foreign_Comp9"/>
      <sheetName val="grand_summary9"/>
      <sheetName val="Doha_Farm9"/>
      <sheetName val="_GULF9"/>
      <sheetName val="Master_Data_Sheet9"/>
      <sheetName val="15_문제점9"/>
      <sheetName val="SERVICES_I9"/>
      <sheetName val="_N_Finansal_Eğri9"/>
      <sheetName val="HKED_KEŞFİ_İmalat9"/>
      <sheetName val="YEŞİL_DEFTER-İmalat9"/>
      <sheetName val="34__BLOK_EK_ISLER-NO1_HAKEDIS9"/>
      <sheetName val="imput_costi_par_9"/>
      <sheetName val="PRICE_INFO9"/>
      <sheetName val="RC_SUMMARY9"/>
      <sheetName val="LABOUR_PRODUCTIVITY-TAV9"/>
      <sheetName val="MATERIAL_PRICES9"/>
      <sheetName val="CONCRETE_ANALYSIS9"/>
      <sheetName val="Ra__stair9"/>
      <sheetName val="Filter_Block9"/>
      <sheetName val="BT3-Package_059"/>
      <sheetName val="Certificate_9"/>
      <sheetName val="Valn_Cover9"/>
      <sheetName val="Contract_Part9"/>
      <sheetName val="SW_(2)9"/>
      <sheetName val="Form_69"/>
      <sheetName val="APP__B9"/>
      <sheetName val="App__A(contd)9"/>
      <sheetName val="15_1310"/>
      <sheetName val="????_???_??8"/>
      <sheetName val="Bill_No__38"/>
      <sheetName val="New_Rates8"/>
      <sheetName val="Base_BM-rebar14"/>
      <sheetName val="Raw_Data14"/>
      <sheetName val="Fit_Out_B2a13"/>
      <sheetName val="FOL_-_Bar13"/>
      <sheetName val="Co_Eff13"/>
      <sheetName val="Payments_and_Cash_Calls13"/>
      <sheetName val="Day_work13"/>
      <sheetName val="Chiet_tinh_dz2212"/>
      <sheetName val="입찰내역_발주처_양식12"/>
      <sheetName val="item_#13__Structur12"/>
      <sheetName val="Item_#_20_Structure12"/>
      <sheetName val="(Not_to_print)11"/>
      <sheetName val="MASTER_RATE_ANALYSIS12"/>
      <sheetName val="Gravel_in_pond12"/>
      <sheetName val="Eq__Mobilization12"/>
      <sheetName val="AOP_Summary-212"/>
      <sheetName val="Summary_11"/>
      <sheetName val="BOQ-FD_PA11"/>
      <sheetName val="Price_List_FD_PA11"/>
      <sheetName val="SPT_vs_PHI12"/>
      <sheetName val="1_11_b11"/>
      <sheetName val="Basic_Material_Costs11"/>
      <sheetName val="MS08-01_S10"/>
      <sheetName val="MS08-01_P10"/>
      <sheetName val="Cashflow_Analysis10"/>
      <sheetName val="Rate_Analysis10"/>
      <sheetName val="Cost_Sheet10"/>
      <sheetName val="fire_detection_offer10"/>
      <sheetName val="fire_detection_cost10"/>
      <sheetName val="Price_List10"/>
      <sheetName val="upa_of_boq10"/>
      <sheetName val="Summary_Foreign_Comp10"/>
      <sheetName val="grand_summary10"/>
      <sheetName val="Doha_Farm10"/>
      <sheetName val="_GULF10"/>
      <sheetName val="Master_Data_Sheet10"/>
      <sheetName val="15_문제점10"/>
      <sheetName val="SERVICES_I10"/>
      <sheetName val="_N_Finansal_Eğri10"/>
      <sheetName val="HKED_KEŞFİ_İmalat10"/>
      <sheetName val="YEŞİL_DEFTER-İmalat10"/>
      <sheetName val="34__BLOK_EK_ISLER-NO1_HAKEDIS10"/>
      <sheetName val="imput_costi_par_10"/>
      <sheetName val="PRICE_INFO10"/>
      <sheetName val="RC_SUMMARY10"/>
      <sheetName val="LABOUR_PRODUCTIVITY-TAV10"/>
      <sheetName val="MATERIAL_PRICES10"/>
      <sheetName val="CONCRETE_ANALYSIS10"/>
      <sheetName val="Ra__stair10"/>
      <sheetName val="Filter_Block10"/>
      <sheetName val="BT3-Package_0510"/>
      <sheetName val="Certificate_10"/>
      <sheetName val="Valn_Cover10"/>
      <sheetName val="Contract_Part10"/>
      <sheetName val="SW_(2)10"/>
      <sheetName val="Form_610"/>
      <sheetName val="APP__B10"/>
      <sheetName val="App__A(contd)10"/>
      <sheetName val="15_1311"/>
      <sheetName val="????_???_??9"/>
      <sheetName val="Bill_No__39"/>
      <sheetName val="New_Rates9"/>
      <sheetName val="QualityDeliv."/>
      <sheetName val="Doha WBS Clean"/>
      <sheetName val="worksheet_inchican"/>
      <sheetName val="combined_9-30"/>
      <sheetName val="Ingresos"/>
      <sheetName val="Sheet3"/>
      <sheetName val="Table"/>
      <sheetName val="Cost Codes "/>
      <sheetName val="Prodinox MA R1"/>
      <sheetName val="Prodinox ET R1"/>
      <sheetName val="Papirüs"/>
      <sheetName val="Bill Summary"/>
      <sheetName val="N FURNITURE EQUIPMENT "/>
      <sheetName val="R DISPOSAL SYSTEM"/>
      <sheetName val="SbStn-FLTANK"/>
      <sheetName val="S PIPED SUPPLY SYSTEM"/>
      <sheetName val="Extwrk-FoulWater"/>
      <sheetName val="Extwrk-Firefighting"/>
      <sheetName val="Tender Adjustment"/>
      <sheetName val="Extwrk-Irrigation"/>
      <sheetName val="Ancillary Bldgs."/>
      <sheetName val="11-Guardhouse(New)"/>
      <sheetName val="12-ETS Room(New)"/>
      <sheetName val="13-Driver-cleaner room(New)"/>
      <sheetName val="DB"/>
      <sheetName val="5"/>
      <sheetName val="노임단가"/>
      <sheetName val="Quantity"/>
      <sheetName val="TTL"/>
      <sheetName val="Gia vat tu"/>
      <sheetName val="B3A - TOWER A"/>
      <sheetName val="Electrical Works"/>
      <sheetName val="H_T_ INCOMING SYSTEM"/>
      <sheetName val="환산표"/>
      <sheetName val="BLR 1"/>
      <sheetName val="GEN"/>
      <sheetName val="GAS"/>
      <sheetName val="DEAE"/>
      <sheetName val="BLR2"/>
      <sheetName val="BLR3"/>
      <sheetName val="BLR4"/>
      <sheetName val="BLR5"/>
      <sheetName val="DEM"/>
      <sheetName val="SAM"/>
      <sheetName val="CHEM"/>
      <sheetName val="COP"/>
      <sheetName val="eq_data"/>
      <sheetName val="八幡"/>
      <sheetName val="MixBed"/>
      <sheetName val="CondPol"/>
      <sheetName val="Utility and Fire flange"/>
      <sheetName val="jobhist"/>
      <sheetName val="자재단가"/>
      <sheetName val="36신설수량"/>
      <sheetName val="물가대비표"/>
      <sheetName val="현장관리비"/>
      <sheetName val="실행내역"/>
      <sheetName val="Activity(new)"/>
      <sheetName val="CAT_5"/>
      <sheetName val="해외 연수비용 계산-삭제"/>
      <sheetName val="해외 기술훈련비 (합계)"/>
      <sheetName val="갑지1"/>
      <sheetName val="대비표"/>
      <sheetName val="PRECAST lightconc-II"/>
      <sheetName val="산근"/>
      <sheetName val="Cape- Summary"/>
      <sheetName val="집계표(OPTION)"/>
      <sheetName val="03년국내가격7월23일자"/>
      <sheetName val="03년해외가격7월23일자"/>
      <sheetName val="Funding_Drwdn2"/>
      <sheetName val="SS_MH2"/>
      <sheetName val="INDIRECT_COST2"/>
      <sheetName val="M_Budget2"/>
      <sheetName val="Material_of_Quantities2"/>
      <sheetName val="unit_price_list2"/>
      <sheetName val="Project_Data2"/>
      <sheetName val="Ｎｏ_132"/>
      <sheetName val="아파트_2"/>
      <sheetName val="Sign_(2)2"/>
      <sheetName val="Data_Sheet3"/>
      <sheetName val="Summary_Transformers2"/>
      <sheetName val="New_Issue_Pipeline2"/>
      <sheetName val="Bldg_Wise_Summaries_20-10-092"/>
      <sheetName val="A4_Register2"/>
      <sheetName val="01-RESOURCE_LIST2"/>
      <sheetName val="Materials_2"/>
      <sheetName val="CarillionYTD"/>
      <sheetName val="Mp-team_1"/>
      <sheetName val="new ext"/>
      <sheetName val="Cables Link"/>
      <sheetName val="Intermediate Staff_C"/>
      <sheetName val="STAFF AC--535 -19.1.09"/>
      <sheetName val="Intermediate_Staff_C"/>
      <sheetName val="STAFF_AC--535_-19_1_09"/>
      <sheetName val="New B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179">
          <cell r="T179">
            <v>205</v>
          </cell>
          <cell r="U179">
            <v>218</v>
          </cell>
          <cell r="V179">
            <v>302</v>
          </cell>
          <cell r="W179">
            <v>419</v>
          </cell>
          <cell r="X179">
            <v>433</v>
          </cell>
          <cell r="Y179">
            <v>430</v>
          </cell>
          <cell r="Z179">
            <v>494</v>
          </cell>
          <cell r="AA179">
            <v>520</v>
          </cell>
          <cell r="AB179">
            <v>522</v>
          </cell>
          <cell r="AC179">
            <v>508</v>
          </cell>
          <cell r="AD179">
            <v>581</v>
          </cell>
          <cell r="AE179">
            <v>524</v>
          </cell>
          <cell r="AF179">
            <v>526</v>
          </cell>
          <cell r="AG179">
            <v>502</v>
          </cell>
          <cell r="AH179">
            <v>248</v>
          </cell>
        </row>
        <row r="180">
          <cell r="T180">
            <v>205</v>
          </cell>
          <cell r="U180">
            <v>423</v>
          </cell>
          <cell r="V180">
            <v>725</v>
          </cell>
          <cell r="W180">
            <v>1144</v>
          </cell>
          <cell r="X180">
            <v>1577</v>
          </cell>
          <cell r="Y180">
            <v>2007</v>
          </cell>
          <cell r="Z180">
            <v>2501</v>
          </cell>
          <cell r="AA180">
            <v>3021</v>
          </cell>
          <cell r="AB180">
            <v>3543</v>
          </cell>
          <cell r="AC180">
            <v>4051</v>
          </cell>
          <cell r="AD180">
            <v>4632</v>
          </cell>
          <cell r="AE180">
            <v>5156</v>
          </cell>
          <cell r="AF180">
            <v>5682</v>
          </cell>
          <cell r="AG180">
            <v>6184</v>
          </cell>
          <cell r="AH180">
            <v>6432</v>
          </cell>
        </row>
      </sheetData>
      <sheetData sheetId="25" refreshError="1"/>
      <sheetData sheetId="26" refreshError="1"/>
      <sheetData sheetId="27" refreshError="1">
        <row r="16">
          <cell r="G16">
            <v>3100889.7360623879</v>
          </cell>
          <cell r="J16">
            <v>-3100889.7360623879</v>
          </cell>
          <cell r="K16">
            <v>-3100889.7360623879</v>
          </cell>
        </row>
        <row r="17">
          <cell r="G17">
            <v>934385.75607295427</v>
          </cell>
          <cell r="J17">
            <v>3270260.8906708667</v>
          </cell>
          <cell r="K17">
            <v>169371.15460847877</v>
          </cell>
        </row>
        <row r="18">
          <cell r="G18">
            <v>944284.9960087979</v>
          </cell>
          <cell r="J18">
            <v>-441747.35457777925</v>
          </cell>
          <cell r="K18">
            <v>-272376.19996930048</v>
          </cell>
        </row>
        <row r="19">
          <cell r="G19">
            <v>1100235.2378667907</v>
          </cell>
          <cell r="J19">
            <v>-565829.35575965873</v>
          </cell>
          <cell r="K19">
            <v>-838205.55572895915</v>
          </cell>
        </row>
        <row r="20">
          <cell r="G20">
            <v>1079751.2161132174</v>
          </cell>
          <cell r="J20">
            <v>-339427.47117581428</v>
          </cell>
          <cell r="K20">
            <v>-1177633.0269047734</v>
          </cell>
        </row>
        <row r="21">
          <cell r="G21">
            <v>1123783.6778401346</v>
          </cell>
          <cell r="J21">
            <v>-96645.766817710944</v>
          </cell>
          <cell r="K21">
            <v>-1274278.7937224843</v>
          </cell>
        </row>
        <row r="22">
          <cell r="G22">
            <v>1105143.8836787788</v>
          </cell>
          <cell r="J22">
            <v>-43686.328851310071</v>
          </cell>
          <cell r="K22">
            <v>-1317965.1225737943</v>
          </cell>
        </row>
        <row r="23">
          <cell r="G23">
            <v>1211873.7212221269</v>
          </cell>
          <cell r="J23">
            <v>-157770.37578145368</v>
          </cell>
          <cell r="K23">
            <v>-1475735.498355248</v>
          </cell>
        </row>
        <row r="24">
          <cell r="G24">
            <v>1242897.4469518734</v>
          </cell>
          <cell r="J24">
            <v>-31904.301259564934</v>
          </cell>
          <cell r="K24">
            <v>-1507639.7996148129</v>
          </cell>
        </row>
        <row r="25">
          <cell r="G25">
            <v>1242388.6634660121</v>
          </cell>
          <cell r="J25">
            <v>32340.963578523137</v>
          </cell>
          <cell r="K25">
            <v>-1475298.8360362898</v>
          </cell>
        </row>
        <row r="26">
          <cell r="G26">
            <v>1173097.4003922935</v>
          </cell>
          <cell r="J26">
            <v>106535.03291010531</v>
          </cell>
          <cell r="K26">
            <v>-1368763.8031261845</v>
          </cell>
        </row>
        <row r="27">
          <cell r="G27">
            <v>1246958.3770815907</v>
          </cell>
          <cell r="J27">
            <v>-1645.5875842371024</v>
          </cell>
          <cell r="K27">
            <v>-1370409.3907104216</v>
          </cell>
        </row>
        <row r="28">
          <cell r="G28">
            <v>1129849.8697283007</v>
          </cell>
          <cell r="J28">
            <v>294415.34818107402</v>
          </cell>
          <cell r="K28">
            <v>-1075994.0425293476</v>
          </cell>
        </row>
        <row r="29">
          <cell r="G29">
            <v>1362669.9593027527</v>
          </cell>
          <cell r="J29">
            <v>-78134.719742490212</v>
          </cell>
          <cell r="K29">
            <v>-1154128.7622718378</v>
          </cell>
        </row>
        <row r="30">
          <cell r="G30">
            <v>1257111.2537174637</v>
          </cell>
          <cell r="J30">
            <v>32326.792100662133</v>
          </cell>
          <cell r="K30">
            <v>-1121801.9701711757</v>
          </cell>
        </row>
        <row r="31">
          <cell r="G31">
            <v>766806.14375081041</v>
          </cell>
          <cell r="J31">
            <v>463798.22697295237</v>
          </cell>
          <cell r="K31">
            <v>-658003.7431982233</v>
          </cell>
        </row>
        <row r="32">
          <cell r="J32">
            <v>607947.97597508598</v>
          </cell>
          <cell r="K32">
            <v>-50055.767223137314</v>
          </cell>
        </row>
        <row r="33">
          <cell r="J33">
            <v>0</v>
          </cell>
          <cell r="K33">
            <v>-50055.767223137314</v>
          </cell>
        </row>
        <row r="34">
          <cell r="J34">
            <v>0</v>
          </cell>
          <cell r="K34">
            <v>-50055.767223137314</v>
          </cell>
        </row>
        <row r="35">
          <cell r="J35">
            <v>1051161.6616859552</v>
          </cell>
          <cell r="K35">
            <v>1001105.8944628179</v>
          </cell>
        </row>
        <row r="36">
          <cell r="J36">
            <v>0</v>
          </cell>
          <cell r="K36">
            <v>1001105.8944628179</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row r="16">
          <cell r="G16">
            <v>1</v>
          </cell>
        </row>
      </sheetData>
      <sheetData sheetId="94">
        <row r="16">
          <cell r="G16">
            <v>1</v>
          </cell>
        </row>
      </sheetData>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ow r="16">
          <cell r="G16">
            <v>0</v>
          </cell>
        </row>
      </sheetData>
      <sheetData sheetId="129">
        <row r="16">
          <cell r="G16">
            <v>0</v>
          </cell>
        </row>
      </sheetData>
      <sheetData sheetId="130">
        <row r="16">
          <cell r="G16">
            <v>0</v>
          </cell>
        </row>
      </sheetData>
      <sheetData sheetId="131" refreshError="1"/>
      <sheetData sheetId="132">
        <row r="16">
          <cell r="G16">
            <v>0</v>
          </cell>
        </row>
      </sheetData>
      <sheetData sheetId="133"/>
      <sheetData sheetId="134"/>
      <sheetData sheetId="135"/>
      <sheetData sheetId="136">
        <row r="16">
          <cell r="G16">
            <v>0</v>
          </cell>
        </row>
      </sheetData>
      <sheetData sheetId="137">
        <row r="16">
          <cell r="G16">
            <v>0</v>
          </cell>
        </row>
      </sheetData>
      <sheetData sheetId="138">
        <row r="16">
          <cell r="G16">
            <v>0</v>
          </cell>
        </row>
      </sheetData>
      <sheetData sheetId="139"/>
      <sheetData sheetId="140">
        <row r="16">
          <cell r="G16">
            <v>0</v>
          </cell>
        </row>
      </sheetData>
      <sheetData sheetId="141">
        <row r="16">
          <cell r="G16">
            <v>0</v>
          </cell>
        </row>
      </sheetData>
      <sheetData sheetId="142">
        <row r="16">
          <cell r="G16">
            <v>0</v>
          </cell>
        </row>
      </sheetData>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sheetData sheetId="163"/>
      <sheetData sheetId="164" refreshError="1"/>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6">
          <cell r="G16">
            <v>0</v>
          </cell>
        </row>
      </sheetData>
      <sheetData sheetId="182">
        <row r="16">
          <cell r="G16">
            <v>0</v>
          </cell>
        </row>
      </sheetData>
      <sheetData sheetId="183">
        <row r="16">
          <cell r="G16">
            <v>0</v>
          </cell>
        </row>
      </sheetData>
      <sheetData sheetId="184">
        <row r="16">
          <cell r="G16">
            <v>0</v>
          </cell>
        </row>
      </sheetData>
      <sheetData sheetId="185">
        <row r="16">
          <cell r="G16">
            <v>0</v>
          </cell>
        </row>
      </sheetData>
      <sheetData sheetId="186">
        <row r="16">
          <cell r="G16">
            <v>0</v>
          </cell>
        </row>
      </sheetData>
      <sheetData sheetId="187">
        <row r="8">
          <cell r="B8">
            <v>43731</v>
          </cell>
        </row>
      </sheetData>
      <sheetData sheetId="188">
        <row r="16">
          <cell r="G16">
            <v>0</v>
          </cell>
        </row>
      </sheetData>
      <sheetData sheetId="189">
        <row r="16">
          <cell r="G16">
            <v>0</v>
          </cell>
        </row>
      </sheetData>
      <sheetData sheetId="190">
        <row r="16">
          <cell r="G16">
            <v>0</v>
          </cell>
        </row>
      </sheetData>
      <sheetData sheetId="191">
        <row r="16">
          <cell r="G16">
            <v>0</v>
          </cell>
        </row>
      </sheetData>
      <sheetData sheetId="192">
        <row r="16">
          <cell r="G16">
            <v>0</v>
          </cell>
        </row>
      </sheetData>
      <sheetData sheetId="193">
        <row r="16">
          <cell r="G16">
            <v>0</v>
          </cell>
        </row>
      </sheetData>
      <sheetData sheetId="194">
        <row r="16">
          <cell r="G16">
            <v>0</v>
          </cell>
        </row>
      </sheetData>
      <sheetData sheetId="195">
        <row r="16">
          <cell r="G16">
            <v>0</v>
          </cell>
        </row>
      </sheetData>
      <sheetData sheetId="196">
        <row r="16">
          <cell r="G16">
            <v>0</v>
          </cell>
        </row>
      </sheetData>
      <sheetData sheetId="197">
        <row r="16">
          <cell r="G16">
            <v>0</v>
          </cell>
        </row>
      </sheetData>
      <sheetData sheetId="198">
        <row r="8">
          <cell r="B8">
            <v>43731</v>
          </cell>
        </row>
      </sheetData>
      <sheetData sheetId="199">
        <row r="16">
          <cell r="G16">
            <v>0</v>
          </cell>
        </row>
      </sheetData>
      <sheetData sheetId="200">
        <row r="16">
          <cell r="G16">
            <v>0</v>
          </cell>
        </row>
      </sheetData>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ow r="16">
          <cell r="G16">
            <v>0</v>
          </cell>
        </row>
      </sheetData>
      <sheetData sheetId="235">
        <row r="16">
          <cell r="G16">
            <v>0</v>
          </cell>
        </row>
      </sheetData>
      <sheetData sheetId="236">
        <row r="16">
          <cell r="G16">
            <v>0</v>
          </cell>
        </row>
      </sheetData>
      <sheetData sheetId="237">
        <row r="16">
          <cell r="G16">
            <v>0</v>
          </cell>
        </row>
      </sheetData>
      <sheetData sheetId="238">
        <row r="16">
          <cell r="G16">
            <v>0</v>
          </cell>
        </row>
      </sheetData>
      <sheetData sheetId="239">
        <row r="16">
          <cell r="G16">
            <v>0</v>
          </cell>
        </row>
      </sheetData>
      <sheetData sheetId="240">
        <row r="16">
          <cell r="G16">
            <v>0</v>
          </cell>
        </row>
      </sheetData>
      <sheetData sheetId="241">
        <row r="16">
          <cell r="G16">
            <v>0</v>
          </cell>
        </row>
      </sheetData>
      <sheetData sheetId="242">
        <row r="16">
          <cell r="G16">
            <v>0</v>
          </cell>
        </row>
      </sheetData>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ow r="16">
          <cell r="G16">
            <v>0</v>
          </cell>
        </row>
      </sheetData>
      <sheetData sheetId="261">
        <row r="16">
          <cell r="G16">
            <v>0</v>
          </cell>
        </row>
      </sheetData>
      <sheetData sheetId="262">
        <row r="16">
          <cell r="G16">
            <v>0</v>
          </cell>
        </row>
      </sheetData>
      <sheetData sheetId="263">
        <row r="16">
          <cell r="G16">
            <v>0</v>
          </cell>
        </row>
      </sheetData>
      <sheetData sheetId="264">
        <row r="16">
          <cell r="G16">
            <v>0</v>
          </cell>
        </row>
      </sheetData>
      <sheetData sheetId="265">
        <row r="16">
          <cell r="G16">
            <v>0</v>
          </cell>
        </row>
      </sheetData>
      <sheetData sheetId="266">
        <row r="16">
          <cell r="G16">
            <v>0</v>
          </cell>
        </row>
      </sheetData>
      <sheetData sheetId="267">
        <row r="16">
          <cell r="G16">
            <v>0</v>
          </cell>
        </row>
      </sheetData>
      <sheetData sheetId="268">
        <row r="16">
          <cell r="G16">
            <v>0</v>
          </cell>
        </row>
      </sheetData>
      <sheetData sheetId="269">
        <row r="16">
          <cell r="G16">
            <v>0</v>
          </cell>
        </row>
      </sheetData>
      <sheetData sheetId="270">
        <row r="16">
          <cell r="G16">
            <v>0</v>
          </cell>
        </row>
      </sheetData>
      <sheetData sheetId="271">
        <row r="16">
          <cell r="G16">
            <v>0</v>
          </cell>
        </row>
      </sheetData>
      <sheetData sheetId="272">
        <row r="16">
          <cell r="G16">
            <v>0</v>
          </cell>
        </row>
      </sheetData>
      <sheetData sheetId="273">
        <row r="16">
          <cell r="G16">
            <v>0</v>
          </cell>
        </row>
      </sheetData>
      <sheetData sheetId="274">
        <row r="16">
          <cell r="G16">
            <v>0</v>
          </cell>
        </row>
      </sheetData>
      <sheetData sheetId="275">
        <row r="16">
          <cell r="G16">
            <v>0</v>
          </cell>
        </row>
      </sheetData>
      <sheetData sheetId="276">
        <row r="16">
          <cell r="G16">
            <v>0</v>
          </cell>
        </row>
      </sheetData>
      <sheetData sheetId="277">
        <row r="16">
          <cell r="G16">
            <v>0</v>
          </cell>
        </row>
      </sheetData>
      <sheetData sheetId="278">
        <row r="16">
          <cell r="G16">
            <v>0</v>
          </cell>
        </row>
      </sheetData>
      <sheetData sheetId="279">
        <row r="16">
          <cell r="G16">
            <v>0</v>
          </cell>
        </row>
      </sheetData>
      <sheetData sheetId="280">
        <row r="16">
          <cell r="G16">
            <v>0</v>
          </cell>
        </row>
      </sheetData>
      <sheetData sheetId="281"/>
      <sheetData sheetId="282">
        <row r="16">
          <cell r="G16">
            <v>0</v>
          </cell>
        </row>
      </sheetData>
      <sheetData sheetId="283">
        <row r="16">
          <cell r="G16">
            <v>0</v>
          </cell>
        </row>
      </sheetData>
      <sheetData sheetId="284"/>
      <sheetData sheetId="285">
        <row r="16">
          <cell r="G16">
            <v>0</v>
          </cell>
        </row>
      </sheetData>
      <sheetData sheetId="286"/>
      <sheetData sheetId="287"/>
      <sheetData sheetId="288">
        <row r="16">
          <cell r="G16">
            <v>0</v>
          </cell>
        </row>
      </sheetData>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6">
          <cell r="G16">
            <v>0</v>
          </cell>
        </row>
      </sheetData>
      <sheetData sheetId="308">
        <row r="16">
          <cell r="G16">
            <v>0</v>
          </cell>
        </row>
      </sheetData>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ow r="16">
          <cell r="G16">
            <v>0</v>
          </cell>
        </row>
      </sheetData>
      <sheetData sheetId="352"/>
      <sheetData sheetId="353">
        <row r="16">
          <cell r="G16">
            <v>0</v>
          </cell>
        </row>
      </sheetData>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ow r="16">
          <cell r="G16">
            <v>0</v>
          </cell>
        </row>
      </sheetData>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sheetData sheetId="381" refreshError="1"/>
      <sheetData sheetId="382" refreshError="1"/>
      <sheetData sheetId="383" refreshError="1"/>
      <sheetData sheetId="384">
        <row r="16">
          <cell r="G16">
            <v>0</v>
          </cell>
        </row>
      </sheetData>
      <sheetData sheetId="385">
        <row r="16">
          <cell r="G16">
            <v>0</v>
          </cell>
        </row>
      </sheetData>
      <sheetData sheetId="386">
        <row r="16">
          <cell r="G16">
            <v>0</v>
          </cell>
        </row>
      </sheetData>
      <sheetData sheetId="387">
        <row r="16">
          <cell r="G16">
            <v>0</v>
          </cell>
        </row>
      </sheetData>
      <sheetData sheetId="388"/>
      <sheetData sheetId="389">
        <row r="16">
          <cell r="G16">
            <v>0</v>
          </cell>
        </row>
      </sheetData>
      <sheetData sheetId="390">
        <row r="16">
          <cell r="G16">
            <v>0</v>
          </cell>
        </row>
      </sheetData>
      <sheetData sheetId="391">
        <row r="16">
          <cell r="G16">
            <v>0</v>
          </cell>
        </row>
      </sheetData>
      <sheetData sheetId="392">
        <row r="16">
          <cell r="G16">
            <v>0</v>
          </cell>
        </row>
      </sheetData>
      <sheetData sheetId="393">
        <row r="16">
          <cell r="G16">
            <v>0</v>
          </cell>
        </row>
      </sheetData>
      <sheetData sheetId="394">
        <row r="16">
          <cell r="G16">
            <v>0</v>
          </cell>
        </row>
      </sheetData>
      <sheetData sheetId="395" refreshError="1"/>
      <sheetData sheetId="396" refreshError="1"/>
      <sheetData sheetId="397" refreshError="1"/>
      <sheetData sheetId="398" refreshError="1"/>
      <sheetData sheetId="399">
        <row r="16">
          <cell r="G16">
            <v>0</v>
          </cell>
        </row>
      </sheetData>
      <sheetData sheetId="400">
        <row r="16">
          <cell r="G16">
            <v>0</v>
          </cell>
        </row>
      </sheetData>
      <sheetData sheetId="401">
        <row r="16">
          <cell r="G16">
            <v>0</v>
          </cell>
        </row>
      </sheetData>
      <sheetData sheetId="402">
        <row r="16">
          <cell r="G16">
            <v>0</v>
          </cell>
        </row>
      </sheetData>
      <sheetData sheetId="403">
        <row r="16">
          <cell r="G16">
            <v>0</v>
          </cell>
        </row>
      </sheetData>
      <sheetData sheetId="404">
        <row r="16">
          <cell r="G16">
            <v>0</v>
          </cell>
        </row>
      </sheetData>
      <sheetData sheetId="405">
        <row r="16">
          <cell r="G16">
            <v>0</v>
          </cell>
        </row>
      </sheetData>
      <sheetData sheetId="406">
        <row r="16">
          <cell r="G16">
            <v>0</v>
          </cell>
        </row>
      </sheetData>
      <sheetData sheetId="407">
        <row r="16">
          <cell r="G16">
            <v>0</v>
          </cell>
        </row>
      </sheetData>
      <sheetData sheetId="408">
        <row r="16">
          <cell r="G16">
            <v>0</v>
          </cell>
        </row>
      </sheetData>
      <sheetData sheetId="409">
        <row r="16">
          <cell r="G16">
            <v>0</v>
          </cell>
        </row>
      </sheetData>
      <sheetData sheetId="410">
        <row r="16">
          <cell r="G16">
            <v>0</v>
          </cell>
        </row>
      </sheetData>
      <sheetData sheetId="411">
        <row r="16">
          <cell r="G16">
            <v>0</v>
          </cell>
        </row>
      </sheetData>
      <sheetData sheetId="412">
        <row r="16">
          <cell r="G16">
            <v>0</v>
          </cell>
        </row>
      </sheetData>
      <sheetData sheetId="413">
        <row r="16">
          <cell r="G16">
            <v>0</v>
          </cell>
        </row>
      </sheetData>
      <sheetData sheetId="414">
        <row r="16">
          <cell r="G16">
            <v>0</v>
          </cell>
        </row>
      </sheetData>
      <sheetData sheetId="415">
        <row r="16">
          <cell r="G16">
            <v>0</v>
          </cell>
        </row>
      </sheetData>
      <sheetData sheetId="416">
        <row r="16">
          <cell r="G16">
            <v>0</v>
          </cell>
        </row>
      </sheetData>
      <sheetData sheetId="417">
        <row r="16">
          <cell r="G16">
            <v>0</v>
          </cell>
        </row>
      </sheetData>
      <sheetData sheetId="418">
        <row r="16">
          <cell r="G16">
            <v>0</v>
          </cell>
        </row>
      </sheetData>
      <sheetData sheetId="419">
        <row r="16">
          <cell r="G16">
            <v>0</v>
          </cell>
        </row>
      </sheetData>
      <sheetData sheetId="420">
        <row r="16">
          <cell r="G16">
            <v>1</v>
          </cell>
        </row>
      </sheetData>
      <sheetData sheetId="421">
        <row r="16">
          <cell r="G16">
            <v>0</v>
          </cell>
        </row>
      </sheetData>
      <sheetData sheetId="422">
        <row r="16">
          <cell r="G16">
            <v>0</v>
          </cell>
        </row>
      </sheetData>
      <sheetData sheetId="423">
        <row r="16">
          <cell r="G16">
            <v>0</v>
          </cell>
        </row>
      </sheetData>
      <sheetData sheetId="424">
        <row r="16">
          <cell r="G16">
            <v>0</v>
          </cell>
        </row>
      </sheetData>
      <sheetData sheetId="425">
        <row r="16">
          <cell r="G16">
            <v>0</v>
          </cell>
        </row>
      </sheetData>
      <sheetData sheetId="426">
        <row r="16">
          <cell r="G16">
            <v>0</v>
          </cell>
        </row>
      </sheetData>
      <sheetData sheetId="427">
        <row r="16">
          <cell r="G16">
            <v>0</v>
          </cell>
        </row>
      </sheetData>
      <sheetData sheetId="428">
        <row r="16">
          <cell r="G16">
            <v>0</v>
          </cell>
        </row>
      </sheetData>
      <sheetData sheetId="429">
        <row r="16">
          <cell r="G16">
            <v>0</v>
          </cell>
        </row>
      </sheetData>
      <sheetData sheetId="430">
        <row r="16">
          <cell r="G16">
            <v>0</v>
          </cell>
        </row>
      </sheetData>
      <sheetData sheetId="431">
        <row r="16">
          <cell r="G16">
            <v>0</v>
          </cell>
        </row>
      </sheetData>
      <sheetData sheetId="432">
        <row r="16">
          <cell r="G16">
            <v>0</v>
          </cell>
        </row>
      </sheetData>
      <sheetData sheetId="433">
        <row r="16">
          <cell r="G16">
            <v>0</v>
          </cell>
        </row>
      </sheetData>
      <sheetData sheetId="434">
        <row r="16">
          <cell r="G16">
            <v>0</v>
          </cell>
        </row>
      </sheetData>
      <sheetData sheetId="435">
        <row r="16">
          <cell r="G16">
            <v>0</v>
          </cell>
        </row>
      </sheetData>
      <sheetData sheetId="436">
        <row r="16">
          <cell r="G16">
            <v>0</v>
          </cell>
        </row>
      </sheetData>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sheetData sheetId="461" refreshError="1"/>
      <sheetData sheetId="462" refreshError="1"/>
      <sheetData sheetId="463" refreshError="1"/>
      <sheetData sheetId="464"/>
      <sheetData sheetId="465">
        <row r="16">
          <cell r="G16">
            <v>0</v>
          </cell>
        </row>
      </sheetData>
      <sheetData sheetId="466"/>
      <sheetData sheetId="467"/>
      <sheetData sheetId="468"/>
      <sheetData sheetId="469"/>
      <sheetData sheetId="470"/>
      <sheetData sheetId="471"/>
      <sheetData sheetId="472"/>
      <sheetData sheetId="473"/>
      <sheetData sheetId="474" refreshError="1"/>
      <sheetData sheetId="475">
        <row r="16">
          <cell r="G16">
            <v>0</v>
          </cell>
        </row>
      </sheetData>
      <sheetData sheetId="476">
        <row r="16">
          <cell r="G16">
            <v>0</v>
          </cell>
        </row>
      </sheetData>
      <sheetData sheetId="477">
        <row r="16">
          <cell r="G16">
            <v>0</v>
          </cell>
        </row>
      </sheetData>
      <sheetData sheetId="478">
        <row r="16">
          <cell r="G16">
            <v>0</v>
          </cell>
        </row>
      </sheetData>
      <sheetData sheetId="479">
        <row r="16">
          <cell r="G16">
            <v>0</v>
          </cell>
        </row>
      </sheetData>
      <sheetData sheetId="480">
        <row r="16">
          <cell r="G16">
            <v>0</v>
          </cell>
        </row>
      </sheetData>
      <sheetData sheetId="481">
        <row r="16">
          <cell r="G16">
            <v>0</v>
          </cell>
        </row>
      </sheetData>
      <sheetData sheetId="482">
        <row r="16">
          <cell r="G16">
            <v>0</v>
          </cell>
        </row>
      </sheetData>
      <sheetData sheetId="483">
        <row r="16">
          <cell r="G16">
            <v>0</v>
          </cell>
        </row>
      </sheetData>
      <sheetData sheetId="484">
        <row r="16">
          <cell r="G16">
            <v>0</v>
          </cell>
        </row>
      </sheetData>
      <sheetData sheetId="485">
        <row r="16">
          <cell r="G16">
            <v>0</v>
          </cell>
        </row>
      </sheetData>
      <sheetData sheetId="486">
        <row r="16">
          <cell r="G16">
            <v>0</v>
          </cell>
        </row>
      </sheetData>
      <sheetData sheetId="487">
        <row r="16">
          <cell r="G16">
            <v>0</v>
          </cell>
        </row>
      </sheetData>
      <sheetData sheetId="488">
        <row r="16">
          <cell r="G16">
            <v>0</v>
          </cell>
        </row>
      </sheetData>
      <sheetData sheetId="489">
        <row r="16">
          <cell r="G16">
            <v>0</v>
          </cell>
        </row>
      </sheetData>
      <sheetData sheetId="490">
        <row r="16">
          <cell r="G16">
            <v>0</v>
          </cell>
        </row>
      </sheetData>
      <sheetData sheetId="491">
        <row r="16">
          <cell r="G16">
            <v>0</v>
          </cell>
        </row>
      </sheetData>
      <sheetData sheetId="492">
        <row r="16">
          <cell r="G16">
            <v>0</v>
          </cell>
        </row>
      </sheetData>
      <sheetData sheetId="493">
        <row r="16">
          <cell r="G16">
            <v>0</v>
          </cell>
        </row>
      </sheetData>
      <sheetData sheetId="494">
        <row r="16">
          <cell r="G16">
            <v>0</v>
          </cell>
        </row>
      </sheetData>
      <sheetData sheetId="495">
        <row r="16">
          <cell r="G16">
            <v>0</v>
          </cell>
        </row>
      </sheetData>
      <sheetData sheetId="496">
        <row r="16">
          <cell r="G16">
            <v>0</v>
          </cell>
        </row>
      </sheetData>
      <sheetData sheetId="497">
        <row r="16">
          <cell r="G16">
            <v>0</v>
          </cell>
        </row>
      </sheetData>
      <sheetData sheetId="498">
        <row r="16">
          <cell r="G16">
            <v>0</v>
          </cell>
        </row>
      </sheetData>
      <sheetData sheetId="499">
        <row r="16">
          <cell r="G16">
            <v>0</v>
          </cell>
        </row>
      </sheetData>
      <sheetData sheetId="500">
        <row r="16">
          <cell r="G16">
            <v>0</v>
          </cell>
        </row>
      </sheetData>
      <sheetData sheetId="501" refreshError="1"/>
      <sheetData sheetId="502">
        <row r="16">
          <cell r="G16">
            <v>0</v>
          </cell>
        </row>
      </sheetData>
      <sheetData sheetId="503"/>
      <sheetData sheetId="504"/>
      <sheetData sheetId="505">
        <row r="16">
          <cell r="G16">
            <v>0</v>
          </cell>
        </row>
      </sheetData>
      <sheetData sheetId="506">
        <row r="16">
          <cell r="G16">
            <v>0</v>
          </cell>
        </row>
      </sheetData>
      <sheetData sheetId="507">
        <row r="16">
          <cell r="G16">
            <v>0</v>
          </cell>
        </row>
      </sheetData>
      <sheetData sheetId="508">
        <row r="16">
          <cell r="G16">
            <v>0</v>
          </cell>
        </row>
      </sheetData>
      <sheetData sheetId="509">
        <row r="16">
          <cell r="G16">
            <v>0</v>
          </cell>
        </row>
      </sheetData>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sheetData sheetId="525"/>
      <sheetData sheetId="526"/>
      <sheetData sheetId="527"/>
      <sheetData sheetId="528"/>
      <sheetData sheetId="529">
        <row r="16">
          <cell r="G16">
            <v>0</v>
          </cell>
        </row>
      </sheetData>
      <sheetData sheetId="530"/>
      <sheetData sheetId="531"/>
      <sheetData sheetId="532"/>
      <sheetData sheetId="533">
        <row r="16">
          <cell r="G16">
            <v>0</v>
          </cell>
        </row>
      </sheetData>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row r="16">
          <cell r="G16">
            <v>0</v>
          </cell>
        </row>
      </sheetData>
      <sheetData sheetId="548"/>
      <sheetData sheetId="549"/>
      <sheetData sheetId="550"/>
      <sheetData sheetId="551"/>
      <sheetData sheetId="552"/>
      <sheetData sheetId="553"/>
      <sheetData sheetId="554"/>
      <sheetData sheetId="555">
        <row r="16">
          <cell r="G16">
            <v>0</v>
          </cell>
        </row>
      </sheetData>
      <sheetData sheetId="556"/>
      <sheetData sheetId="557">
        <row r="16">
          <cell r="G16">
            <v>0</v>
          </cell>
        </row>
      </sheetData>
      <sheetData sheetId="558">
        <row r="16">
          <cell r="G16">
            <v>0</v>
          </cell>
        </row>
      </sheetData>
      <sheetData sheetId="559">
        <row r="16">
          <cell r="G16">
            <v>0</v>
          </cell>
        </row>
      </sheetData>
      <sheetData sheetId="560">
        <row r="16">
          <cell r="G16">
            <v>0</v>
          </cell>
        </row>
      </sheetData>
      <sheetData sheetId="561">
        <row r="16">
          <cell r="G16">
            <v>0</v>
          </cell>
        </row>
      </sheetData>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row r="16">
          <cell r="G16">
            <v>0</v>
          </cell>
        </row>
      </sheetData>
      <sheetData sheetId="594"/>
      <sheetData sheetId="595">
        <row r="16">
          <cell r="G16">
            <v>0</v>
          </cell>
        </row>
      </sheetData>
      <sheetData sheetId="596">
        <row r="16">
          <cell r="G16">
            <v>0</v>
          </cell>
        </row>
      </sheetData>
      <sheetData sheetId="597"/>
      <sheetData sheetId="598"/>
      <sheetData sheetId="599"/>
      <sheetData sheetId="600"/>
      <sheetData sheetId="601"/>
      <sheetData sheetId="602"/>
      <sheetData sheetId="603"/>
      <sheetData sheetId="604"/>
      <sheetData sheetId="605"/>
      <sheetData sheetId="606"/>
      <sheetData sheetId="607"/>
      <sheetData sheetId="608">
        <row r="16">
          <cell r="G16">
            <v>0</v>
          </cell>
        </row>
      </sheetData>
      <sheetData sheetId="609"/>
      <sheetData sheetId="610"/>
      <sheetData sheetId="611"/>
      <sheetData sheetId="612"/>
      <sheetData sheetId="613"/>
      <sheetData sheetId="614">
        <row r="16">
          <cell r="G16">
            <v>0</v>
          </cell>
        </row>
      </sheetData>
      <sheetData sheetId="615" refreshError="1"/>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sheetData sheetId="627">
        <row r="16">
          <cell r="G16">
            <v>1</v>
          </cell>
        </row>
      </sheetData>
      <sheetData sheetId="628"/>
      <sheetData sheetId="629"/>
      <sheetData sheetId="630"/>
      <sheetData sheetId="631"/>
      <sheetData sheetId="632"/>
      <sheetData sheetId="633"/>
      <sheetData sheetId="634"/>
      <sheetData sheetId="635"/>
      <sheetData sheetId="636"/>
      <sheetData sheetId="637"/>
      <sheetData sheetId="638" refreshError="1"/>
      <sheetData sheetId="639" refreshError="1"/>
      <sheetData sheetId="640" refreshError="1"/>
      <sheetData sheetId="641" refreshError="1"/>
      <sheetData sheetId="642" refreshError="1"/>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row r="16">
          <cell r="G16">
            <v>0</v>
          </cell>
        </row>
      </sheetData>
      <sheetData sheetId="679"/>
      <sheetData sheetId="680"/>
      <sheetData sheetId="681"/>
      <sheetData sheetId="682"/>
      <sheetData sheetId="683"/>
      <sheetData sheetId="684">
        <row r="16">
          <cell r="G16">
            <v>0</v>
          </cell>
        </row>
      </sheetData>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refreshError="1"/>
      <sheetData sheetId="715"/>
      <sheetData sheetId="716"/>
      <sheetData sheetId="717">
        <row r="16">
          <cell r="G16">
            <v>0</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row r="16">
          <cell r="G16">
            <v>0</v>
          </cell>
        </row>
      </sheetData>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row r="16">
          <cell r="G16">
            <v>0</v>
          </cell>
        </row>
      </sheetData>
      <sheetData sheetId="751"/>
      <sheetData sheetId="752" refreshError="1"/>
      <sheetData sheetId="753" refreshError="1"/>
      <sheetData sheetId="754" refreshError="1"/>
      <sheetData sheetId="755">
        <row r="16">
          <cell r="G16">
            <v>0</v>
          </cell>
        </row>
      </sheetData>
      <sheetData sheetId="756">
        <row r="16">
          <cell r="G16">
            <v>0</v>
          </cell>
        </row>
      </sheetData>
      <sheetData sheetId="757">
        <row r="16">
          <cell r="G16">
            <v>0</v>
          </cell>
        </row>
      </sheetData>
      <sheetData sheetId="758"/>
      <sheetData sheetId="759"/>
      <sheetData sheetId="760"/>
      <sheetData sheetId="761"/>
      <sheetData sheetId="762"/>
      <sheetData sheetId="763"/>
      <sheetData sheetId="764"/>
      <sheetData sheetId="765" refreshError="1"/>
      <sheetData sheetId="766" refreshError="1"/>
      <sheetData sheetId="767" refreshError="1"/>
      <sheetData sheetId="768" refreshError="1"/>
      <sheetData sheetId="769" refreshError="1"/>
      <sheetData sheetId="770"/>
      <sheetData sheetId="771"/>
      <sheetData sheetId="772"/>
      <sheetData sheetId="773"/>
      <sheetData sheetId="774"/>
      <sheetData sheetId="775"/>
      <sheetData sheetId="776" refreshError="1"/>
      <sheetData sheetId="777" refreshError="1"/>
      <sheetData sheetId="778" refreshError="1"/>
      <sheetData sheetId="779" refreshError="1"/>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sheetData sheetId="791">
        <row r="16">
          <cell r="G16">
            <v>0</v>
          </cell>
        </row>
      </sheetData>
      <sheetData sheetId="792"/>
      <sheetData sheetId="793">
        <row r="16">
          <cell r="G16">
            <v>0</v>
          </cell>
        </row>
      </sheetData>
      <sheetData sheetId="794"/>
      <sheetData sheetId="795"/>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sheetData sheetId="805">
        <row r="16">
          <cell r="G16">
            <v>0</v>
          </cell>
        </row>
      </sheetData>
      <sheetData sheetId="806" refreshError="1"/>
      <sheetData sheetId="807" refreshError="1"/>
      <sheetData sheetId="808" refreshError="1"/>
      <sheetData sheetId="809" refreshError="1"/>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row r="16">
          <cell r="G16">
            <v>0</v>
          </cell>
        </row>
      </sheetData>
      <sheetData sheetId="833"/>
      <sheetData sheetId="834">
        <row r="16">
          <cell r="G16">
            <v>0</v>
          </cell>
        </row>
      </sheetData>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row r="8">
          <cell r="B8">
            <v>43731</v>
          </cell>
        </row>
      </sheetData>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refreshError="1"/>
      <sheetData sheetId="885"/>
      <sheetData sheetId="886"/>
      <sheetData sheetId="887"/>
      <sheetData sheetId="888"/>
      <sheetData sheetId="889"/>
      <sheetData sheetId="890"/>
      <sheetData sheetId="891"/>
      <sheetData sheetId="892"/>
      <sheetData sheetId="893"/>
      <sheetData sheetId="894"/>
      <sheetData sheetId="895"/>
      <sheetData sheetId="896"/>
      <sheetData sheetId="897">
        <row r="16">
          <cell r="G16">
            <v>0</v>
          </cell>
        </row>
      </sheetData>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row r="16">
          <cell r="G16">
            <v>0</v>
          </cell>
        </row>
      </sheetData>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refreshError="1"/>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sheetData sheetId="1035"/>
      <sheetData sheetId="1036"/>
      <sheetData sheetId="1037" refreshError="1"/>
      <sheetData sheetId="1038" refreshError="1"/>
      <sheetData sheetId="1039" refreshError="1"/>
      <sheetData sheetId="1040" refreshError="1"/>
      <sheetData sheetId="1041"/>
      <sheetData sheetId="1042"/>
      <sheetData sheetId="1043"/>
      <sheetData sheetId="1044"/>
      <sheetData sheetId="1045" refreshError="1"/>
      <sheetData sheetId="1046" refreshError="1"/>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ow r="16">
          <cell r="G16">
            <v>18750000</v>
          </cell>
        </row>
      </sheetData>
      <sheetData sheetId="1108">
        <row r="16">
          <cell r="G16">
            <v>18750000</v>
          </cell>
        </row>
      </sheetData>
      <sheetData sheetId="1109">
        <row r="8">
          <cell r="B8">
            <v>43731</v>
          </cell>
        </row>
      </sheetData>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refreshError="1"/>
      <sheetData sheetId="1174" refreshError="1"/>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refreshError="1"/>
      <sheetData sheetId="1442" refreshError="1"/>
      <sheetData sheetId="1443" refreshError="1"/>
      <sheetData sheetId="1444" refreshError="1"/>
      <sheetData sheetId="1445" refreshError="1"/>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ow r="16">
          <cell r="G16">
            <v>0</v>
          </cell>
        </row>
      </sheetData>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refreshError="1"/>
      <sheetData sheetId="1630" refreshError="1"/>
      <sheetData sheetId="1631"/>
      <sheetData sheetId="1632"/>
      <sheetData sheetId="1633" refreshError="1"/>
      <sheetData sheetId="1634"/>
      <sheetData sheetId="1635" refreshError="1"/>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refreshError="1"/>
      <sheetData sheetId="1716"/>
      <sheetData sheetId="1717" refreshError="1"/>
      <sheetData sheetId="1718" refreshError="1"/>
      <sheetData sheetId="1719" refreshError="1"/>
      <sheetData sheetId="1720" refreshError="1"/>
      <sheetData sheetId="1721"/>
      <sheetData sheetId="1722"/>
      <sheetData sheetId="172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REF"/>
      <sheetName val="000000"/>
      <sheetName val="XXXXXX"/>
      <sheetName val="KUWATI(Total) "/>
      <sheetName val="GC-01"/>
      <sheetName val="GC-02"/>
      <sheetName val="GC-03"/>
      <sheetName val="GC-04"/>
      <sheetName val="GC-07"/>
      <sheetName val="GC-08"/>
      <sheetName val="GC-09"/>
      <sheetName val="GC-10"/>
      <sheetName val="GC-19"/>
      <sheetName val="GC-21"/>
      <sheetName val="GC-22"/>
      <sheetName val="집계표(OPTION)"/>
      <sheetName val="OPTION 2"/>
      <sheetName val="OPTION 3"/>
      <sheetName val="Sheet2"/>
      <sheetName val="Sheet3"/>
      <sheetName val="견적조건"/>
      <sheetName val="대비표"/>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_REF"/>
      <sheetName val="집계표_OPTION_"/>
      <sheetName val="당초"/>
      <sheetName val="단가(자재)"/>
      <sheetName val="단가(노임)"/>
      <sheetName val="기초목록"/>
      <sheetName val="노임단가"/>
      <sheetName val="???"/>
      <sheetName val="예산"/>
      <sheetName val="KP1590_E"/>
      <sheetName val="VC2 10.99"/>
      <sheetName val="Sheet1"/>
      <sheetName val="inter"/>
      <sheetName val="BQMPALOC"/>
      <sheetName val="영업2"/>
      <sheetName val="1월"/>
      <sheetName val="영업3"/>
      <sheetName val="공문"/>
      <sheetName val="ERECIN"/>
      <sheetName val="INPUT DATA"/>
      <sheetName val="금액내역서"/>
      <sheetName val="??"/>
      <sheetName val="연돌일위집계"/>
      <sheetName val="집계표 (25,26ဩ"/>
      <sheetName val="BQ_Utl_Off"/>
      <sheetName val="갑지"/>
      <sheetName val="세금자료"/>
      <sheetName val="수입"/>
      <sheetName val="Form 0"/>
      <sheetName val="COVER"/>
      <sheetName val="BD集計用"/>
      <sheetName val="»ê±Ù"/>
      <sheetName val="12CGOU"/>
      <sheetName val="경영혁신본부"/>
      <sheetName val="95삼성급(본사)"/>
      <sheetName val="___"/>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입출재고현황 (2)"/>
      <sheetName val="뜃맟뭁돽띿맟?-BLDG"/>
      <sheetName val="DESCRIPTION"/>
      <sheetName val="Final(1)summary"/>
      <sheetName val="Form D-1"/>
      <sheetName val="Form B-1"/>
      <sheetName val="Form F-1"/>
      <sheetName val="Assist(B-1)"/>
      <sheetName val="Form A"/>
      <sheetName val="SANDAN"/>
      <sheetName val="General Data"/>
      <sheetName val="__"/>
      <sheetName val="LABOR &amp; 자재"/>
      <sheetName val="제작도"/>
      <sheetName val="ESCON"/>
      <sheetName val="뜃맟뭁돽띿맟_-BLDG"/>
      <sheetName val="SALA-002"/>
      <sheetName val="DHEQSUPT"/>
      <sheetName val="M-EQPT-Z"/>
      <sheetName val="DRUM"/>
      <sheetName val="eq_data"/>
      <sheetName val="TTL"/>
      <sheetName val="기성내역"/>
      <sheetName val="POWER"/>
      <sheetName val="주간기성"/>
      <sheetName val="CB"/>
      <sheetName val="간접비 총괄"/>
      <sheetName val="???(OPTION)"/>
      <sheetName val="B"/>
      <sheetName val="INPUT_DATA"/>
      <sheetName val="General_Data"/>
      <sheetName val="집계표_(25,26ဩ"/>
      <sheetName val="Form_0"/>
      <sheetName val="Price Schedule"/>
      <sheetName val="간접비내역-1"/>
      <sheetName val="Lup2"/>
      <sheetName val="h-013211-2"/>
      <sheetName val="3.공통공사대비"/>
      <sheetName val="IN"/>
      <sheetName val="내역서 耰&quot;_x0000__x0000_"/>
      <sheetName val="_x0008_"/>
      <sheetName val="비교검토"/>
      <sheetName val="내역ࠜĀ_x0000_M4)"/>
      <sheetName val="노임단가표"/>
      <sheetName val="BOROUGE2"/>
      <sheetName val="당진1,2호기전선관설치및접지4차공사내역서-을지"/>
      <sheetName val="????¢ç¢®¡¿????"/>
      <sheetName val="??????????¢ç??????"/>
      <sheetName val="???¡§????"/>
      <sheetName val="???????¢ç¢®¢¯????"/>
      <sheetName val="合成単価作成表-BLDG"/>
      <sheetName val="Rate Analysis"/>
      <sheetName val="INSTR"/>
      <sheetName val="PRICES"/>
      <sheetName val="Q&amp;pl-V"/>
      <sheetName val="???????®¡¿????"/>
      <sheetName val="??????????????????"/>
      <sheetName val="내역서 耰&quot;??"/>
      <sheetName val="24V"/>
      <sheetName val="EQUIPMENT -2"/>
      <sheetName val="CAL."/>
      <sheetName val="EQT-ESTN"/>
      <sheetName val="CTEMCOST"/>
      <sheetName val="F4-F7"/>
      <sheetName val="표지"/>
      <sheetName val="EQUIP"/>
      <sheetName val="WE'T"/>
      <sheetName val="LEGEND"/>
      <sheetName val="내역ࠜĀ_x005f_x0000_M4)"/>
      <sheetName val="찍기"/>
      <sheetName val="경영혁신본뷀"/>
      <sheetName val="electrical"/>
      <sheetName val="실행"/>
      <sheetName val="Cash2"/>
      <sheetName val="Z"/>
      <sheetName val="물량"/>
      <sheetName val="WEIGHT LIST"/>
      <sheetName val="산#2-1 (2)"/>
      <sheetName val="POL6차-PIPING"/>
      <sheetName val="산#3-1"/>
      <sheetName val="BEND LOSS"/>
      <sheetName val="공사비 내역 (가)"/>
      <sheetName val="3.Breakdown Direct Paint"/>
      <sheetName val="Static Equip"/>
      <sheetName val="CAT_5"/>
      <sheetName val="내역서 耰&quot;_x005f_x0000__x005f_x0000_"/>
      <sheetName val="_x005f_x0008_"/>
      <sheetName val="SOURCE"/>
      <sheetName val="내역"/>
      <sheetName val="단면 (2)"/>
      <sheetName val="Spl"/>
      <sheetName val="내역ࠜĀ"/>
      <sheetName val="PROCURE"/>
      <sheetName val="BID"/>
      <sheetName val="6PILE  (돌출)"/>
      <sheetName val="OPTION_21"/>
      <sheetName val="OPTION_31"/>
      <sheetName val="KUWATI(Total)_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D-1"/>
      <sheetName val="Form_B-1"/>
      <sheetName val="Form_F-1"/>
      <sheetName val="Form_A"/>
      <sheetName val="Form_01"/>
      <sheetName val="입출재고현황_(2)"/>
      <sheetName val="General_Data1"/>
      <sheetName val="LABOR_&amp;_자재"/>
      <sheetName val="간접비_총괄"/>
      <sheetName val="Price_Schedule"/>
      <sheetName val="3_공통공사대비"/>
      <sheetName val="내역서_耰&quot;"/>
      <sheetName val=""/>
      <sheetName val="EQUIPMENT_-2"/>
      <sheetName val="CAL_"/>
      <sheetName val="Rate_Analysis"/>
      <sheetName val="내역서_耰&quot;??"/>
      <sheetName val="jobhist"/>
      <sheetName val="A"/>
      <sheetName val="PBS"/>
      <sheetName val="내역ࠜĀ?M4)"/>
      <sheetName val="Form A "/>
      <sheetName val="국내"/>
      <sheetName val="___(OPTION)"/>
      <sheetName val="내역ࠜĀ_x005f_x005f_x005f_x0000_M4)"/>
      <sheetName val="Data"/>
      <sheetName val="Quantity"/>
      <sheetName val="____¢ç¢®¡¿____"/>
      <sheetName val="__________¢ç______"/>
      <sheetName val="___¡§____"/>
      <sheetName val="_______¢ç¢®¢¯____"/>
      <sheetName val="_______®¡¿____"/>
      <sheetName val="__________________"/>
      <sheetName val="내역서 耰&quot;__"/>
      <sheetName val="Summary Sheets"/>
      <sheetName val="갑지1"/>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INST_DCI"/>
      <sheetName val="HVAC_DCI"/>
      <sheetName val="PIPE_DCI"/>
      <sheetName val="일위대가표"/>
      <sheetName val="조건표"/>
      <sheetName val="일위대가"/>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당초내역서"/>
      <sheetName val="Sheet6"/>
      <sheetName val="갑지(추정)"/>
      <sheetName val="ELEC_DCI"/>
      <sheetName val="Compare"/>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Lstsub"/>
      <sheetName val="Hot"/>
      <sheetName val="cable"/>
      <sheetName val="cable-data"/>
      <sheetName val="7. 월별투입내역서"/>
      <sheetName val="Sheet1 (2)"/>
      <sheetName val="수로보호공"/>
      <sheetName val="입력시트"/>
      <sheetName val="데이타"/>
      <sheetName val="식재인부"/>
      <sheetName val="고압수량(철거)"/>
      <sheetName val="기계내역서"/>
      <sheetName val="2.2 STAFF Scedule"/>
      <sheetName val="내역서 耰&quot;_x005f_x005f_x005f_x0000__x005f_x005f_x0000"/>
      <sheetName val="_x005f_x005f_x005f_x0008_"/>
      <sheetName val="내역ࠜĀ_M4)"/>
      <sheetName val="9906"/>
      <sheetName val="견적"/>
      <sheetName val="계측 내역서"/>
      <sheetName val="내역서_耰&quot;__"/>
      <sheetName val="CIVIL"/>
      <sheetName val="ERECT"/>
      <sheetName val="PROSUM"/>
      <sheetName val="내역ࠜĀ_x005f_x005f_x005f_x005f_x005f_x005f_x005f_x0000_M4"/>
      <sheetName val="내역서 耰&quot;_x005f_x005f_x005f_x005f_x005f_x005f_x005f_x0000_"/>
      <sheetName val="_x005f_x005f_x005f_x005f_x005f_x005f_x005f_x0008_"/>
      <sheetName val="인부신상자료"/>
      <sheetName val="EQUIPOS"/>
      <sheetName val="직재"/>
      <sheetName val="I一般比"/>
      <sheetName val="T 3"/>
      <sheetName val="Z- GENERAL PRICE SUMMARY"/>
      <sheetName val=" Estimate  "/>
      <sheetName val="HORI. VESSEL"/>
      <sheetName val="PI"/>
      <sheetName val="EQUIP LIST"/>
      <sheetName val="SummaryC"/>
      <sheetName val="Detail"/>
      <sheetName val="Sheet4"/>
      <sheetName val="Form B"/>
      <sheetName val="Resumen"/>
      <sheetName val="Precios Unitarios"/>
      <sheetName val="Insts"/>
      <sheetName val="Vind - BtB"/>
      <sheetName val="LV induction motors"/>
      <sheetName val="인원계획"/>
      <sheetName val="BSD (2)"/>
      <sheetName val="BCPAB"/>
      <sheetName val="Administrative Prices"/>
      <sheetName val="Calc"/>
      <sheetName val="WBS 44"/>
      <sheetName val="WBS 41"/>
      <sheetName val="Precios por Administración"/>
      <sheetName val="Subcon A"/>
      <sheetName val="AILC004"/>
      <sheetName val="MP MOB"/>
      <sheetName val="내역서"/>
      <sheetName val="배관내역"/>
      <sheetName val="_x0002__x0000_뻘N_x0000__x0000__x0001_ࠀ역서"/>
      <sheetName val="BM DATA SHEET"/>
      <sheetName val="수주추정"/>
      <sheetName val="입찰품의서"/>
      <sheetName val="Q-7100-001"/>
      <sheetName val="BATCH"/>
      <sheetName val="All_2"/>
      <sheetName val="내역ࠜĀ_x005f_x005f_x005f_x005f_x005f_x005f_x005f_x005f_x0"/>
      <sheetName val="내역서 耰&quot;_x005f_x005f_x005f_x005f_x005f_x005f_x005f_x005f_"/>
      <sheetName val="_x005f_x005f_x005f_x005f_x005f_x005f_x005f_x005f_x005f_x005f_"/>
      <sheetName val="집계표"/>
      <sheetName val="변경집계표"/>
      <sheetName val="Monthly Load"/>
      <sheetName val="Weekly Load"/>
      <sheetName val="총괄표"/>
      <sheetName val="내역ࠜĀM4)"/>
      <sheetName val="내역서 耰&quot;"/>
      <sheetName val="MANP"/>
      <sheetName val="97"/>
      <sheetName val="C"/>
      <sheetName val="Equipment List"/>
      <sheetName val="info"/>
      <sheetName val="TP"/>
      <sheetName val="[SANDAN.XLS??"/>
      <sheetName val="Piping BQ for one turbine"/>
      <sheetName val="Direct"/>
      <sheetName val="FORM-12"/>
      <sheetName val="97 사업추정(WEKI)"/>
      <sheetName val="Material Selections"/>
      <sheetName val="금융"/>
      <sheetName val="DB@Acess"/>
      <sheetName val="sum"/>
      <sheetName val="Summary"/>
      <sheetName val="trf(36%)"/>
      <sheetName val="M_DB"/>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실행집계"/>
      <sheetName val="breakdown of wage rate"/>
      <sheetName val="Indirect Cost"/>
      <sheetName val="Unit"/>
      <sheetName val="Basic_Rate"/>
      <sheetName val="appendix_2_5_final_accounts"/>
      <sheetName val="Format"/>
      <sheetName val="Labour"/>
      <sheetName val="Material"/>
      <sheetName val="Sheet1_(2)"/>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Summary_Sheets"/>
      <sheetName val="Civil_1"/>
      <sheetName val="Civil_2"/>
      <sheetName val="Civil_3"/>
      <sheetName val="Site_1"/>
      <sheetName val="Site_2"/>
      <sheetName val="Site_3"/>
      <sheetName val="Site_Faci"/>
      <sheetName val="DCS"/>
      <sheetName val="FWBS7000,8000"/>
      <sheetName val="ANALYSER"/>
      <sheetName val="Eq. Mobilization"/>
      <sheetName val="출금실적"/>
      <sheetName val="경영현황"/>
      <sheetName val="내역서 (∮ἀ嘆ɶ_x0000_᠀㬁_x0000_"/>
      <sheetName val="당초_xd8b4_∸ἀ"/>
      <sheetName val="수량집계"/>
      <sheetName val="총괄집계표"/>
      <sheetName val="일일총괄"/>
      <sheetName val="criteria"/>
      <sheetName val="RFP002"/>
      <sheetName val="General"/>
      <sheetName val="Menus"/>
      <sheetName val="Cal"/>
      <sheetName val="TDTKP"/>
      <sheetName val="DK-KH"/>
      <sheetName val="_x0004__x0000__x000d__x0000__x0003__x0000__x0004__x0000__x0016__x0000__x000d__x0000__x0004_"/>
      <sheetName val="_x000a__x0000__x001b__x0000__x0006__x0000__x0006__x0000__x0008__x0000__x000a__x0000__x0000_"/>
      <sheetName val="BREAKDOWN(철거설치)"/>
      <sheetName val="BREAKDOWN(신규설치)"/>
      <sheetName val="자바라1"/>
      <sheetName val="Code_Magics"/>
      <sheetName val="Code"/>
      <sheetName val="Curves"/>
      <sheetName val="Note"/>
      <sheetName val="data_dci"/>
      <sheetName val="Heads"/>
      <sheetName val="BASE"/>
      <sheetName val="data_mci"/>
      <sheetName val="BLDG_DCI"/>
      <sheetName val="BLDG_MCI"/>
      <sheetName val="PRO_A"/>
      <sheetName val="Tables"/>
      <sheetName val="Page_2"/>
      <sheetName val="Dbase"/>
      <sheetName val="behind"/>
      <sheetName val="Main"/>
      <sheetName val="costing_CV"/>
      <sheetName val="ITB_COST"/>
      <sheetName val="costing_ESDV"/>
      <sheetName val="costing_FE"/>
      <sheetName val="PROJECT"/>
      <sheetName val="정부노임단가"/>
      <sheetName val="Jobcost"/>
      <sheetName val="Default_Magics"/>
      <sheetName val="BM_DATA_SHEET"/>
      <sheetName val="Graph_(LGEN)"/>
      <sheetName val="PumpSpec"/>
      <sheetName val="costing_MOV"/>
      <sheetName val="PRO"/>
      <sheetName val="out_prog"/>
      <sheetName val="TABLE"/>
      <sheetName val="costing_Press"/>
      <sheetName val="96_121"/>
      <sheetName val="선적schedule_(2)"/>
      <sheetName val="System구분"/>
      <sheetName val="견적기준"/>
      <sheetName val="b_balju-단가단가단가"/>
      <sheetName val="10현장조직"/>
      <sheetName val="할증표"/>
      <sheetName val="choose"/>
      <sheetName val="Resource table"/>
      <sheetName val="Utility and Fire flange"/>
      <sheetName val="_x0002_?뻘N??_x0001_ࠀ역서"/>
      <sheetName val="_SANDAN.XLS__"/>
      <sheetName val="_x0002_"/>
      <sheetName val="BM-Elec"/>
      <sheetName val="BM-Inst"/>
      <sheetName val="원가"/>
      <sheetName val="중기"/>
      <sheetName val="Total"/>
      <sheetName val="Form1.SQP"/>
      <sheetName val="Resource"/>
      <sheetName val="공정계획(내부계획25%,내부w.f)"/>
      <sheetName val="SFN ORIG"/>
      <sheetName val="SFN"/>
      <sheetName val="R2564AHDTS"/>
      <sheetName val="CPS"/>
      <sheetName val="HP-Steamdrum"/>
      <sheetName val="목표세부명세"/>
      <sheetName val="중기일위대가"/>
      <sheetName val="1350-A"/>
      <sheetName val="COVER-P"/>
      <sheetName val="품셈"/>
      <sheetName val="AG Pipe Qty Analysis"/>
      <sheetName val="Heavy Equipments"/>
      <sheetName val="7422CW00"/>
      <sheetName val="SS2"/>
      <sheetName val="사급자재집계표"/>
      <sheetName val="HVAC(사급자재)"/>
      <sheetName val="U-W"/>
      <sheetName val="결과조달"/>
      <sheetName val="D-623D"/>
      <sheetName val="SCHEDD TAMBAHAN"/>
      <sheetName val="w't table"/>
      <sheetName val="수량산출서"/>
      <sheetName val="Preliminaries"/>
      <sheetName val="piping"/>
      <sheetName val="Mech"/>
      <sheetName val="Fire Protection"/>
      <sheetName val="Buildings"/>
      <sheetName val="Instrument"/>
      <sheetName val="입찰내역 발주처 양식"/>
      <sheetName val="LOB"/>
      <sheetName val="MODULE CONFIRM"/>
      <sheetName val="분전반계산서(석관)"/>
      <sheetName val="이자율"/>
      <sheetName val="내역서 (∮ἀ嘆ɶ"/>
      <sheetName val="ITB COST"/>
      <sheetName val="Dir Manpower Other Exp."/>
      <sheetName val="실행내역"/>
      <sheetName val="4-3LEVEL-5 epic.4"/>
      <sheetName val="단가 (2)"/>
      <sheetName val="mto-rev0B"/>
      <sheetName val="Proposal"/>
      <sheetName val="WIND"/>
      <sheetName val="도"/>
      <sheetName val="부대비율"/>
      <sheetName val="BOQ-B.DOWN"/>
      <sheetName val="실행예산 MM"/>
      <sheetName val="한강운반비"/>
      <sheetName val="상반기손익차2총괄"/>
      <sheetName val="breakdown_of_wage_rate"/>
      <sheetName val="Indirect_Cost"/>
      <sheetName val="생산계획"/>
      <sheetName val="VLOOKUP"/>
      <sheetName val="cal-foamglass"/>
      <sheetName val="연습"/>
      <sheetName val="운반"/>
      <sheetName val="강재"/>
      <sheetName val="OD5000"/>
      <sheetName val="FWBS 1530"/>
      <sheetName val="VIZ4"/>
      <sheetName val="VIZ7"/>
      <sheetName val="UZ"/>
      <sheetName val="K_SURFACES"/>
      <sheetName val="Administrative_Prices"/>
      <sheetName val="WBS_44"/>
      <sheetName val="WBS_41"/>
      <sheetName val="Precios_por_Administración"/>
      <sheetName val="Precios_Unitarios"/>
      <sheetName val="Subcon_A"/>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General_Data3"/>
      <sheetName val="LABOR_&amp;_자재2"/>
      <sheetName val="입출재고현황_(2)2"/>
      <sheetName val="Price_Schedule2"/>
      <sheetName val="간접비_총괄2"/>
      <sheetName val="3_공통공사대비2"/>
      <sheetName val="Rate_Analysis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Man_Hole"/>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Civil_11"/>
      <sheetName val="Civil_21"/>
      <sheetName val="Civil_31"/>
      <sheetName val="Site_11"/>
      <sheetName val="Site_21"/>
      <sheetName val="Site_31"/>
      <sheetName val="Site_Faci1"/>
      <sheetName val="내역서_耰&quot;__2"/>
      <sheetName val="Summary_Sheets1"/>
      <sheetName val="Sheet1_(2)1"/>
      <sheetName val="내역서_耰&quot;_x005f_x005f_x005f_x0000__x005f_x005f_x0000"/>
      <sheetName val="계측_내역서"/>
      <sheetName val="2_2_STAFF_Scedule"/>
      <sheetName val="7__월별투입내역서"/>
      <sheetName val="내역서_耰&quot;_x005f_x005f_x005f_x005f_x005f_x005f_x005f_x0000_"/>
      <sheetName val="Z-_GENERAL_PRICE_SUMMARY"/>
      <sheetName val="_Estimate__"/>
      <sheetName val="T_3"/>
      <sheetName val="HORI__VESSEL"/>
      <sheetName val="내역서_耰&quot;_x005f_x005f_x005f_x005f_x005f_x005f_x005f_x005f_"/>
      <sheetName val="Vind_-_BtB"/>
      <sheetName val="LV_induction_motors"/>
      <sheetName val="BSD_(2)"/>
      <sheetName val="EQUIP_LIST"/>
      <sheetName val="MP_MOB"/>
      <sheetName val="Form_B"/>
      <sheetName val="뻘Nࠀ역서"/>
      <sheetName val="Monthly_Load"/>
      <sheetName val="Weekly_Load"/>
      <sheetName val="Material_Selections"/>
      <sheetName val="97_사업추정(WEKI)"/>
      <sheetName val="내역서_(∮ἀ嘆ɶ᠀㬁"/>
      <sheetName val="[SANDAN_XLS??"/>
      <sheetName val="Piping_BQ_for_one_turbine"/>
      <sheetName val="Eq__Mobilization"/>
      <sheetName val="Utility_and_Fire_flange"/>
      <sheetName val="Heavy_Equipments"/>
      <sheetName val="AG_Pipe_Qty_Analysis"/>
      <sheetName val="Costo-MO"/>
      <sheetName val="CÓDIGOS"/>
      <sheetName val="CHANNEL"/>
      <sheetName val="PROTECTION "/>
      <sheetName val="CIBATU5OO"/>
      <sheetName val="BM_DATA_SHEET1"/>
      <sheetName val="내역서_耰&quot;1"/>
      <sheetName val="_x000a__x000a_"/>
      <sheetName val="Resource_table"/>
      <sheetName val="SFN_ORIG"/>
      <sheetName val="?뻘N??ࠀ역서"/>
      <sheetName val="_SANDAN_XLS__"/>
      <sheetName val="Equipment_List"/>
      <sheetName val="Form1_SQP"/>
      <sheetName val="공정계획(내부계획25%,내부w_f)"/>
      <sheetName val="노임9월"/>
      <sheetName val="SCHEDD_TAMBAHAN"/>
      <sheetName val="Dir_Manpower_Other_Exp_"/>
      <sheetName val="w't_table"/>
      <sheetName val="Fire_Protection"/>
      <sheetName val="입찰내역_발주처_양식"/>
      <sheetName val="SILICATE"/>
      <sheetName val="_x0004_"/>
      <sheetName val="_x000a_"/>
      <sheetName val="INPUT"/>
      <sheetName val="설계명세1-1"/>
      <sheetName val="PROGRESS"/>
      <sheetName val="Cash In-Cash Out Actual"/>
      <sheetName val="MTP"/>
      <sheetName val="Database"/>
      <sheetName val="Labor"/>
      <sheetName val="CUADRO DE PRECIOS"/>
      <sheetName val="ANX3A11"/>
      <sheetName val="5.) Time Delays"/>
      <sheetName val="KP_List"/>
      <sheetName val="Site Findings Status Sheet"/>
      <sheetName val="Checklist-Parameters"/>
      <sheetName val="Fillermetal"/>
      <sheetName val="Updating Form-Oct 2011"/>
      <sheetName val="Weld Consumable"/>
      <sheetName val="WQT"/>
      <sheetName val="NDE Cost-Summary"/>
      <sheetName val="9July Above Ground Pipe"/>
      <sheetName val="Engineering&amp;Management"/>
      <sheetName val="Tools &amp; Settings"/>
      <sheetName val="Data Summary"/>
      <sheetName val="Resources"/>
      <sheetName val="FFA"/>
      <sheetName val="Currencies"/>
      <sheetName val="Crew Costs"/>
      <sheetName val="Spread Costs"/>
      <sheetName val="Unique List_Misc"/>
      <sheetName val="M 11"/>
      <sheetName val="SEX"/>
      <sheetName val="Currency Rate"/>
      <sheetName val="Personnel"/>
      <sheetName val="dc1"/>
      <sheetName val="master"/>
      <sheetName val="MTO"/>
      <sheetName val="Elect_BOM"/>
      <sheetName val="Elect"/>
      <sheetName val="BQ"/>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aa_piping"/>
      <sheetName val="CABLE_DATA"/>
      <sheetName val="CIVIL_UP"/>
      <sheetName val="ETUDE_de_Prix__(2)"/>
      <sheetName val="BAG-2"/>
      <sheetName val="Overall"/>
      <sheetName val="salary"/>
      <sheetName val="Rekapitulasi"/>
      <sheetName val="選單"/>
      <sheetName val="FWBS"/>
      <sheetName val="Process Data 1"/>
      <sheetName val="내역서1999.8최종"/>
      <sheetName val="실행(ALT1)"/>
      <sheetName val="실행철강하도"/>
      <sheetName val="전기"/>
      <sheetName val="REDUCER"/>
      <sheetName val="plan&amp;section of foundation"/>
      <sheetName val="DESIGN CRITERIA"/>
      <sheetName val="working load at the btm ft."/>
      <sheetName val="stability check"/>
      <sheetName val="design load"/>
      <sheetName val="breakdown_of_wage_rate1"/>
      <sheetName val="Indirect_Cost1"/>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FWBS_1530"/>
      <sheetName val="DESIGN"/>
      <sheetName val="배수내역"/>
      <sheetName val="판가반영"/>
      <sheetName val="공사내역"/>
      <sheetName val="견적대비표"/>
      <sheetName val="일위대가(계측기설치)"/>
      <sheetName val="EP0618"/>
      <sheetName val="Unit Price "/>
      <sheetName val="ANALISA"/>
      <sheetName val="PNT"/>
      <sheetName val="D7(1)"/>
      <sheetName val="BOQ"/>
      <sheetName val="5-ALAT(1)"/>
      <sheetName val="4-Basic Price"/>
      <sheetName val="Rekap"/>
      <sheetName val="AHS"/>
      <sheetName val="Evaluasi Penw"/>
      <sheetName val="Man Power &amp; Comp"/>
      <sheetName val="MP-PLAN"/>
      <sheetName val="L-TIGA"/>
      <sheetName val="Data List"/>
      <sheetName val="MP_PLAN"/>
      <sheetName val="10"/>
      <sheetName val="5"/>
      <sheetName val="1"/>
      <sheetName val="Hoja2"/>
      <sheetName val="경제지표"/>
      <sheetName val="1100-1200-1300-1910-2140-LEV 2"/>
      <sheetName val="Material Price"/>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Form_A3"/>
      <sheetName val="입출재고현황_(2)3"/>
      <sheetName val="General_Data4"/>
      <sheetName val="LABOR_&amp;_자재3"/>
      <sheetName val="간접비_총괄3"/>
      <sheetName val="Price_Schedule3"/>
      <sheetName val="3_공통공사대비3"/>
      <sheetName val="Rate_Analysis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Civil_12"/>
      <sheetName val="Civil_22"/>
      <sheetName val="Civil_32"/>
      <sheetName val="Site_12"/>
      <sheetName val="Site_22"/>
      <sheetName val="Site_32"/>
      <sheetName val="Site_Faci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Summary_Sheets2"/>
      <sheetName val="내역서_耰&quot;2"/>
      <sheetName val="Man_Hole1"/>
      <sheetName val="7__월별투입내역서1"/>
      <sheetName val="내역서_耰&quot;_x005f_x005f_x005f_x0000__x005f_x005f_x0001"/>
      <sheetName val="2_2_STAFF_Scedule1"/>
      <sheetName val="계측_내역서1"/>
      <sheetName val="내역서_耰&quot;_x005f_x005f_x005f_x005f_x005f_x005f_x00001"/>
      <sheetName val="Z-_GENERAL_PRICE_SUMMARY1"/>
      <sheetName val="_Estimate__1"/>
      <sheetName val="Sheet1_(2)2"/>
      <sheetName val="T_31"/>
      <sheetName val="Precios_Unitarios1"/>
      <sheetName val="HORI__VESSEL1"/>
      <sheetName val="EQUIP_LIST1"/>
      <sheetName val="MP_MOB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97_사업추정(WEKI)1"/>
      <sheetName val="Monthly_Load1"/>
      <sheetName val="Weekly_Load1"/>
      <sheetName val="[SANDAN_XLS??1"/>
      <sheetName val="Piping_BQ_for_one_turbine1"/>
      <sheetName val="Utility_and_Fire_flange1"/>
      <sheetName val="Material_Selections1"/>
      <sheetName val="Eq__Mobilization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입출재고현황_(2)4"/>
      <sheetName val="General_Data5"/>
      <sheetName val="LABOR_&amp;_자재4"/>
      <sheetName val="간접비_총괄4"/>
      <sheetName val="Price_Schedule4"/>
      <sheetName val="3_공통공사대비4"/>
      <sheetName val="CAL_4"/>
      <sheetName val="Rate_Analysis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Summary_Sheets3"/>
      <sheetName val="Civil_13"/>
      <sheetName val="Civil_23"/>
      <sheetName val="Civil_33"/>
      <sheetName val="Site_13"/>
      <sheetName val="Site_23"/>
      <sheetName val="Site_33"/>
      <sheetName val="Site_Faci3"/>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2_2_STAFF_Scedule2"/>
      <sheetName val="EQUIP_LIST2"/>
      <sheetName val="BM_DATA_SHEET3"/>
      <sheetName val="Man_Hole2"/>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HORI__VESSEL2"/>
      <sheetName val="Precios_Unitarios2"/>
      <sheetName val="Administrative_Prices2"/>
      <sheetName val="WBS_442"/>
      <sheetName val="WBS_412"/>
      <sheetName val="Precios_por_Administración2"/>
      <sheetName val="Subcon_A2"/>
      <sheetName val="내역서_耰&quot;_x005f_x005f_x005f_x005f_x005f_x005f_x005f2"/>
      <sheetName val="MP_MOB2"/>
      <sheetName val="Form_B2"/>
      <sheetName val="내역서_耰&quot;3"/>
      <sheetName val="[SANDAN_XLS??2"/>
      <sheetName val="Piping_BQ_for_one_turbine2"/>
      <sheetName val="Monthly_Load2"/>
      <sheetName val="Weekly_Load2"/>
      <sheetName val="Material_Selections2"/>
      <sheetName val="Utility_and_Fire_flange2"/>
      <sheetName val="_SANDAN_XLS__2"/>
      <sheetName val="97_사업추정(WEKI)2"/>
      <sheetName val="Eq__Mobilization2"/>
      <sheetName val="breakdown_of_wage_rate2"/>
      <sheetName val="Indirect_Cost2"/>
      <sheetName val="Resource_table2"/>
      <sheetName val="첨부1-집행내역(요약)"/>
      <sheetName val="Closeout Control"/>
      <sheetName val="Sum (Case-3)"/>
      <sheetName val="예산-내부"/>
      <sheetName val="경비실"/>
      <sheetName val="CONFIG"/>
      <sheetName val="Datos"/>
      <sheetName val="7422CW_x0013__x0000_"/>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영업소실적"/>
      <sheetName val="PROJECT BRIEF"/>
      <sheetName val="tggwan(mac)"/>
      <sheetName val="Ocean Transporation Charge"/>
      <sheetName val="Codes.Pers"/>
      <sheetName val=" _x0000__x001b__x0000__x0006__x0000__x0006__x0000__x0008__x0000_ _x0000__x0000_"/>
      <sheetName val="할증 "/>
      <sheetName val="_x0002__x0000_뻘N_x0000__x0000__"/>
      <sheetName val="99. FWBS(Ref)"/>
      <sheetName val="99. Change Rate"/>
      <sheetName val="골조시행"/>
      <sheetName val="RAB AR&amp;STR"/>
      <sheetName val="I-KAMAR"/>
      <sheetName val="Library"/>
      <sheetName val="9_1차이내역"/>
      <sheetName val="DB"/>
      <sheetName val="Direct PMS"/>
      <sheetName val="In-House Summary"/>
      <sheetName val="OPT_x0012__x0000__x0010__x0000__x000a__x0000_"/>
      <sheetName val="_x0000__x0013__x0000__x0014_"/>
      <sheetName val="Weekl_x0004__x0000__x0016__x0000__x000d__x0000_"/>
      <sheetName val="_x0000__x000e__x0000__x0005_"/>
      <sheetName val="AUX"/>
      <sheetName val="Aux."/>
      <sheetName val="내역서_(N_x0009__x000e__x000e__x000e__x0009__x0009__x0012__x0010__x000a_"/>
      <sheetName val="ഀࠀကЀЀԀЀԀ̀ᤀഀ؀Ѐༀ"/>
      <sheetName val="SCH"/>
      <sheetName val="_x0004__x0000__x000d__x0000__x0"/>
      <sheetName val="_x000a__x0000__x001b__x0000__x0"/>
      <sheetName val="_x0002__뻘N___x0001_ࠀ역서"/>
      <sheetName val="내역서_耰&quot;_x005f_x0000__x0000"/>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Project Metrics"/>
      <sheetName val="내역서_(N _x000e__x000e__x000e_  _x0012__x0010__x000a_"/>
      <sheetName val="SFN_ORIG1"/>
      <sheetName val="AG_Pipe_Qty_Analysis1"/>
      <sheetName val="Equipment_List1"/>
      <sheetName val="Form1_SQP1"/>
      <sheetName val="공정계획(내부계획25%,내부w_f)1"/>
      <sheetName val="Heavy_Equipments1"/>
      <sheetName val="내역서_(∮ἀ嘆ɶ"/>
      <sheetName val="ITB_COST1"/>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2_2_STAFF_Scedule4"/>
      <sheetName val="EQUIP_LIST4"/>
      <sheetName val="BM_DATA_SHEET5"/>
      <sheetName val="Man_Hole4"/>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HORI__VESSEL4"/>
      <sheetName val="Precios_Unitarios4"/>
      <sheetName val="Administrative_Prices4"/>
      <sheetName val="WBS_444"/>
      <sheetName val="WBS_414"/>
      <sheetName val="Precios_por_Administración4"/>
      <sheetName val="Subcon_A4"/>
      <sheetName val="내역서_耰&quot;_x005f_x005f_x005f_x005f_x005f_x005f_x005f4"/>
      <sheetName val="MP_MOB4"/>
      <sheetName val="Form_B4"/>
      <sheetName val="내역서_耰&quot;5"/>
      <sheetName val="[SANDAN_XLS??4"/>
      <sheetName val="Piping_BQ_for_one_turbine4"/>
      <sheetName val="Monthly_Load4"/>
      <sheetName val="Weekly_Load4"/>
      <sheetName val="Material_Selections4"/>
      <sheetName val="Utility_and_Fire_flange4"/>
      <sheetName val="_SANDAN_XLS__4"/>
      <sheetName val="97_사업추정(WEKI)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Summary_Sheets4"/>
      <sheetName val="Civil_14"/>
      <sheetName val="Civil_24"/>
      <sheetName val="Civil_34"/>
      <sheetName val="Site_14"/>
      <sheetName val="Site_24"/>
      <sheetName val="Site_34"/>
      <sheetName val="Site_Faci4"/>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2_2_STAFF_Scedule3"/>
      <sheetName val="EQUIP_LIST3"/>
      <sheetName val="BM_DATA_SHEET4"/>
      <sheetName val="Man_Hole3"/>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HORI__VESSEL3"/>
      <sheetName val="Precios_Unitarios3"/>
      <sheetName val="Administrative_Prices3"/>
      <sheetName val="WBS_443"/>
      <sheetName val="WBS_413"/>
      <sheetName val="Precios_por_Administración3"/>
      <sheetName val="Subcon_A3"/>
      <sheetName val="내역서_耰&quot;_x005f_x005f_x005f_x005f_x005f_x005f_x005f3"/>
      <sheetName val="MP_MOB3"/>
      <sheetName val="Form_B3"/>
      <sheetName val="내역서_耰&quot;4"/>
      <sheetName val="[SANDAN_XLS??3"/>
      <sheetName val="Piping_BQ_for_one_turbine3"/>
      <sheetName val="Monthly_Load3"/>
      <sheetName val="Weekly_Load3"/>
      <sheetName val="Material_Selections3"/>
      <sheetName val="Utility_and_Fire_flange3"/>
      <sheetName val="_SANDAN_XLS__3"/>
      <sheetName val="97_사업추정(WEKI)3"/>
      <sheetName val="Eq__Mobilization3"/>
      <sheetName val="breakdown_of_wage_rate3"/>
      <sheetName val="Indirect_Cost3"/>
      <sheetName val="Resource_table3"/>
      <sheetName val="HVAC"/>
      <sheetName val="검측서"/>
      <sheetName val="경상"/>
      <sheetName val="UP MINOR"/>
      <sheetName val="노임이"/>
      <sheetName val="Item code"/>
      <sheetName val="업체코드"/>
      <sheetName val="??-BLDG"/>
      <sheetName val="Unt rate"/>
      <sheetName val="시행분석"/>
      <sheetName val="Pengesahan "/>
      <sheetName val="BILL"/>
      <sheetName val="Material code"/>
      <sheetName val="2.Overall Summary "/>
      <sheetName val="예가표"/>
      <sheetName val="pipeline-1"/>
      <sheetName val="BQMP"/>
      <sheetName val="Discounted Cash Flow"/>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F-1"/>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Cash Flow bulanan"/>
      <sheetName val="schalt"/>
      <sheetName val="schtng"/>
      <sheetName val="schbhn"/>
      <sheetName val="H.Satuan"/>
      <sheetName val="I_KAMAR"/>
      <sheetName val="OCT.FDN"/>
      <sheetName val="D-3109"/>
      <sheetName val="00-Summary Information-ABB"/>
      <sheetName val="General Notes"/>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물량표"/>
      <sheetName val="PABS,Site info"/>
      <sheetName val="0. Resource　Code"/>
      <sheetName val="배수공"/>
      <sheetName val="장산"/>
      <sheetName val="PROTECTION_"/>
      <sheetName val="CUADRO_DE_PRECIOS"/>
      <sheetName val="Cash_In-Cash_Out_Actual"/>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  "/>
      <sheetName val=" "/>
      <sheetName val="breakdown of wage ra`f"/>
      <sheetName val="breakdown of wage ra"/>
      <sheetName val="breakdown of wage rað-"/>
      <sheetName val="Bill rekap"/>
      <sheetName val="Harga Satuan"/>
      <sheetName val="LISTRIK"/>
      <sheetName val="F ALARM"/>
      <sheetName val="Exchange Rate"/>
      <sheetName val="내역서1999_8최종"/>
      <sheetName val="plan&amp;section_of_foundation1"/>
      <sheetName val="working_load_at_the_btm_ft_1"/>
      <sheetName val="stability_check1"/>
      <sheetName val="design_load1"/>
      <sheetName val="Updating_Form-Oct_2011"/>
      <sheetName val="Weld_Consumable"/>
      <sheetName val="NDE_Cost-Summary"/>
      <sheetName val="9July_Above_Ground_Pipe"/>
      <sheetName val="M_11"/>
      <sheetName val="Process_Data_1"/>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Closeout_Control"/>
      <sheetName val="PROJECT_BRIEF"/>
      <sheetName val="Unit_Price_"/>
      <sheetName val="Site_Findings_Status_Sheet"/>
      <sheetName val="Direct_PMS"/>
      <sheetName val="Sum_(Case-3)"/>
      <sheetName val="Man_Power_&amp;_Comp"/>
      <sheetName val="Data_List"/>
      <sheetName val="4-Basic_Price"/>
      <sheetName val="Evaluasi_Penw"/>
      <sheetName val="Currency_Rate"/>
      <sheetName val="1100-1200-1300-1910-2140-LEV_2"/>
      <sheetName val="Material_Price"/>
      <sheetName val="7422CW"/>
      <sheetName val="내역서_耰&quot;_x005f_x005f_x005f_x0000_"/>
      <sheetName val="내역서_耰&quot;_x005f_x005f_x005f_x005f_"/>
      <sheetName val="5_)_Time_Delays"/>
      <sheetName val="Tools_&amp;_Settings"/>
      <sheetName val="Data_Summary"/>
      <sheetName val="Crew_Costs"/>
      <sheetName val="Spread_Costs"/>
      <sheetName val="Unique_List_Misc"/>
      <sheetName val="In-House_Summary"/>
      <sheetName val="OPT_x000a_"/>
      <sheetName val="Weekl_x000a_"/>
      <sheetName val="Aux_"/>
      <sheetName val="예산실적전체당월"/>
      <sheetName val="BD"/>
      <sheetName val="design_criteria1"/>
      <sheetName val="Codes_Pers"/>
      <sheetName val="2. 현장 자금투입 집계표"/>
      <sheetName val="_도면 및 도서 제출목록 및 일정_170202.xlsx"/>
      <sheetName val="Raw data"/>
      <sheetName val="도면자료제출일정"/>
      <sheetName val="DROP DOWN"/>
      <sheetName val="Action Item"/>
      <sheetName val="Rating"/>
      <sheetName val="유림골조"/>
      <sheetName val="ID.CD"/>
      <sheetName val="Rates &amp; Legend"/>
      <sheetName val="Chart_Cable"/>
      <sheetName val="Equipment Spec List"/>
      <sheetName val="개시대사 (2)"/>
      <sheetName val="TYPE"/>
      <sheetName val="수량산출"/>
      <sheetName val="CAL1"/>
      <sheetName val="BQ_IMPORT"/>
      <sheetName val="용접품"/>
      <sheetName val="절단품"/>
      <sheetName val="대운산출"/>
      <sheetName val="차트 (2)"/>
      <sheetName val="Header"/>
      <sheetName val="MD"/>
      <sheetName val="EE-PROP"/>
      <sheetName val="DATA MENTAH"/>
      <sheetName val="breakdown of wage rap"/>
      <sheetName val="Pipe-Hot"/>
      <sheetName val="내역ࠜĀ_x005f_x0000_M4"/>
      <sheetName val="내역서 耰&quot;_x005f_x0000_"/>
      <sheetName val="내역ࠜĀ_x005f_x005f_x0"/>
      <sheetName val="내역서 耰&quot;_x005f_x005f_"/>
      <sheetName val="내역서 耰&quot;_x0000__x0000"/>
      <sheetName val="_x005f_x005f_"/>
      <sheetName val="내역서_耰&quot;_x0000__x0000"/>
      <sheetName val="Weekl_x0004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Process Data (2)"/>
      <sheetName val="Process_Data_(2)"/>
      <sheetName val="실행집_x0005_"/>
      <sheetName val="실행집聈"/>
      <sheetName val="Master List"/>
      <sheetName val="SPEC LIST(EQUP, SYS)"/>
      <sheetName val="손익차9월2"/>
      <sheetName val="__x0000__x001b__x0000__x0006__x"/>
      <sheetName val="_뻘N__ࠀ역서"/>
      <sheetName val="_"/>
      <sheetName val="Données"/>
      <sheetName val="DISCIPLINE"/>
      <sheetName val="Sheet5"/>
      <sheetName val="Distribution Table"/>
      <sheetName val="BA1047集約"/>
      <sheetName val="Others"/>
      <sheetName val="OPT_x0012_"/>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_x0000__x0000_6"/>
      <sheetName val="내역서_耰&quot;_x005f_x0000__x0005"/>
      <sheetName val="내역서_耰&quot;_x005f_x005f_x00005"/>
      <sheetName val="내역서_耰&quot;_x005f_x005f_x005f5"/>
      <sheetName val="내역서_耰&quot;_x005f_x0000_"/>
      <sheetName val="내역서_耰&quot;_x005f_x005f_"/>
      <sheetName val="내역ࠜĀ_x0000_M4"/>
      <sheetName val="내역ࠜĀ_x0"/>
      <sheetName val="내역서 耰&quot;_"/>
      <sheetName val="내역서_耰&quot;_x0000__x0001"/>
      <sheetName val="내역서_耰&quot;_x00001"/>
      <sheetName val="내역서_耰&quot;_x005f1"/>
      <sheetName val="내역서_耰&quot;_x0000__x0002"/>
      <sheetName val="내역서_耰&quot;_x00002"/>
      <sheetName val="내역서_耰&quot;_x005f2"/>
      <sheetName val="breakdown of wage ra"/>
      <sheetName val="PWA"/>
      <sheetName val="Analysis"/>
      <sheetName val="EVA-004-MEC"/>
      <sheetName val="Linelist LNGC Process"/>
      <sheetName val="당초?∸ἀ"/>
      <sheetName val="BO䁑-B_䁄OWN"/>
      <sheetName val="UP_MINOR"/>
      <sheetName val="RAB_AR&amp;STR"/>
      <sheetName val="Cash_Flow_bulanan"/>
      <sheetName val="H_Satuan"/>
      <sheetName val="Bill_rekap"/>
      <sheetName val="99__FWBS(Ref)"/>
      <sheetName val="99__Change_Rate"/>
      <sheetName val="Harga_Satuan"/>
      <sheetName val="F_ALARM"/>
      <sheetName val="내역서_耰&quot;_x005f_x0000__x00001"/>
      <sheetName val="할증_"/>
      <sheetName val="내역서_(N____x000a_"/>
      <sheetName val="내역서_(N   _x000a_"/>
      <sheetName val="Discounted_Cash_Flow"/>
      <sheetName val="Ocean_Transporation_Charge"/>
      <sheetName val="차트_(2)"/>
      <sheetName val="Pengesahan_"/>
      <sheetName val="Exchange_Rate"/>
      <sheetName val="뻘N_"/>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Rates_&amp;_Legend"/>
      <sheetName val="OCT_FDN"/>
      <sheetName val="General_Notes"/>
      <sheetName val="2003상반기노임기준"/>
      <sheetName val="2_Overall_Summary_"/>
      <sheetName val="drg"/>
      <sheetName val="BM"/>
      <sheetName val="LEGENDA"/>
      <sheetName val="구분"/>
      <sheetName val="Codes"/>
      <sheetName val="Orçamento"/>
      <sheetName val="TQ Format"/>
      <sheetName val="Attach 4-18"/>
      <sheetName val="HO_Site Rates-2011"/>
      <sheetName val="TJ1Q47"/>
      <sheetName val="Particular Sch"/>
      <sheetName val="Al Taweelah"/>
      <sheetName val="Air Cooler-E"/>
      <sheetName val="USDKRW"/>
      <sheetName val="Inquiry"/>
      <sheetName val="품셈TABLE"/>
      <sheetName val="定额"/>
      <sheetName val="백분율"/>
      <sheetName val="공사비SUM"/>
      <sheetName val="내역(한신APT)"/>
      <sheetName val="내역서_耰&quot;6"/>
      <sheetName val="바닥판_x0000_⽷_x0000_"/>
      <sheetName val="Values"/>
      <sheetName val="GraphData"/>
      <sheetName val="BHANDUP"/>
      <sheetName val="Register"/>
      <sheetName val="INPUT DATA OF SCHEDULE"/>
      <sheetName val="Cashflow Analysis"/>
      <sheetName val="Finansal tamamlanma Eğrisi"/>
      <sheetName val="SIVA"/>
      <sheetName val="breakdown of wage raÐ¾"/>
      <sheetName val="Additional data"/>
      <sheetName val="热力"/>
      <sheetName val="PHSB"/>
      <sheetName val="AN"/>
      <sheetName val="리스크 분류체계"/>
      <sheetName val="CONST"/>
      <sheetName val="#¡REF"/>
      <sheetName val="WIP"/>
      <sheetName val="SUM "/>
      <sheetName val="Multi-currency"/>
      <sheetName val="208"/>
      <sheetName val="내역서_(N _x000e__x000e__x000e_  _x0012__x0010_ "/>
      <sheetName val="기기리스트"/>
      <sheetName val="EQUIPMENT_-_x0000_"/>
      <sheetName val="환율"/>
      <sheetName val="{}"/>
      <sheetName val="11.자재단가"/>
      <sheetName val="공사비집계"/>
      <sheetName val="내역서 ᢐ_x001f__x0000__x0000_"/>
      <sheetName val="33628-Rev. A"/>
      <sheetName val="Admin Manu 2-Equipment Type ID"/>
      <sheetName val="인산"/>
      <sheetName val="Risk"/>
      <sheetName val="손익차총괄2"/>
      <sheetName val=" _x0000__x001b__x0000__x0006__x"/>
      <sheetName val="Weekl_x0004__x0000__x0016__x000"/>
      <sheetName val="내역서_(N_x0009__x000e__x000e__x00"/>
      <sheetName val="내역서_(N _x000e__x000e__x000e_  _"/>
      <sheetName val="__-BLDG"/>
      <sheetName val="내역서_(N _x000e__x000e__x00"/>
      <sheetName val="C1C2"/>
      <sheetName val="LIFE &amp; REP PROVN"/>
      <sheetName val="O&amp;M CREW"/>
      <sheetName val="Pulldown"/>
      <sheetName val="14-Eng rate"/>
      <sheetName val="Grafico"/>
      <sheetName val="C-301E~305E"/>
      <sheetName val="Basis(site)"/>
      <sheetName val="KUWATI(Total)_10"/>
      <sheetName val="집계표_(TOTAL)10"/>
      <sheetName val="집계표_(CIVIL-23)10"/>
      <sheetName val="집계표_(FGRU)10"/>
      <sheetName val="집계표_(25,26)10"/>
      <sheetName val="집계표_(MEROX)10"/>
      <sheetName val="집계표_(NITROGEN)10"/>
      <sheetName val="집계표_(M4)10"/>
      <sheetName val="집계표_(CIVIL4)10"/>
      <sheetName val="집계표_(CIVIL6)10"/>
      <sheetName val="집계표_(CIVIL7)10"/>
      <sheetName val="내역서(DEMO_TOTAL)10"/>
      <sheetName val="내역서_(CIVIL-23)10"/>
      <sheetName val="내역서_(fgru)10"/>
      <sheetName val="내역서_(25&amp;26)10"/>
      <sheetName val="내역서_(MEROX)10"/>
      <sheetName val="내역서_(NITROGEN)10"/>
      <sheetName val="내역서_(M4)10"/>
      <sheetName val="내역서_(CIVIL-4)10"/>
      <sheetName val="내역서_(CIVIL-6)10"/>
      <sheetName val="내역서_(CIVIL-7)10"/>
      <sheetName val="OPTION_210"/>
      <sheetName val="OPTION_310"/>
      <sheetName val="2002년_현장공사비_국내_실적10"/>
      <sheetName val="2003년국내현장공사비_실적10"/>
      <sheetName val="VC2_10_9910"/>
      <sheetName val="INPUT_DATA9"/>
      <sheetName val="General_Data9"/>
      <sheetName val="집계표_(25,26ဩ9"/>
      <sheetName val="Form_09"/>
      <sheetName val="Form_D-18"/>
      <sheetName val="Form_B-18"/>
      <sheetName val="Form_F-18"/>
      <sheetName val="Form_A8"/>
      <sheetName val="LABOR_&amp;_자재8"/>
      <sheetName val="입출재고현황_(2)8"/>
      <sheetName val="3_공통공사대비8"/>
      <sheetName val="간접비_총괄8"/>
      <sheetName val="Price_Schedule8"/>
      <sheetName val="CAL_8"/>
      <sheetName val="Rate_Analysis8"/>
      <sheetName val="WEIGHT_LIST7"/>
      <sheetName val="산#2-1_(2)7"/>
      <sheetName val="BEND_LOSS7"/>
      <sheetName val="공사비_내역_(가)7"/>
      <sheetName val="EQUIPMENT_-28"/>
      <sheetName val="6PILE__(돌출)7"/>
      <sheetName val="내역서_耰&quot;??8"/>
      <sheetName val="Static_Equip7"/>
      <sheetName val="단면_(2)7"/>
      <sheetName val="Form_A_7"/>
      <sheetName val="Man_Hole6"/>
      <sheetName val="3_Breakdown_Direct_Paint7"/>
      <sheetName val="내역서_耰&quot;_x005f_x0000__x005f_x0000_7"/>
      <sheetName val="Áý°èÇ¥_(TOTAL)6"/>
      <sheetName val="Áý°èÇ¥_(CIVIL-23)6"/>
      <sheetName val="Áý°èÇ¥_(FGRU)6"/>
      <sheetName val="Áý°èÇ¥_(25,26)6"/>
      <sheetName val="Áý°èÇ¥_(MEROX)6"/>
      <sheetName val="Áý°èÇ¥_(NITROGEN)6"/>
      <sheetName val="Áý°èÇ¥_(M4)6"/>
      <sheetName val="Áý°èÇ¥_(CIVIL4)6"/>
      <sheetName val="Áý°èÇ¥_(CIVIL6)6"/>
      <sheetName val="Áý°èÇ¥_(CIVIL7)6"/>
      <sheetName val="³»¿ª¼­(DEMO_TOTAL)6"/>
      <sheetName val="³»¿ª¼­_(CIVIL-23)6"/>
      <sheetName val="³»¿ª¼­_(fgru)6"/>
      <sheetName val="³»¿ª¼­_(25&amp;26)6"/>
      <sheetName val="³»¿ª¼­_(MEROX)6"/>
      <sheetName val="³»¿ª¼­_(NITROGEN)6"/>
      <sheetName val="³»¿ª¼­_(M4)6"/>
      <sheetName val="³»¿ª¼­_(CIVIL-4)6"/>
      <sheetName val="³»¿ª¼­_(CIVIL-6)6"/>
      <sheetName val="³»¿ª¼­_(CIVIL-7)6"/>
      <sheetName val="2002³â_ÇöÀå°ø»çºñ_±¹³»_½ÇÀû6"/>
      <sheetName val="2003³â±¹³»ÇöÀå°ø»çºñ_½ÇÀû6"/>
      <sheetName val="내역서_耰&quot;__8"/>
      <sheetName val="Summary_Sheets7"/>
      <sheetName val="Civil_17"/>
      <sheetName val="Civil_27"/>
      <sheetName val="Civil_37"/>
      <sheetName val="Site_17"/>
      <sheetName val="Site_27"/>
      <sheetName val="Site_37"/>
      <sheetName val="Site_Faci7"/>
      <sheetName val="Monthly_Load6"/>
      <sheetName val="Weekly_Load6"/>
      <sheetName val="내역서_耰&quot;_x005f_x005f_x005f_x0000__x005f_x005f_x0006"/>
      <sheetName val="Precios_Unitarios6"/>
      <sheetName val="2_2_STAFF_Scedule6"/>
      <sheetName val="내역서_耰&quot;_x005f_x005f_x005f_x005f_x005f_x005f_x00006"/>
      <sheetName val="Administrative_Prices6"/>
      <sheetName val="WBS_446"/>
      <sheetName val="WBS_416"/>
      <sheetName val="Precios_por_Administración6"/>
      <sheetName val="Subcon_A6"/>
      <sheetName val="내역서_耰&quot;_x005f_x005f_x005f_x005f_x005f_x005f_x005f6"/>
      <sheetName val="Sheet1_(2)7"/>
      <sheetName val="7__월별투입내역서6"/>
      <sheetName val="계측_내역서6"/>
      <sheetName val="Z-_GENERAL_PRICE_SUMMARY6"/>
      <sheetName val="_Estimate__6"/>
      <sheetName val="T_36"/>
      <sheetName val="HORI__VESSEL6"/>
      <sheetName val="EQUIP_LIST6"/>
      <sheetName val="Form_B6"/>
      <sheetName val="Vind_-_BtB6"/>
      <sheetName val="LV_induction_motors6"/>
      <sheetName val="BSD_(2)6"/>
      <sheetName val="MP_MOB6"/>
      <sheetName val="BM_DATA_SHEET7"/>
      <sheetName val="[SANDAN_XLS??6"/>
      <sheetName val="Piping_BQ_for_one_turbine6"/>
      <sheetName val="97_사업추정(WEKI)6"/>
      <sheetName val="breakdown_of_wage_rate6"/>
      <sheetName val="Indirect_Cost6"/>
      <sheetName val="Material_Selections6"/>
      <sheetName val="Eq__Mobilization6"/>
      <sheetName val="SFN_ORIG6"/>
      <sheetName val="Resource_table6"/>
      <sheetName val="AG_Pipe_Qty_Analysis6"/>
      <sheetName val="Utility_and_Fire_flange6"/>
      <sheetName val="Equipment_List6"/>
      <sheetName val="Form1_SQP6"/>
      <sheetName val="공정계획(내부계획25%,내부w_f)6"/>
      <sheetName val="_SANDAN_XLS__6"/>
      <sheetName val="Heavy_Equipments6"/>
      <sheetName val="입찰내역_발주처_양식6"/>
      <sheetName val="BOQ-B_DOWN5"/>
      <sheetName val="w't_table6"/>
      <sheetName val="실행예산_MM5"/>
      <sheetName val="Dir_Manpower_Other_Exp_6"/>
      <sheetName val="SCHEDD_TAMBAHAN6"/>
      <sheetName val="Fire_Protection6"/>
      <sheetName val="단가_(2)5"/>
      <sheetName val="4-3LEVEL-5_epic_45"/>
      <sheetName val="FWBS_15305"/>
      <sheetName val="MODULE_CONFIRM5"/>
      <sheetName val="내역서_(∮ἀ嘆ɶ5"/>
      <sheetName val="ITB_COST6"/>
      <sheetName val="PROTECTION_5"/>
      <sheetName val="Cash_In-Cash_Out_Actual5"/>
      <sheetName val="CUADRO_DE_PRECIOS5"/>
      <sheetName val="Updating_Form-Oct_20111"/>
      <sheetName val="Weld_Consumable1"/>
      <sheetName val="NDE_Cost-Summary1"/>
      <sheetName val="9July_Above_Ground_Pipe1"/>
      <sheetName val="M_111"/>
      <sheetName val="Process_Data_11"/>
      <sheetName val="내역서1999_8최종1"/>
      <sheetName val="plan&amp;section_of_foundation2"/>
      <sheetName val="working_load_at_the_btm_ft_2"/>
      <sheetName val="stability_check2"/>
      <sheetName val="design_load2"/>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Unit_Price_1"/>
      <sheetName val="1100-1200-1300-1910-2140-LEV_21"/>
      <sheetName val="Currency_Rate1"/>
      <sheetName val="4-Basic_Price1"/>
      <sheetName val="Evaluasi_Penw1"/>
      <sheetName val="Man_Power_&amp;_Comp1"/>
      <sheetName val="Data_List1"/>
      <sheetName val="Material_Price1"/>
      <sheetName val="Closeout_Control1"/>
      <sheetName val="Site_Findings_Status_Sheet1"/>
      <sheetName val="Tools_&amp;_Settings1"/>
      <sheetName val="Data_Summary1"/>
      <sheetName val="Crew_Costs1"/>
      <sheetName val="Spread_Costs1"/>
      <sheetName val="Unique_List_Misc1"/>
      <sheetName val="Sum_(Case-3)1"/>
      <sheetName val="In-House_Summary1"/>
      <sheetName val="PROJECT_BRIEF1"/>
      <sheetName val="Direct_PMS1"/>
      <sheetName val="내역서_耰&quot;_x005f_x005f_x005f_x0000_1"/>
      <sheetName val="내역서_耰&quot;_x005f_x005f_x005f_x005f_1"/>
      <sheetName val="5_)_Time_Delays1"/>
      <sheetName val="Aux_1"/>
      <sheetName val="Codes_Pers1"/>
      <sheetName val="00-Summary_Information-ABB"/>
      <sheetName val="PABS,Site_info"/>
      <sheetName val="0__Resource　Code"/>
      <sheetName val="__1"/>
      <sheetName val="_1"/>
      <sheetName val="breakdown_of_wage_ra`f"/>
      <sheetName val="breakdown_of_wage_ra"/>
      <sheetName val="breakdown_of_wage_rað-"/>
      <sheetName val="Material_code"/>
      <sheetName val="__x"/>
      <sheetName val="Precios Unitariԯ_x0000_"/>
      <sheetName val="Sum(table)"/>
      <sheetName val="OIL SEPARATOR"/>
      <sheetName val="CATCH BASIN"/>
      <sheetName val="UG"/>
      <sheetName val="UG2"/>
      <sheetName val="UG3"/>
      <sheetName val="UG4"/>
      <sheetName val="FW Post Indicator Valve 24&quot;"/>
      <sheetName val="FW Post Indicator Valve 20&quot;"/>
      <sheetName val="FW Post Indicator Valve 6&quot;"/>
      <sheetName val="Fire Monitor or Hydrant 6&quot; FDN"/>
      <sheetName val="SUMP VB"/>
      <sheetName val="CLEANOUT 4&quot;"/>
      <sheetName val="Not reqd"/>
      <sheetName val="호환성 보고서"/>
      <sheetName val="내역서 (∮ἀ嘆ɶ?᠀㬁?"/>
      <sheetName val="당초_xd8b4_➴ȭ"/>
      <sheetName val="Tender data"/>
      <sheetName val="E-160"/>
      <sheetName val="CASH"/>
      <sheetName val="내역서_耰&quot;_x005f_x0000__x00002"/>
      <sheetName val="할증_1"/>
      <sheetName val="RAB_AR&amp;STR1"/>
      <sheetName val="99__FWBS(Ref)1"/>
      <sheetName val="99__Change_Rate1"/>
      <sheetName val="SUMMARY_(0A)1"/>
      <sheetName val="SUMMARY_(1A)1"/>
      <sheetName val="SUMMARY_(1B)1"/>
      <sheetName val="SUMMARY_(03)1"/>
      <sheetName val="F1(Cable_Rack)1"/>
      <sheetName val="F2(Cable_Rack)1"/>
      <sheetName val="F3(Cable_Rack)1"/>
      <sheetName val="F1_(POLYMER)1"/>
      <sheetName val="F2_(POLYMER)1"/>
      <sheetName val="F3_(POLYMER)1"/>
      <sheetName val="F4_(POLYMER)1"/>
      <sheetName val="F5(_Polymerization_)1"/>
      <sheetName val="F6_(_Polymerization_)1"/>
      <sheetName val="B1_(Grid_A-7,_-6)1"/>
      <sheetName val="B1_(Grid_A,_B)1"/>
      <sheetName val="B1_(Grid_C-7,_-6)1"/>
      <sheetName val="B2_(Grid_-7_B,_C)_(1)1"/>
      <sheetName val="B2_(Grid_-7_B,_C)_(2)1"/>
      <sheetName val="B2_(Grid_-6_B,_C)_(1)1"/>
      <sheetName val="B2_(Grid_-6_B,_C)_(2)1"/>
      <sheetName val="F1_(MONOMER)1"/>
      <sheetName val="F2_(MONOMER)1"/>
      <sheetName val="F3_(MONOMER)1"/>
      <sheetName val="90K060C_(MONOMER)1"/>
      <sheetName val="F1_(EXTRUSION)1"/>
      <sheetName val="F2_(EXTRUSION)1"/>
      <sheetName val="F3_(EXTRUSION)1"/>
      <sheetName val="F4_(EXTRUSION)1"/>
      <sheetName val="F5_(EXTRUSION)1"/>
      <sheetName val="F6A_(EXTRUSION)1"/>
      <sheetName val="F6D_(EXTRUSION)1"/>
      <sheetName val="F7_(EXTRUSION)1"/>
      <sheetName val="F8_(EXTRUSION)1"/>
      <sheetName val="F9_(EXTRUSION)1"/>
      <sheetName val="F10_(EXTRUSION)1"/>
      <sheetName val="F11_(EXTRUSION)1"/>
      <sheetName val="B1_(Grid_F-5`,_4`)1"/>
      <sheetName val="B2_(Grid_F,E-4`)1"/>
      <sheetName val="B2_(Grid_F,E-5`)1"/>
      <sheetName val="B3_(Grid_C,B-4`)1"/>
      <sheetName val="B4_(Grid_B,A-4`)1"/>
      <sheetName val="B5_(Grid_E-5`)_&amp;_(Grid_D-5`)1"/>
      <sheetName val="B6_(Grid_E,D-5')1"/>
      <sheetName val="B7_(Grid_E,D-5')1"/>
      <sheetName val="95D040,_A5061"/>
      <sheetName val="95P040AB,_A5071"/>
      <sheetName val="95X020-U08,_A6021"/>
      <sheetName val="95X020-U07,_A6061"/>
      <sheetName val="95E040,_A5091"/>
      <sheetName val="95D024;025,_A6151"/>
      <sheetName val="95X020-U05,_A6011"/>
      <sheetName val="95X020-U02,_A2041"/>
      <sheetName val="Extruder_FDN1"/>
      <sheetName val="BOG_COMP__FDN1"/>
      <sheetName val="SOG_COMP__FDN1"/>
      <sheetName val="1G1_(Ground_Beam)1"/>
      <sheetName val="1G2-1(Ground_Beam)1"/>
      <sheetName val="1G2-2(Ground_Beam)1"/>
      <sheetName val="P15,_161"/>
      <sheetName val="LO_CONSOLE_FDN1"/>
      <sheetName val="OIL_COOLER_FDN1"/>
      <sheetName val="CW_CONSOLE_FDN_(SOG)1"/>
      <sheetName val="PD3_(SOG)1"/>
      <sheetName val="SF1_(SOG)1"/>
      <sheetName val="SF2_(SOG)1"/>
      <sheetName val="SLAB_(1S1-1)1"/>
      <sheetName val="SLAB_(1S1-2)1"/>
      <sheetName val="SLAB_(1S1-3)1"/>
      <sheetName val="COLUMN_(+5500)1"/>
      <sheetName val="COLUMN_(+12500)1"/>
      <sheetName val="COLUMN_(+15500)1"/>
      <sheetName val="ETC_1"/>
      <sheetName val="UP_MINOR1"/>
      <sheetName val="Equip_Rental_Summary_by_Contr1"/>
      <sheetName val="Project_Equip_Rental_Summary1"/>
      <sheetName val="Contractor_Indirect_Sumry1"/>
      <sheetName val="Project_Indirect_Sumry1"/>
      <sheetName val="COA_Sumry_by_Area1"/>
      <sheetName val="COA_Sumry_by_Contr1"/>
      <sheetName val="COA_Sumry_by_RG1"/>
      <sheetName val="TDC_COA_Grp_Sumry1"/>
      <sheetName val="TDC_COA_Grp_Sumry_by_Area1"/>
      <sheetName val="TDC_COA_Grp_Sumry_by_RG1"/>
      <sheetName val="Equipment_Sumry1"/>
      <sheetName val="TDC_Item_Dets-Full1"/>
      <sheetName val="TDC_Item_Dets-IPM-Full1"/>
      <sheetName val="TDC_Item_Sumry_by_Area1"/>
      <sheetName val="TDC_Item_Sumry_by_RG1"/>
      <sheetName val="TDC_Key_Qty_Sumry_by_RG1"/>
      <sheetName val="List_-_Equipment_by_Area1"/>
      <sheetName val="List_-_Equipment_by_Contr1"/>
      <sheetName val="Equipment_-_Unit_Costs_by_Mat1"/>
      <sheetName val="List_-_Equipment_by_Rep_Grp1"/>
      <sheetName val="Craft_Summary_by_Contr1"/>
      <sheetName val="Project_Craft_Summary1"/>
      <sheetName val="Project_Metrics1"/>
      <sheetName val="Item_code1"/>
      <sheetName val="Unt_rate1"/>
      <sheetName val="2__현장_자금투입_집계표1"/>
      <sheetName val="_도면_및_도서_제출목록_및_일정_170202_xlsx1"/>
      <sheetName val="Rates_&amp;_Legend1"/>
      <sheetName val="Cash_Flow_bulanan1"/>
      <sheetName val="H_Satuan1"/>
      <sheetName val="Discounted_Cash_Flow1"/>
      <sheetName val="Ocean_Transporation_Charge1"/>
      <sheetName val="Pengesahan_1"/>
      <sheetName val="OCT_FDN1"/>
      <sheetName val="General_Notes1"/>
      <sheetName val="BO䁑-B_䁄OWN1"/>
      <sheetName val="Exchange_Rate1"/>
      <sheetName val="Harga_Satuan1"/>
      <sheetName val="F_ALARM1"/>
      <sheetName val="DATA_MENTAH"/>
      <sheetName val="차트_(2)1"/>
      <sheetName val="Bill_rekap1"/>
      <sheetName val="breakdown_of_wage_rap"/>
      <sheetName val="Weekl"/>
      <sheetName val="Process_Data_(2)1"/>
      <sheetName val="실행집"/>
      <sheetName val="Raw_data"/>
      <sheetName val="breakdown_of_wage_ra"/>
      <sheetName val="Precios_Unitariԯ"/>
      <sheetName val="내역서_(N____x000a_1"/>
      <sheetName val="TQ_Format"/>
      <sheetName val="DROP_DOWN"/>
      <sheetName val="개시대사_(2)"/>
      <sheetName val="Action_Item"/>
      <sheetName val="ID_CD"/>
      <sheetName val="breakdown_of_wage_raÐ¾"/>
      <sheetName val="Additional_data"/>
      <sheetName val="Distribution_Table"/>
      <sheetName val="HO_Site_Rates-2011"/>
      <sheetName val="내역서_(N____"/>
      <sheetName val="Benchmark"/>
      <sheetName val="ABUT수량-A1"/>
      <sheetName val="서부산시설"/>
      <sheetName val="SUPTMTO"/>
      <sheetName val="BSD ᯷㧓_x0001_"/>
      <sheetName val="Drop-Downs"/>
      <sheetName val="EXPAN-1"/>
      <sheetName val="Basic"/>
      <sheetName val="B_Down"/>
      <sheetName val="Scheme Area Details_Block__ C2"/>
      <sheetName val="광통신 견적내역서1"/>
      <sheetName val="Cash Flow"/>
      <sheetName val="Yield"/>
      <sheetName val="날개벽"/>
      <sheetName val="5. 월별투입내역서"/>
      <sheetName val="Rate"/>
      <sheetName val="터파기및재료"/>
      <sheetName val="Leyenda"/>
      <sheetName val="Demand"/>
      <sheetName val="Occ"/>
      <sheetName val="인사자료총집계"/>
      <sheetName val="2857Q&amp;PL"/>
      <sheetName val="간접비"/>
      <sheetName val="95TOTREV"/>
      <sheetName val="일위대가 "/>
      <sheetName val="98수문일위"/>
      <sheetName val="조명시설"/>
      <sheetName val="Itembalance Report (18-sep-18)"/>
      <sheetName val="BUDGET SUMMARY "/>
      <sheetName val="Drop"/>
      <sheetName val="GM 000"/>
      <sheetName val="16"/>
      <sheetName val="50"/>
      <sheetName val="단가"/>
      <sheetName val="1.설계기준"/>
      <sheetName val="설산1.나"/>
      <sheetName val="본사S"/>
      <sheetName val="건축내역"/>
      <sheetName val="Tables 3.1 to 3.5 EXH G"/>
      <sheetName val="SECL 리스크 분류체계 (2)"/>
      <sheetName val="내역서_耰&quot;_x0000__x0003"/>
      <sheetName val="내역서_耰&quot;_x0000__x0004"/>
      <sheetName val="내역서_耰&quot;_x0000__x0005"/>
      <sheetName val="내역서_耰&quot;_"/>
      <sheetName val="내역서_耰&quot;_x00003"/>
      <sheetName val="내역서_耰&quot;_x005f3"/>
      <sheetName val="내역서_耰&quot;_x00004"/>
      <sheetName val="내역서_耰&quot;_x005f4"/>
      <sheetName val="내역서_耰&quot;_x00005"/>
      <sheetName val="내역서_耰&quot;_x005f5"/>
      <sheetName val="목록"/>
      <sheetName val="MC-1"/>
      <sheetName val="design_criteria2"/>
      <sheetName val="내역서_耰&quot;_x005f_x0000_1"/>
      <sheetName val="내역서_耰&quot;_x005f_x005f_1"/>
      <sheetName val="OPT"/>
      <sheetName val="Fig 4-14"/>
      <sheetName val="내역서_耰&quot;_x0000__x0000_"/>
      <sheetName val="내역서_耰&quot;_x0000__x0000_1"/>
      <sheetName val="내역서_(N _x000e__x000e__x000e_  _x0012__x0010__"/>
      <sheetName val="OPT_"/>
      <sheetName val="Weekl_"/>
      <sheetName val="내역서_耰&quot;_x0000__x0000_7"/>
      <sheetName val="내역서_耰&quot;_x005f_x0000__x0006"/>
      <sheetName val="내역서_耰&quot;_x005f_x005f_x00006"/>
      <sheetName val="내역서_耰&quot;_x005f_x005f_x005f6"/>
      <sheetName val="Activity Form"/>
      <sheetName val="Depreciation"/>
      <sheetName val="Validation"/>
      <sheetName val="TABELE"/>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SUM_"/>
      <sheetName val="Equipment_Spec_List"/>
      <sheetName val="SPEC_LIST(EQUP,_SYS)"/>
      <sheetName val="合成単価作成表_BLDG"/>
      <sheetName val="7422CW_x0013_"/>
      <sheetName val="내역서_耰&quot;_x0000__x0000_2"/>
      <sheetName val="내역서_耰&quot;_x0000__x0000_3"/>
      <sheetName val="내역서_耰&quot;_x0000__x0000_4"/>
      <sheetName val="내역서_耰&quot;_x0000__x0000_5"/>
      <sheetName val="내역서 耰&quot;_x0000_"/>
      <sheetName val="내역서_耰&quot;_x0000_"/>
      <sheetName val="내역서_耰&quot;_x0000__x00001"/>
      <sheetName val="FORM-0"/>
      <sheetName val="REF for VV"/>
      <sheetName val="REF"/>
      <sheetName val="配管単価"/>
      <sheetName val="Mat"/>
      <sheetName val="제출계산서"/>
      <sheetName val="Direct Histogram Rev. A (f)"/>
      <sheetName val="Tablas"/>
      <sheetName val="Folha1"/>
      <sheetName val="SPT vs PHI"/>
      <sheetName val="Dropdown"/>
      <sheetName val="KUWATI(Total)_11"/>
      <sheetName val="집계표_(TOTAL)11"/>
      <sheetName val="집계표_(CIVIL-23)11"/>
      <sheetName val="집계표_(FGRU)11"/>
      <sheetName val="집계표_(25,26)11"/>
      <sheetName val="집계표_(MEROX)11"/>
      <sheetName val="집계표_(NITROGEN)11"/>
      <sheetName val="집계표_(M4)11"/>
      <sheetName val="집계표_(CIVIL4)11"/>
      <sheetName val="집계표_(CIVIL6)11"/>
      <sheetName val="집계표_(CIVIL7)11"/>
      <sheetName val="내역서(DEMO_TOTAL)11"/>
      <sheetName val="내역서_(CIVIL-23)11"/>
      <sheetName val="내역서_(fgru)11"/>
      <sheetName val="내역서_(25&amp;26)11"/>
      <sheetName val="내역서_(MEROX)11"/>
      <sheetName val="내역서_(NITROGEN)11"/>
      <sheetName val="내역서_(M4)11"/>
      <sheetName val="내역서_(CIVIL-4)11"/>
      <sheetName val="내역서_(CIVIL-6)11"/>
      <sheetName val="내역서_(CIVIL-7)11"/>
      <sheetName val="OPTION_211"/>
      <sheetName val="OPTION_311"/>
      <sheetName val="2002년_현장공사비_국내_실적11"/>
      <sheetName val="2003년국내현장공사비_실적11"/>
      <sheetName val="VC2_10_9911"/>
      <sheetName val="INPUT_DATA10"/>
      <sheetName val="집계표_(25,26ဩ10"/>
      <sheetName val="Form_D-19"/>
      <sheetName val="Form_B-19"/>
      <sheetName val="Form_F-19"/>
      <sheetName val="Form_A9"/>
      <sheetName val="Form_010"/>
      <sheetName val="입출재고현황_(2)9"/>
      <sheetName val="General_Data10"/>
      <sheetName val="LABOR_&amp;_자재9"/>
      <sheetName val="간접비_총괄9"/>
      <sheetName val="3_공통공사대비9"/>
      <sheetName val="Price_Schedule9"/>
      <sheetName val="Rate_Analysis9"/>
      <sheetName val="내역서_耰&quot;??9"/>
      <sheetName val="EQUIPMENT_-29"/>
      <sheetName val="CAL_9"/>
      <sheetName val="내역서_耰&quot;_x005f_x0000__x005f_x0000_8"/>
      <sheetName val="WEIGHT_LIST8"/>
      <sheetName val="산#2-1_(2)8"/>
      <sheetName val="BEND_LOSS8"/>
      <sheetName val="공사비_내역_(가)8"/>
      <sheetName val="6PILE__(돌출)8"/>
      <sheetName val="Man_Hole7"/>
      <sheetName val="Form_A_8"/>
      <sheetName val="단면_(2)8"/>
      <sheetName val="Static_Equip8"/>
      <sheetName val="3_Breakdown_Direct_Paint8"/>
      <sheetName val="WBS_447"/>
      <sheetName val="WBS_417"/>
      <sheetName val="Administrative_Prices7"/>
      <sheetName val="Precios_por_Administración7"/>
      <sheetName val="Precios_Unitarios7"/>
      <sheetName val="내역서_耰&quot;_x005f_x005f_x005f_x0000__x005f_x005f_x0007"/>
      <sheetName val="내역서_耰&quot;__9"/>
      <sheetName val="SFN_ORIG7"/>
      <sheetName val="Z-_GENERAL_PRICE_SUMMARY7"/>
      <sheetName val="_Estimate__7"/>
      <sheetName val="Updating_Form-Oct_20112"/>
      <sheetName val="Weld_Consumable2"/>
      <sheetName val="NDE_Cost-Summary2"/>
      <sheetName val="9July_Above_Ground_Pipe2"/>
      <sheetName val="Civil_18"/>
      <sheetName val="Civil_28"/>
      <sheetName val="Civil_38"/>
      <sheetName val="Site_18"/>
      <sheetName val="Site_28"/>
      <sheetName val="Site_38"/>
      <sheetName val="Site_Faci8"/>
      <sheetName val="Áý°èÇ¥_(TOTAL)7"/>
      <sheetName val="Áý°èÇ¥_(CIVIL-23)7"/>
      <sheetName val="Áý°èÇ¥_(FGRU)7"/>
      <sheetName val="Áý°èÇ¥_(25,26)7"/>
      <sheetName val="Áý°èÇ¥_(MEROX)7"/>
      <sheetName val="Áý°èÇ¥_(NITROGEN)7"/>
      <sheetName val="Áý°èÇ¥_(M4)7"/>
      <sheetName val="Áý°èÇ¥_(CIVIL4)7"/>
      <sheetName val="Áý°èÇ¥_(CIVIL6)7"/>
      <sheetName val="Áý°èÇ¥_(CIVIL7)7"/>
      <sheetName val="³»¿ª¼­(DEMO_TOTAL)7"/>
      <sheetName val="³»¿ª¼­_(CIVIL-23)7"/>
      <sheetName val="³»¿ª¼­_(fgru)7"/>
      <sheetName val="³»¿ª¼­_(25&amp;26)7"/>
      <sheetName val="³»¿ª¼­_(MEROX)7"/>
      <sheetName val="³»¿ª¼­_(NITROGEN)7"/>
      <sheetName val="³»¿ª¼­_(M4)7"/>
      <sheetName val="³»¿ª¼­_(CIVIL-4)7"/>
      <sheetName val="³»¿ª¼­_(CIVIL-6)7"/>
      <sheetName val="³»¿ª¼­_(CIVIL-7)7"/>
      <sheetName val="2002³â_ÇöÀå°ø»çºñ_±¹³»_½ÇÀû7"/>
      <sheetName val="2003³â±¹³»ÇöÀå°ø»çºñ_½ÇÀû7"/>
      <sheetName val="Summary_Sheets8"/>
      <sheetName val="2_2_STAFF_Scedule7"/>
      <sheetName val="내역서_耰&quot;_x005f_x005f_x005f_x005f_x005f_x005f_x00007"/>
      <sheetName val="Subcon_A7"/>
      <sheetName val="Sheet1_(2)8"/>
      <sheetName val="계측_내역서7"/>
      <sheetName val="7__월별투입내역서7"/>
      <sheetName val="T_37"/>
      <sheetName val="HORI__VESSEL7"/>
      <sheetName val="BM_DATA_SHEET8"/>
      <sheetName val="Vind_-_BtB7"/>
      <sheetName val="LV_induction_motors7"/>
      <sheetName val="BSD_(2)7"/>
      <sheetName val="내역서_耰&quot;_x005f_x005f_x005f_x005f_x005f_x005f_x005f7"/>
      <sheetName val="EQUIP_LIST7"/>
      <sheetName val="MP_MOB7"/>
      <sheetName val="Form_B7"/>
      <sheetName val="내역서_耰&quot;7"/>
      <sheetName val="Tools_&amp;_Settings2"/>
      <sheetName val="Data_Summary2"/>
      <sheetName val="Crew_Costs2"/>
      <sheetName val="Spread_Costs2"/>
      <sheetName val="Unique_List_Misc2"/>
      <sheetName val="M_112"/>
      <sheetName val="Process_Data_(2)2"/>
      <sheetName val="Monthly_Load7"/>
      <sheetName val="Weekly_Load7"/>
      <sheetName val="97_사업추정(WEKI)7"/>
      <sheetName val="breakdown_of_wage_rate7"/>
      <sheetName val="Indirect_Cost7"/>
      <sheetName val="Eq__Mobilization7"/>
      <sheetName val="Material_Selections7"/>
      <sheetName val="[SANDAN_XLS??7"/>
      <sheetName val="Piping_BQ_for_one_turbine7"/>
      <sheetName val="Resource_table7"/>
      <sheetName val="Utility_and_Fire_flange7"/>
      <sheetName val="Equipment_List7"/>
      <sheetName val="Form1_SQP7"/>
      <sheetName val="공정계획(내부계획25%,내부w_f)7"/>
      <sheetName val="_SANDAN_XLS__7"/>
      <sheetName val="w't_table7"/>
      <sheetName val="Heavy_Equipments7"/>
      <sheetName val="AG_Pipe_Qty_Analysis7"/>
      <sheetName val="SCHEDD_TAMBAHAN7"/>
      <sheetName val="Fire_Protection7"/>
      <sheetName val="입찰내역_발주처_양식7"/>
      <sheetName val="실행예산_MM6"/>
      <sheetName val="FWBS_15306"/>
      <sheetName val="Dir_Manpower_Other_Exp_7"/>
      <sheetName val="BOQ-B_DOWN6"/>
      <sheetName val="내역서_(∮ἀ嘆ɶ6"/>
      <sheetName val="MODULE_CONFIRM6"/>
      <sheetName val="ITB_COST7"/>
      <sheetName val="단가_(2)6"/>
      <sheetName val="4-3LEVEL-5_epic_46"/>
      <sheetName val="PROTECTION_6"/>
      <sheetName val="Cash_In-Cash_Out_Actual6"/>
      <sheetName val="CUADRO_DE_PRECIOS6"/>
      <sheetName val="Process_Data_12"/>
      <sheetName val="내역서1999_8최종2"/>
      <sheetName val="plan&amp;section_of_foundation3"/>
      <sheetName val="working_load_at_the_btm_ft_3"/>
      <sheetName val="stability_check3"/>
      <sheetName val="design_load3"/>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1100-1200-1300-1910-2140-LEV_22"/>
      <sheetName val="Material_Price2"/>
      <sheetName val="Currency_Rate2"/>
      <sheetName val="Unit_Price_2"/>
      <sheetName val="4-Basic_Price2"/>
      <sheetName val="Evaluasi_Penw2"/>
      <sheetName val="Man_Power_&amp;_Comp2"/>
      <sheetName val="Data_List2"/>
      <sheetName val="Closeout_Control2"/>
      <sheetName val="Sum_(Case-3)2"/>
      <sheetName val="PROJECT_BRIEF2"/>
      <sheetName val="Site_Findings_Status_Sheet2"/>
      <sheetName val="내역서_耰&quot;_x005f_x005f_x005f_x0000_2"/>
      <sheetName val="내역서_耰&quot;_x005f_x005f_x005f_x005f_2"/>
      <sheetName val="내역서_耰&quot;_x005f_x0000__x00003"/>
      <sheetName val="Equip_Rental_Summary_by_Contr2"/>
      <sheetName val="Project_Equip_Rental_Summary2"/>
      <sheetName val="Contractor_Indirect_Sumry2"/>
      <sheetName val="Project_Indirect_Sumry2"/>
      <sheetName val="COA_Sumry_by_Area2"/>
      <sheetName val="COA_Sumry_by_Contr2"/>
      <sheetName val="COA_Sumry_by_RG2"/>
      <sheetName val="TDC_COA_Grp_Sumry2"/>
      <sheetName val="TDC_COA_Grp_Sumry_by_Area2"/>
      <sheetName val="TDC_COA_Grp_Sumry_by_RG2"/>
      <sheetName val="Equipment_Sumry2"/>
      <sheetName val="TDC_Item_Dets-Full2"/>
      <sheetName val="TDC_Item_Dets-IPM-Full2"/>
      <sheetName val="TDC_Item_Sumry_by_Area2"/>
      <sheetName val="TDC_Item_Sumry_by_RG2"/>
      <sheetName val="TDC_Key_Qty_Sumry_by_RG2"/>
      <sheetName val="List_-_Equipment_by_Area2"/>
      <sheetName val="List_-_Equipment_by_Contr2"/>
      <sheetName val="Equipment_-_Unit_Costs_by_Mat2"/>
      <sheetName val="List_-_Equipment_by_Rep_Grp2"/>
      <sheetName val="Craft_Summary_by_Contr2"/>
      <sheetName val="Project_Craft_Summary2"/>
      <sheetName val="Project_Metrics2"/>
      <sheetName val="99__FWBS(Ref)2"/>
      <sheetName val="99__Change_Rate2"/>
      <sheetName val="RAB_AR&amp;STR2"/>
      <sheetName val="할증_2"/>
      <sheetName val="2_Overall_Summary_1"/>
      <sheetName val="In-House_Summary2"/>
      <sheetName val="Pengesahan_2"/>
      <sheetName val="UP_MINOR2"/>
      <sheetName val="5_)_Time_Delays2"/>
      <sheetName val="Item_code2"/>
      <sheetName val="Unt_rate2"/>
      <sheetName val="Codes_Pers2"/>
      <sheetName val="Direct_PMS2"/>
      <sheetName val="__2"/>
      <sheetName val="_2"/>
      <sheetName val="SUMMARY_(0A)2"/>
      <sheetName val="SUMMARY_(1A)2"/>
      <sheetName val="SUMMARY_(1B)2"/>
      <sheetName val="SUMMARY_(03)2"/>
      <sheetName val="F1(Cable_Rack)2"/>
      <sheetName val="F2(Cable_Rack)2"/>
      <sheetName val="F3(Cable_Rack)2"/>
      <sheetName val="F1_(POLYMER)2"/>
      <sheetName val="F2_(POLYMER)2"/>
      <sheetName val="F3_(POLYMER)2"/>
      <sheetName val="F4_(POLYMER)2"/>
      <sheetName val="F5(_Polymerization_)2"/>
      <sheetName val="F6_(_Polymerization_)2"/>
      <sheetName val="B1_(Grid_A-7,_-6)2"/>
      <sheetName val="B1_(Grid_A,_B)2"/>
      <sheetName val="B1_(Grid_C-7,_-6)2"/>
      <sheetName val="B2_(Grid_-7_B,_C)_(1)2"/>
      <sheetName val="B2_(Grid_-7_B,_C)_(2)2"/>
      <sheetName val="B2_(Grid_-6_B,_C)_(1)2"/>
      <sheetName val="B2_(Grid_-6_B,_C)_(2)2"/>
      <sheetName val="F1_(MONOMER)2"/>
      <sheetName val="F2_(MONOMER)2"/>
      <sheetName val="F3_(MONOMER)2"/>
      <sheetName val="90K060C_(MONOMER)2"/>
      <sheetName val="F1_(EXTRUSION)2"/>
      <sheetName val="F2_(EXTRUSION)2"/>
      <sheetName val="F3_(EXTRUSION)2"/>
      <sheetName val="F4_(EXTRUSION)2"/>
      <sheetName val="F5_(EXTRUSION)2"/>
      <sheetName val="F6A_(EXTRUSION)2"/>
      <sheetName val="F6D_(EXTRUSION)2"/>
      <sheetName val="F7_(EXTRUSION)2"/>
      <sheetName val="F8_(EXTRUSION)2"/>
      <sheetName val="F9_(EXTRUSION)2"/>
      <sheetName val="F10_(EXTRUSION)2"/>
      <sheetName val="F11_(EXTRUSION)2"/>
      <sheetName val="B1_(Grid_F-5`,_4`)2"/>
      <sheetName val="B2_(Grid_F,E-4`)2"/>
      <sheetName val="B2_(Grid_F,E-5`)2"/>
      <sheetName val="B3_(Grid_C,B-4`)2"/>
      <sheetName val="B4_(Grid_B,A-4`)2"/>
      <sheetName val="B5_(Grid_E-5`)_&amp;_(Grid_D-5`)2"/>
      <sheetName val="B6_(Grid_E,D-5')2"/>
      <sheetName val="B7_(Grid_E,D-5')2"/>
      <sheetName val="95D040,_A5062"/>
      <sheetName val="95P040AB,_A5072"/>
      <sheetName val="95X020-U08,_A6022"/>
      <sheetName val="95X020-U07,_A6062"/>
      <sheetName val="95E040,_A5092"/>
      <sheetName val="95D024;025,_A6152"/>
      <sheetName val="95X020-U05,_A6012"/>
      <sheetName val="95X020-U02,_A2042"/>
      <sheetName val="Extruder_FDN2"/>
      <sheetName val="BOG_COMP__FDN2"/>
      <sheetName val="SOG_COMP__FDN2"/>
      <sheetName val="1G1_(Ground_Beam)2"/>
      <sheetName val="1G2-1(Ground_Beam)2"/>
      <sheetName val="1G2-2(Ground_Beam)2"/>
      <sheetName val="P15,_162"/>
      <sheetName val="LO_CONSOLE_FDN2"/>
      <sheetName val="OIL_COOLER_FDN2"/>
      <sheetName val="CW_CONSOLE_FDN_(SOG)2"/>
      <sheetName val="PD3_(SOG)2"/>
      <sheetName val="SF1_(SOG)2"/>
      <sheetName val="SF2_(SOG)2"/>
      <sheetName val="SLAB_(1S1-1)2"/>
      <sheetName val="SLAB_(1S1-2)2"/>
      <sheetName val="SLAB_(1S1-3)2"/>
      <sheetName val="COLUMN_(+5500)2"/>
      <sheetName val="COLUMN_(+12500)2"/>
      <sheetName val="COLUMN_(+15500)2"/>
      <sheetName val="ETC_2"/>
      <sheetName val="breakdown_of_wage_ra`f1"/>
      <sheetName val="breakdown_of_wage_ra1"/>
      <sheetName val="breakdown_of_wage_rað-1"/>
      <sheetName val="00-Summary_Information-ABB1"/>
      <sheetName val="0__Resource　Code1"/>
      <sheetName val="Ocean_Transporation_Charge2"/>
      <sheetName val="Discounted_Cash_Flow2"/>
      <sheetName val="Cash_Flow_bulanan2"/>
      <sheetName val="H_Satuan2"/>
      <sheetName val="breakdown_of_wage_rap1"/>
      <sheetName val="BO䁑-B_䁄OWN2"/>
      <sheetName val="breakdown_of_wage_ra1"/>
      <sheetName val="Material_code1"/>
      <sheetName val="Aux_2"/>
      <sheetName val="OCT_FDN2"/>
      <sheetName val="Exchange_Rate2"/>
      <sheetName val="DATA_MENTAH1"/>
      <sheetName val="General_Notes2"/>
      <sheetName val="PABS,Site_info1"/>
      <sheetName val="Bill_rekap2"/>
      <sheetName val="Harga_Satuan2"/>
      <sheetName val="F_ALARM2"/>
      <sheetName val="HO_Site_Rates-20111"/>
      <sheetName val="Raw_data1"/>
      <sheetName val="2__현장_자금투입_집계표2"/>
      <sheetName val="_도면_및_도서_제출목록_및_일정_170202_xlsx2"/>
      <sheetName val="Rates_&amp;_Legend2"/>
      <sheetName val="내역서_耰&quot;_x005f_x0000_2"/>
      <sheetName val="내역서_耰&quot;_x005f_x005f_2"/>
      <sheetName val="내역서_耰&quot;_1"/>
      <sheetName val="Distribution_Table1"/>
      <sheetName val="차트_(2)2"/>
      <sheetName val="DROP_DOWN1"/>
      <sheetName val="Linelist_LNGC_Process1"/>
      <sheetName val="Action_Item1"/>
      <sheetName val="ID_CD1"/>
      <sheetName val="Equipment_Spec_List1"/>
      <sheetName val="내역서_(N____x000a_2"/>
      <sheetName val="개시대사_(2)1"/>
      <sheetName val="SPEC_LIST(EQUP,_SYS)1"/>
      <sheetName val="Air_Cooler-E1"/>
      <sheetName val="Al_Taweelah1"/>
      <sheetName val="Particular_Sch1"/>
      <sheetName val="Linelist_LNGC_Process"/>
      <sheetName val="Air_Cooler-E"/>
      <sheetName val="Al_Taweelah"/>
      <sheetName val="Particular_Sch"/>
      <sheetName val="ADMON"/>
      <sheetName val="EQUIPOS DE SEGURIDAD"/>
      <sheetName val="MATERIALES CONSUMIBLES"/>
      <sheetName val="PERSONAL INDIRECTO "/>
      <sheetName val="Precios Unitariԯ"/>
      <sheetName val="EQUIPMENT_-"/>
      <sheetName val="내역서 ᢐ_x001f_"/>
      <sheetName val="내역서_耰&quot;_x0000"/>
      <sheetName val="공사"/>
      <sheetName val="List register"/>
      <sheetName val="내역ࠜĀM4"/>
      <sheetName val="내역서_耰&quot;_x0001"/>
      <sheetName val="내역서_耰&quot;_x0002"/>
      <sheetName val="SoW"/>
      <sheetName val="CUACA"/>
      <sheetName val="ANALISA-S"/>
      <sheetName val="hrgsat"/>
      <sheetName val="SCHEDULE"/>
      <sheetName val="Analisa Fave"/>
      <sheetName val="Bank"/>
      <sheetName val="BUA"/>
      <sheetName val="Harsat Bahan"/>
      <sheetName val="Harsat Subkon"/>
      <sheetName val="Harsat Upah"/>
      <sheetName val="PP"/>
      <sheetName val="RAB"/>
      <sheetName val="Master 1.0"/>
      <sheetName val="Estimate"/>
      <sheetName val="Agregat Halus &amp; Kasar"/>
      <sheetName val="TABEL"/>
      <sheetName val="DIV_5"/>
      <sheetName val="DIV_7A"/>
      <sheetName val="DIV_2"/>
      <sheetName val="DIV_4"/>
      <sheetName val="DIV_6"/>
      <sheetName val="DIV_8"/>
      <sheetName val="HARGA MATERIAL"/>
      <sheetName val="MT_an"/>
      <sheetName val="dasar"/>
      <sheetName val="Harga Sat_APP"/>
      <sheetName val="AMP"/>
      <sheetName val="ANTEK-AGGA"/>
      <sheetName val="BURDA"/>
      <sheetName val="ANTEK-GAL"/>
      <sheetName val="HRS-ATB"/>
      <sheetName val="ANTEK-PRIME"/>
      <sheetName val="ANTEK-TIMB"/>
      <sheetName val="BD-LS"/>
      <sheetName val="BIA-LUMPSUM"/>
      <sheetName val="CRUSER"/>
      <sheetName val="FINAL"/>
      <sheetName val="KEBALAT"/>
      <sheetName val="Div2"/>
      <sheetName val="6-AGREGAT"/>
      <sheetName val="STAF"/>
      <sheetName val="jpr"/>
      <sheetName val="Hitung"/>
      <sheetName val="Normalisasi"/>
      <sheetName val="tifico"/>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Cost Code"/>
      <sheetName val="Data Ref"/>
      <sheetName val="Interdept Rate"/>
      <sheetName val="견적서"/>
      <sheetName val="간접노무비"/>
      <sheetName val="BM #1"/>
      <sheetName val="인원聈2"/>
      <sheetName val=" _x0000__x001b__x0000__x0"/>
      <sheetName val="OPT_x0012__x0000__x0010__x0000_ _x0000_"/>
      <sheetName val="Weekl "/>
      <sheetName val="내역서_(N___ "/>
      <sheetName val="내역서_(N    "/>
      <sheetName val=" _x0"/>
      <sheetName val="OPT "/>
      <sheetName val="급여"/>
      <sheetName val="전표분개장(공종별)"/>
      <sheetName val="노무비집계"/>
      <sheetName val="공통가설"/>
      <sheetName val="자재비"/>
      <sheetName val="감모비"/>
      <sheetName val="P-Ins &amp; Bonds"/>
      <sheetName val="Land Dev't. Ph-1"/>
      <sheetName val="4300 UTILITY BLDG (2)"/>
      <sheetName val="0000"/>
      <sheetName val="INSTLIST 1"/>
      <sheetName val="Index"/>
      <sheetName val="SPEC(RECEPTACLE)"/>
      <sheetName val="SPEC(CABLE &amp; WIRE)"/>
      <sheetName val="달력"/>
      <sheetName val="단가대비표"/>
      <sheetName val="총괄"/>
      <sheetName val="Tgh JGC-Inv I clp"/>
      <sheetName val="PCS "/>
      <sheetName val="Progress Statement-SI"/>
      <sheetName val="Progress Payment-3110"/>
      <sheetName val="입찰안"/>
      <sheetName val="Att-1 CTCI MH rate"/>
      <sheetName val="LOADDAT"/>
      <sheetName val="Perm. Test"/>
      <sheetName val="Galian 1"/>
      <sheetName val="Analisa-Harga"/>
      <sheetName val="Analisa Lump sum"/>
      <sheetName val="data-pendukung"/>
      <sheetName val="CH-RANC"/>
      <sheetName val="351BQMCN"/>
      <sheetName val="rap"/>
      <sheetName val="As"/>
      <sheetName val="Sec I ML"/>
      <sheetName val="Graph"/>
      <sheetName val="35"/>
      <sheetName val="37"/>
      <sheetName val="64.4"/>
      <sheetName val="64.5"/>
      <sheetName val="22"/>
      <sheetName val="36.2"/>
      <sheetName val="36.1"/>
      <sheetName val="_x005f_x005f_x005f_x005f_x005f_x005f_x00ည톐ឮ"/>
      <sheetName val="Consortium VP"/>
      <sheetName val="Summary MONTH"/>
      <sheetName val="DESICON SUM"/>
      <sheetName val="DES TCF Rental"/>
      <sheetName val="DES TCF Maints pers"/>
      <sheetName val="DES TCF Heavy Equipment"/>
      <sheetName val="EQUIPMENT"/>
      <sheetName val="SECURITY"/>
      <sheetName val="SERVICES"/>
      <sheetName val="BANK BOND"/>
      <sheetName val="PHC WAREHOUSE - INFOONLY"/>
      <sheetName val="VENDORS"/>
      <sheetName val="CATERING CONTROL"/>
      <sheetName val="SUB CONTRACT"/>
      <sheetName val="SPDC - INFONLY"/>
      <sheetName val="VENDOR SCHEDUL"/>
      <sheetName val="VENDOR PRESENCE - COMM"/>
      <sheetName val="VENDOR PRESENCE - RECH"/>
      <sheetName val="VENDOR PRESENCE - COMM "/>
      <sheetName val="CONTRACT RATES"/>
      <sheetName val="TQ_Format1"/>
      <sheetName val="11_자재단가"/>
      <sheetName val="내역서_(N____1"/>
      <sheetName val="__x1"/>
      <sheetName val="Weekl_x000"/>
      <sheetName val="내역서_(N _x00"/>
      <sheetName val="LIFE_&amp;_REP_PROVN"/>
      <sheetName val="O&amp;M_CREW"/>
      <sheetName val="내역서_(N__x00"/>
      <sheetName val="Cashflow_Analysis"/>
      <sheetName val="breakdown_of_wage_raÐ¾1"/>
      <sheetName val="Additional_data1"/>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Attach_4-18"/>
      <sheetName val="INPUT_DATA_OF_SCHEDULE"/>
      <sheetName val="OIL_SEPARATOR"/>
      <sheetName val="CATCH_BASIN"/>
      <sheetName val="FW_Post_Indicator_Valve_24&quot;"/>
      <sheetName val="FW_Post_Indicator_Valve_20&quot;"/>
      <sheetName val="FW_Post_Indicator_Valve_6&quot;"/>
      <sheetName val="Fire_Monitor_or_Hydrant_6&quot;_FDN"/>
      <sheetName val="SUMP_VB"/>
      <sheetName val="CLEANOUT_4&quot;"/>
      <sheetName val="Not_reqd"/>
      <sheetName val="호환성_보고서"/>
      <sheetName val="Finansal_tamamlanma_Eğrisi"/>
      <sheetName val="Master_List"/>
      <sheetName val="Activity_Form"/>
      <sheetName val="내역서_(∮ἀ嘆ɶ?᠀㬁?"/>
      <sheetName val="내역서_ᢐ"/>
      <sheetName val="33628-Rev__A"/>
      <sheetName val="Admin_Manu_2-Equipment_Type_ID"/>
      <sheetName val="14-Eng_rate"/>
      <sheetName val="리스크_분류체계"/>
      <sheetName val="Itembalance_Report_(18-sep-18)"/>
      <sheetName val="BUDGET_SUMMARY_"/>
      <sheetName val="F&amp;C"/>
      <sheetName val="PI-18031-M3-BOQ"/>
      <sheetName val="Void"/>
      <sheetName val="Settings"/>
      <sheetName val="Wellhrs"/>
      <sheetName val="회사99"/>
      <sheetName val="SUMMARY MTO_02.2.35"/>
      <sheetName val="N.G METERING CALC."/>
      <sheetName val="N.G METERING"/>
      <sheetName val="N.G METERING (2)"/>
      <sheetName val="summary(order)"/>
      <sheetName val="CUMENE METERING"/>
      <sheetName val="N2 METERING "/>
      <sheetName val="H2 METERING  "/>
      <sheetName val="MS-5101"/>
      <sheetName val="MS-5401"/>
      <sheetName val="MS-5102"/>
      <sheetName val="CO METERING"/>
      <sheetName val="L-5301"/>
      <sheetName val="7-2"/>
      <sheetName val="Har_mat"/>
      <sheetName val="chitimc"/>
      <sheetName val="dongia (2)"/>
      <sheetName val="LKVL-CK-HT-GD1"/>
      <sheetName val="本体取纏"/>
      <sheetName val="鉄骨纏め"/>
      <sheetName val="34"/>
      <sheetName val="최종(1)사용"/>
      <sheetName val="05. Curva S"/>
      <sheetName val="NP"/>
      <sheetName val="Offer"/>
      <sheetName val="TR Rev vs Commit"/>
      <sheetName val="TR +MMHE PL report"/>
      <sheetName val="P23P2724 _ Commitment "/>
      <sheetName val="FitOutConfCentre"/>
      <sheetName val="_x0004__x000d__x0003__x0004__x0016__x000d__x0004_"/>
      <sheetName val="_x000a__x001b__x0006__x0006__x0008__x000a_"/>
      <sheetName val=" _x001b__x0006__x0006__x0008_ "/>
      <sheetName val="OPT_x0012__x0010__x000a_"/>
      <sheetName val="_x0013__x0014_"/>
      <sheetName val="Weekl_x0004__x0016__x000d_"/>
      <sheetName val="_x000e__x0005_"/>
      <sheetName val="_x0004__x000d__x0"/>
      <sheetName val="_x000a__x001b__x0"/>
      <sheetName val="내역서 耰&quot;_x0000"/>
      <sheetName val="__x001b__x0006__x"/>
      <sheetName val=" _x001b__x0006__x"/>
      <sheetName val="Weekl_x0004__x0016__x000"/>
      <sheetName val="내역서_耰&quot;_x0003"/>
      <sheetName val="내역서_耰&quot;_x0004"/>
      <sheetName val="내역서_耰&quot;_x0005"/>
      <sheetName val=" _x001b__x0"/>
      <sheetName val="OPT_x0012__x0010_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refreshError="1"/>
      <sheetData sheetId="157" refreshError="1"/>
      <sheetData sheetId="158" refreshError="1"/>
      <sheetData sheetId="159" refreshError="1"/>
      <sheetData sheetId="160" refreshError="1"/>
      <sheetData sheetId="161" refreshError="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sheetData sheetId="356"/>
      <sheetData sheetId="357" refreshError="1"/>
      <sheetData sheetId="358"/>
      <sheetData sheetId="359"/>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refreshError="1"/>
      <sheetData sheetId="819"/>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sheetData sheetId="857"/>
      <sheetData sheetId="858"/>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sheetData sheetId="878" refreshError="1"/>
      <sheetData sheetId="879"/>
      <sheetData sheetId="880"/>
      <sheetData sheetId="881"/>
      <sheetData sheetId="882"/>
      <sheetData sheetId="883"/>
      <sheetData sheetId="884"/>
      <sheetData sheetId="885"/>
      <sheetData sheetId="886"/>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sheetData sheetId="1204"/>
      <sheetData sheetId="1205" refreshError="1"/>
      <sheetData sheetId="1206"/>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sheetData sheetId="1645"/>
      <sheetData sheetId="1646"/>
      <sheetData sheetId="1647"/>
      <sheetData sheetId="1648"/>
      <sheetData sheetId="1649"/>
      <sheetData sheetId="1650"/>
      <sheetData sheetId="1651"/>
      <sheetData sheetId="1652"/>
      <sheetData sheetId="1653"/>
      <sheetData sheetId="1654"/>
      <sheetData sheetId="1655" refreshError="1"/>
      <sheetData sheetId="1656" refreshError="1"/>
      <sheetData sheetId="1657" refreshError="1"/>
      <sheetData sheetId="1658" refreshError="1"/>
      <sheetData sheetId="1659" refreshError="1"/>
      <sheetData sheetId="1660" refreshError="1"/>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sheetData sheetId="1965"/>
      <sheetData sheetId="1966"/>
      <sheetData sheetId="1967"/>
      <sheetData sheetId="1968"/>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sheetData sheetId="2003" refreshError="1"/>
      <sheetData sheetId="2004" refreshError="1"/>
      <sheetData sheetId="2005" refreshError="1"/>
      <sheetData sheetId="2006" refreshError="1"/>
      <sheetData sheetId="2007" refreshError="1"/>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refreshError="1"/>
      <sheetData sheetId="2116"/>
      <sheetData sheetId="2117"/>
      <sheetData sheetId="2118"/>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sheetData sheetId="2154"/>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sheetData sheetId="2175" refreshError="1"/>
      <sheetData sheetId="2176" refreshError="1"/>
      <sheetData sheetId="2177" refreshError="1"/>
      <sheetData sheetId="2178" refreshError="1"/>
      <sheetData sheetId="2179" refreshError="1"/>
      <sheetData sheetId="2180" refreshError="1"/>
      <sheetData sheetId="2181" refreshError="1"/>
      <sheetData sheetId="2182"/>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sheetData sheetId="2422"/>
      <sheetData sheetId="2423"/>
      <sheetData sheetId="2424"/>
      <sheetData sheetId="2425"/>
      <sheetData sheetId="2426"/>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sheetData sheetId="2492"/>
      <sheetData sheetId="2493"/>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sheetData sheetId="2508"/>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sheetData sheetId="2604"/>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sheetData sheetId="2614"/>
      <sheetData sheetId="2615"/>
      <sheetData sheetId="2616"/>
      <sheetData sheetId="2617" refreshError="1"/>
      <sheetData sheetId="2618" refreshError="1"/>
      <sheetData sheetId="2619" refreshError="1"/>
      <sheetData sheetId="2620" refreshError="1"/>
      <sheetData sheetId="2621" refreshError="1"/>
      <sheetData sheetId="2622" refreshError="1"/>
      <sheetData sheetId="2623"/>
      <sheetData sheetId="2624"/>
      <sheetData sheetId="2625"/>
      <sheetData sheetId="2626"/>
      <sheetData sheetId="2627" refreshError="1"/>
      <sheetData sheetId="2628" refreshError="1"/>
      <sheetData sheetId="2629" refreshError="1"/>
      <sheetData sheetId="2630" refreshError="1"/>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sheetData sheetId="2657" refreshError="1"/>
      <sheetData sheetId="2658" refreshError="1"/>
      <sheetData sheetId="2659" refreshError="1"/>
      <sheetData sheetId="2660" refreshError="1"/>
      <sheetData sheetId="2661"/>
      <sheetData sheetId="2662"/>
      <sheetData sheetId="2663"/>
      <sheetData sheetId="2664" refreshError="1"/>
      <sheetData sheetId="2665" refreshError="1"/>
      <sheetData sheetId="2666"/>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sheetData sheetId="2676" refreshError="1"/>
      <sheetData sheetId="2677" refreshError="1"/>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refreshError="1"/>
      <sheetData sheetId="3029"/>
      <sheetData sheetId="3030"/>
      <sheetData sheetId="3031" refreshError="1"/>
      <sheetData sheetId="3032" refreshError="1"/>
      <sheetData sheetId="3033"/>
      <sheetData sheetId="3034"/>
      <sheetData sheetId="3035"/>
      <sheetData sheetId="3036" refreshError="1"/>
      <sheetData sheetId="3037" refreshError="1"/>
      <sheetData sheetId="3038" refreshError="1"/>
      <sheetData sheetId="3039" refreshError="1"/>
      <sheetData sheetId="3040" refreshError="1"/>
      <sheetData sheetId="3041" refreshError="1"/>
      <sheetData sheetId="3042" refreshError="1"/>
      <sheetData sheetId="3043"/>
      <sheetData sheetId="3044"/>
      <sheetData sheetId="3045"/>
      <sheetData sheetId="3046"/>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sheetData sheetId="3056"/>
      <sheetData sheetId="3057"/>
      <sheetData sheetId="3058"/>
      <sheetData sheetId="3059"/>
      <sheetData sheetId="3060"/>
      <sheetData sheetId="3061"/>
      <sheetData sheetId="3062" refreshError="1"/>
      <sheetData sheetId="3063" refreshError="1"/>
      <sheetData sheetId="3064"/>
      <sheetData sheetId="3065" refreshError="1"/>
      <sheetData sheetId="3066"/>
      <sheetData sheetId="3067" refreshError="1"/>
      <sheetData sheetId="3068" refreshError="1"/>
      <sheetData sheetId="3069"/>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sheetData sheetId="3114"/>
      <sheetData sheetId="3115"/>
      <sheetData sheetId="3116" refreshError="1"/>
      <sheetData sheetId="3117"/>
      <sheetData sheetId="3118"/>
      <sheetData sheetId="3119"/>
      <sheetData sheetId="3120"/>
      <sheetData sheetId="3121"/>
      <sheetData sheetId="3122"/>
      <sheetData sheetId="3123"/>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sheetData sheetId="3139" refreshError="1"/>
      <sheetData sheetId="3140" refreshError="1"/>
      <sheetData sheetId="3141" refreshError="1"/>
      <sheetData sheetId="3142" refreshError="1"/>
      <sheetData sheetId="3143" refreshError="1"/>
      <sheetData sheetId="3144" refreshError="1"/>
      <sheetData sheetId="3145"/>
      <sheetData sheetId="3146" refreshError="1"/>
      <sheetData sheetId="3147"/>
      <sheetData sheetId="3148" refreshError="1"/>
      <sheetData sheetId="3149" refreshError="1"/>
      <sheetData sheetId="3150" refreshError="1"/>
      <sheetData sheetId="3151"/>
      <sheetData sheetId="3152"/>
      <sheetData sheetId="3153"/>
      <sheetData sheetId="3154" refreshError="1"/>
      <sheetData sheetId="3155" refreshError="1"/>
      <sheetData sheetId="3156"/>
      <sheetData sheetId="3157"/>
      <sheetData sheetId="3158" refreshError="1"/>
      <sheetData sheetId="3159"/>
      <sheetData sheetId="3160" refreshError="1"/>
      <sheetData sheetId="3161" refreshError="1"/>
      <sheetData sheetId="3162" refreshError="1"/>
      <sheetData sheetId="3163" refreshError="1"/>
      <sheetData sheetId="3164" refreshError="1"/>
      <sheetData sheetId="3165" refreshError="1"/>
      <sheetData sheetId="3166" refreshError="1"/>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refreshError="1"/>
      <sheetData sheetId="3232" refreshError="1"/>
      <sheetData sheetId="3233" refreshError="1"/>
      <sheetData sheetId="3234" refreshError="1"/>
      <sheetData sheetId="3235" refreshError="1"/>
      <sheetData sheetId="3236" refreshError="1"/>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refreshError="1"/>
      <sheetData sheetId="3251"/>
      <sheetData sheetId="3252"/>
      <sheetData sheetId="3253"/>
      <sheetData sheetId="3254"/>
      <sheetData sheetId="3255"/>
      <sheetData sheetId="3256"/>
      <sheetData sheetId="3257"/>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sheetData sheetId="3270"/>
      <sheetData sheetId="3271" refreshError="1"/>
      <sheetData sheetId="3272"/>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sheetData sheetId="3282"/>
      <sheetData sheetId="328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일위대가"/>
      <sheetName val="PROCTOR"/>
      <sheetName val="Evaluate"/>
      <sheetName val="월별"/>
      <sheetName val="LOCAL RATES"/>
      <sheetName val="WTP"/>
      <sheetName val="structurewise"/>
      <sheetName val="balance Work"/>
      <sheetName val="SAP架設-2005.12.31"/>
      <sheetName val="90101"/>
      <sheetName val="SAP架設-2005_12_31"/>
      <sheetName val="BOQ"/>
      <sheetName val="S-Curve (2)"/>
      <sheetName val="Final Basic rate"/>
      <sheetName val="Labour"/>
      <sheetName val="Steel-Circular"/>
      <sheetName val="공사비집계"/>
      <sheetName val="final abstract"/>
      <sheetName val="ICICI"/>
      <sheetName val="HDFC"/>
      <sheetName val="C &amp; G RHS"/>
      <sheetName val="SOR"/>
      <sheetName val="data"/>
      <sheetName val="Material "/>
      <sheetName val="21-Rate Analysis-1"/>
      <sheetName val="Analysis"/>
      <sheetName val="Process"/>
      <sheetName val="balance_Work"/>
      <sheetName val="Chiet tinh dz35"/>
      <sheetName val="SAP架設-2005_12_311"/>
      <sheetName val="Material_"/>
      <sheetName val="balance_Work1"/>
      <sheetName val="SAP架設-2005_12_312"/>
      <sheetName val="Material_1"/>
      <sheetName val="balance_Work2"/>
      <sheetName val="SAP架設-2005_12_313"/>
      <sheetName val="Material_2"/>
      <sheetName val="C_&amp;_G_RHS"/>
      <sheetName val="LOCAL_RATES"/>
      <sheetName val="Final_Basic_rate"/>
      <sheetName val="S-Curve_(2)"/>
      <sheetName val="Materials Cost"/>
      <sheetName val="REL"/>
      <sheetName val="Back"/>
      <sheetName val="GC-15"/>
      <sheetName val="Materials Cost(PCC)"/>
      <sheetName val="A"/>
      <sheetName val="Coalmine"/>
      <sheetName val="Man"/>
      <sheetName val=""/>
      <sheetName val="Materials_Cost(PCC)"/>
      <sheetName val="final_abstract"/>
      <sheetName val="Bank Guarantee"/>
      <sheetName val="pile Fabrication"/>
      <sheetName val="Fee Rate Summary"/>
      <sheetName val="GWC"/>
      <sheetName val="NWC"/>
      <sheetName val="SPT vs PHI"/>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LOCAL_RATES1"/>
      <sheetName val="S-Curve_(2)1"/>
      <sheetName val="Materials_Cost"/>
      <sheetName val="21-Rate_Analysis-1"/>
      <sheetName val="final_abstract1"/>
      <sheetName val="C_&amp;_G_RHS1"/>
      <sheetName val="Materials_Cost(PCC)1"/>
      <sheetName val="Chiet_tinh_dz35"/>
      <sheetName val="pile_Fabrication"/>
      <sheetName val="input micro"/>
      <sheetName val="Summary"/>
      <sheetName val="0"/>
      <sheetName val="CUM-Mar07"/>
      <sheetName val="CRM"/>
      <sheetName val="A3"/>
      <sheetName val="BUD 07-08"/>
      <sheetName val="HIDE"/>
      <sheetName val="XL"/>
      <sheetName val="Basicrates"/>
      <sheetName val="Rate Analysis"/>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Risk_Te__Co_"/>
      <sheetName val="Informa_"/>
      <sheetName val="01.11.2004"/>
      <sheetName val="Materials "/>
      <sheetName val="MAchinery(R1)"/>
      <sheetName val="MAINBS1"/>
      <sheetName val="UNP-NCW "/>
      <sheetName val="MAIN"/>
      <sheetName val="9.Major Bridge"/>
      <sheetName val="8. ROB"/>
      <sheetName val="10.Minor Structure"/>
      <sheetName val="7. FLYOVER"/>
      <sheetName val="ABSTRACT"/>
      <sheetName val="2. Earthwork"/>
      <sheetName val="Debit_RMC"/>
      <sheetName val="FORM-W3"/>
      <sheetName val="Machinery"/>
      <sheetName val="Material"/>
      <sheetName val="Supply_RMC"/>
      <sheetName val="02.10.06"/>
      <sheetName val="Anggaran"/>
      <sheetName val="01"/>
      <sheetName val="02"/>
      <sheetName val="03"/>
      <sheetName val="04"/>
      <sheetName val="Database"/>
      <sheetName val="SCHEDULE"/>
      <sheetName val="schedule nos"/>
      <sheetName val="horizontal"/>
      <sheetName val="DETAILED  BOQ"/>
      <sheetName val="foundation(V)"/>
      <sheetName val="PlazaElec"/>
      <sheetName val="A.O.R."/>
      <sheetName val="220Kv (2)"/>
      <sheetName val="ENCL9"/>
      <sheetName val="balance_Work3"/>
      <sheetName val="SAP架設-2005_12_314"/>
      <sheetName val="Material_3"/>
      <sheetName val="Final_Basic_rate1"/>
      <sheetName val="balance_Work4"/>
      <sheetName val="SAP架設-2005_12_315"/>
      <sheetName val="Material_4"/>
      <sheetName val="C_&amp;_G_RHS2"/>
      <sheetName val="LOCAL_RATES2"/>
      <sheetName val="Final_Basic_rate2"/>
      <sheetName val="S-Curve_(2)2"/>
      <sheetName val="balance_Work5"/>
      <sheetName val="SAP架設-2005_12_316"/>
      <sheetName val="Material_5"/>
      <sheetName val="C_&amp;_G_RHS3"/>
      <sheetName val="LOCAL_RATES3"/>
      <sheetName val="Final_Basic_rate3"/>
      <sheetName val="S-Curve_(2)3"/>
      <sheetName val="balance_Work6"/>
      <sheetName val="SAP架設-2005_12_317"/>
      <sheetName val="Material_6"/>
      <sheetName val="C_&amp;_G_RHS4"/>
      <sheetName val="LOCAL_RATES4"/>
      <sheetName val="Final_Basic_rate4"/>
      <sheetName val="S-Curve_(2)4"/>
      <sheetName val="21-Rate_Analysis-11"/>
      <sheetName val="final_abstract2"/>
      <sheetName val="Materials_Cost1"/>
      <sheetName val="Materials_Cost(PCC)2"/>
      <sheetName val="제출계산서"/>
      <sheetName val="upa"/>
      <sheetName val="det_est"/>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Improvements"/>
      <sheetName val="CPIPE"/>
      <sheetName val="Anal"/>
      <sheetName val="BLK2"/>
      <sheetName val="BLK3"/>
      <sheetName val="E &amp; R"/>
      <sheetName val="radar"/>
      <sheetName val="UG"/>
      <sheetName val="footing"/>
      <sheetName val="BOQ Distribution"/>
      <sheetName val="05"/>
      <sheetName val="PRELIM5"/>
      <sheetName val="P-Ins &amp; Bonds"/>
      <sheetName val="Code"/>
      <sheetName val="section"/>
      <sheetName val="PLAN_FEB97"/>
      <sheetName val="Plant &amp;  Machinery"/>
      <sheetName val="cul-invSUBMITTED"/>
      <sheetName val="INPUT SHEET"/>
      <sheetName val="RES-PLANNING"/>
      <sheetName val="Macro1"/>
      <sheetName val="footing for SP"/>
      <sheetName val="eb"/>
      <sheetName val="ult"/>
      <sheetName val="fp"/>
      <sheetName val="USB 1"/>
      <sheetName val="Input Data"/>
      <sheetName val="Input Data R"/>
      <sheetName val="Input Data F"/>
      <sheetName val="F4-F7"/>
      <sheetName val="MN T.B."/>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r"/>
      <sheetName val="Analysis-NH-Roads"/>
      <sheetName val="Analysis-NH-Culverts"/>
      <sheetName val=" AnalysisPCC"/>
      <sheetName val="Analysis-Drains &amp; Misc"/>
      <sheetName val="Lead Statement (PCC)"/>
      <sheetName val="Analysis-NH-Traf &amp; Trans"/>
      <sheetName val="Ave.wtd.rates"/>
      <sheetName val="Data Validation"/>
      <sheetName val="C5TRAFFIC"/>
      <sheetName val="C8"/>
      <sheetName val="Progressin Next mon-AP-17"/>
      <sheetName val="Assum"/>
      <sheetName val="Qty SR"/>
      <sheetName val="Cost of O &amp; O"/>
      <sheetName val="發包單價差-車站組鋼筋"/>
      <sheetName val="FORM-16"/>
      <sheetName val="S1BOQ"/>
      <sheetName val="RIP1"/>
      <sheetName val="CIT(1)"/>
      <sheetName val="List"/>
      <sheetName val="leads"/>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doq 1"/>
      <sheetName val="doq 9"/>
      <sheetName val="집계표(OPTION)"/>
      <sheetName val="PMS"/>
      <sheetName val="Jobwise"/>
      <sheetName val="Data 1"/>
      <sheetName val="FT-05-02IsoBOM"/>
      <sheetName val="RA Civil"/>
      <sheetName val="Load Calculation"/>
      <sheetName val="MASTER_RATE ANALYSIS"/>
      <sheetName val="Cashflows"/>
      <sheetName val="yENİCE"/>
      <sheetName val="TBEAM"/>
      <sheetName val="Core Data"/>
      <sheetName val="SS MH"/>
      <sheetName val="gen ledger data"/>
      <sheetName val="Design(600)"/>
      <sheetName val="budget"/>
      <sheetName val="form26"/>
      <sheetName val="Basic"/>
      <sheetName val="Rocker"/>
      <sheetName val="33628-Rev. A"/>
      <sheetName val="concrete"/>
      <sheetName val="Cash2"/>
      <sheetName val="General input"/>
      <sheetName val="Design sheet"/>
      <sheetName val="Cul_detail"/>
      <sheetName val="07"/>
      <sheetName val="RA-markate"/>
      <sheetName val="TS-TC"/>
      <sheetName val="ESOP ECAL TABLES"/>
      <sheetName val="Inputs"/>
      <sheetName val="precast RC element"/>
      <sheetName val="Labour &amp; Plant"/>
      <sheetName val="Timesheet"/>
      <sheetName val="ar"/>
      <sheetName val="Set"/>
      <sheetName val="calcul"/>
      <sheetName val="purpose&amp;input"/>
      <sheetName val="GLEVEL RHS"/>
      <sheetName val="산근"/>
      <sheetName val="대비표"/>
      <sheetName val="General Analysis"/>
      <sheetName val="SCURVE"/>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SUPPORT1"/>
      <sheetName val="Appendix A"/>
      <sheetName val="JCR TOP"/>
      <sheetName val="STRS"/>
      <sheetName val="Dropdown"/>
      <sheetName val="mlead"/>
      <sheetName val="abs road"/>
      <sheetName val="Abs_CD_2"/>
      <sheetName val="coverpage"/>
      <sheetName val="RMR"/>
      <sheetName val="road est"/>
      <sheetName val="Road data"/>
      <sheetName val="ECV"/>
      <sheetName val="12. Ins &amp; Bonds"/>
      <sheetName val="Index"/>
      <sheetName val="Intro"/>
      <sheetName val="Non debit-RMC"/>
      <sheetName val="RATE COMPILATION"/>
      <sheetName val="Debit_Pump"/>
      <sheetName val="Details_Transit"/>
      <sheetName val="Voucher"/>
      <sheetName val="Assmpns"/>
      <sheetName val="DATA-DEP.(13-17)"/>
      <sheetName val="DATA-KBPL(17-25)"/>
      <sheetName val="DATA-GCC(25-34.7)"/>
      <sheetName val="St.-Con(0-17)"/>
      <sheetName val="St.-Con.(17-34)"/>
      <sheetName val="Elect."/>
      <sheetName val="strand"/>
      <sheetName val="Materials_Cost2"/>
      <sheetName val="21-Rate_Analysis-12"/>
      <sheetName val="final_abstract3"/>
      <sheetName val="Materials_Cost(PCC)3"/>
      <sheetName val="Chiet_tinh_dz352"/>
      <sheetName val="pile_Fabrication2"/>
      <sheetName val="Risk_Te__Co_1"/>
      <sheetName val="Informa_1"/>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BUD_07-08"/>
      <sheetName val="Rate_Analysis1"/>
      <sheetName val="UNP-NCW_"/>
      <sheetName val="9_Major_Bridge"/>
      <sheetName val="8__ROB"/>
      <sheetName val="10_Minor_Structure"/>
      <sheetName val="7__FLYOVER"/>
      <sheetName val="2__Earthwork"/>
      <sheetName val="02_10_06"/>
      <sheetName val="Materials_"/>
      <sheetName val="01_11_2004"/>
      <sheetName val="schedule_nos"/>
      <sheetName val="220Kv_(2)"/>
      <sheetName val="DETAILED__BOQ1"/>
      <sheetName val="P-Ins_&amp;_Bonds"/>
      <sheetName val="USB_1"/>
      <sheetName val="MN_T_B_"/>
      <sheetName val="A_O_R_"/>
      <sheetName val="Ave_wtd_rates"/>
      <sheetName val="Data_Validation"/>
      <sheetName val="SPT_vs_PHI"/>
      <sheetName val="Progressin_Next_mon-AP-17"/>
      <sheetName val="Input_Data"/>
      <sheetName val="Input_Data_R"/>
      <sheetName val="Input_Data_F"/>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Jobs"/>
      <sheetName val="balance_Work7"/>
      <sheetName val="SAP架設-2005_12_318"/>
      <sheetName val="Material_7"/>
      <sheetName val="C_&amp;_G_RHS5"/>
      <sheetName val="LOCAL_RATES5"/>
      <sheetName val="Final_Basic_rate5"/>
      <sheetName val="S-Curve_(2)5"/>
      <sheetName val="처리단락"/>
      <sheetName val="1_PROGRESS_BY_LOCATION_FINAL"/>
      <sheetName val="1_PROGRESS_FINAL"/>
      <sheetName val="POCOS 제출및납품일정"/>
      <sheetName val="COMPLEXALL"/>
      <sheetName val="Riser-1"/>
      <sheetName val="Pile cap"/>
      <sheetName val="PIPING LINE LIST"/>
      <sheetName val="A1-Continuous"/>
      <sheetName val="girder"/>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Register"/>
      <sheetName val="SCHEDULE-3B"/>
      <sheetName val="BQMPALOC"/>
      <sheetName val="BLOWER(1)"/>
      <sheetName val="basdat"/>
      <sheetName val="Materials_Cost3"/>
      <sheetName val="21-Rate_Analysis-13"/>
      <sheetName val="final_abstract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Charge"/>
      <sheetName val="Structure du projet"/>
      <sheetName val="SC Cost FEB 03"/>
      <sheetName val="CASH-FLOW"/>
      <sheetName val="PLM_Coversheet"/>
      <sheetName val="연돌일위집계"/>
      <sheetName val="jobhist"/>
      <sheetName val="1월"/>
      <sheetName val="DRUM"/>
      <sheetName val="Rollup Summary"/>
      <sheetName val="Sheet3 (2)"/>
      <sheetName val="BM"/>
      <sheetName val="Materials_Cost4"/>
      <sheetName val="21-Rate_Analysis-14"/>
      <sheetName val="final_abstract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factor "/>
      <sheetName val="Control"/>
      <sheetName val="7IFS-5A"/>
      <sheetName val="Doha Farm"/>
      <sheetName val="POCOS_제출및납품일정"/>
      <sheetName val="Pile_cap"/>
      <sheetName val="PIPING_LINE_LIST"/>
      <sheetName val="Plant_&amp;__Machinery"/>
      <sheetName val="Measurment"/>
      <sheetName val="Diesel Analysis"/>
      <sheetName val="SC revtrgt"/>
      <sheetName val="bASICDATA"/>
      <sheetName val="NLD - Assum"/>
      <sheetName val="11-hsd"/>
      <sheetName val="13-septic"/>
      <sheetName val="7-ug"/>
      <sheetName val="2-utility"/>
      <sheetName val="18-misc"/>
      <sheetName val="5-pipe"/>
      <sheetName val="Highway-I"/>
      <sheetName val="Structure-I"/>
      <sheetName val="QC-I"/>
      <sheetName val="Survey-I"/>
      <sheetName val="Sub con List"/>
      <sheetName val="KM wise Quantity"/>
      <sheetName val="#REF!"/>
      <sheetName val="starter"/>
      <sheetName val="SCH 10"/>
      <sheetName val="Section_by_layers_old"/>
      <sheetName val="갑지"/>
      <sheetName val="Cal(6.3.2) GSB-T"/>
      <sheetName val="Cal(6.3.1) GSB-1(Jn.) DDA"/>
      <sheetName val="Cal(6.2.2) (b)EMB-T"/>
      <sheetName val="Cal(6.3.3) WMM-T"/>
      <sheetName val="Cal(6.2.4) SG-T"/>
      <sheetName val="S4"/>
      <sheetName val="Structure_du_projet"/>
      <sheetName val="ETC Plant Cost"/>
      <sheetName val="beam-reinft-IIInd floor"/>
      <sheetName val="Design"/>
      <sheetName val="dlvoid"/>
      <sheetName val="doq"/>
      <sheetName val=" "/>
      <sheetName val="10-Crop Age"/>
      <sheetName val="EqpPerfJun08"/>
      <sheetName val="MM2"/>
      <sheetName val="ST-O"/>
      <sheetName val="CG -St"/>
      <sheetName val="LL ABUT"/>
      <sheetName val="ADMIN SHEET"/>
      <sheetName val="ANNEXURE-A"/>
      <sheetName val="balance_Work8"/>
      <sheetName val="SAP架設-2005_12_319"/>
      <sheetName val="Material_8"/>
      <sheetName val="C_&amp;_G_RHS6"/>
      <sheetName val="LOCAL_RATES6"/>
      <sheetName val="Final_Basic_rate6"/>
      <sheetName val="S-Curve_(2)6"/>
      <sheetName val="21-Rate_Analysis-15"/>
      <sheetName val="final_abstract6"/>
      <sheetName val="Materials_Cost5"/>
      <sheetName val="Materials_Cost(PCC)6"/>
      <sheetName val="Chiet_tinh_dz355"/>
      <sheetName val="pile_Fabrication5"/>
      <sheetName val="Risk_Te__Co_4"/>
      <sheetName val="Informa_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BUD_07-08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Rate_Analysis4"/>
      <sheetName val="UNP-NCW_3"/>
      <sheetName val="9_Major_Bridge3"/>
      <sheetName val="8__ROB3"/>
      <sheetName val="10_Minor_Structure3"/>
      <sheetName val="7__FLYOVER3"/>
      <sheetName val="2__Earthwork3"/>
      <sheetName val="02_10_063"/>
      <sheetName val="Materials_3"/>
      <sheetName val="01_11_20043"/>
      <sheetName val="schedule_nos3"/>
      <sheetName val="DETAILED__BOQ4"/>
      <sheetName val="A_O_R_3"/>
      <sheetName val="220Kv_(2)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SS_MH3"/>
      <sheetName val="BOQ_Distribution3"/>
      <sheetName val="Wind_Speed_II3"/>
      <sheetName val="Duopitch_Roof3"/>
      <sheetName val="Free-Standing_Wall3"/>
      <sheetName val="Vertical_Walls3"/>
      <sheetName val="Flat_Roof3"/>
      <sheetName val="Factor_Sb3"/>
      <sheetName val="Size_Effect_Factor3"/>
      <sheetName val="Direction_factor3"/>
      <sheetName val="Wind_Speed_I3"/>
      <sheetName val="Bus_Ways3"/>
      <sheetName val="Major_Br__Statement3"/>
      <sheetName val="Site_clearance3"/>
      <sheetName val="4_Annex_1_Basic_rate3"/>
      <sheetName val="33628-Rev__A3"/>
      <sheetName val="gen_ledger_data3"/>
      <sheetName val="General_input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ESOP_ECAL_TABLES3"/>
      <sheetName val="Labour_&amp;_Plant3"/>
      <sheetName val="footing_for_SP3"/>
      <sheetName val="except_wiring3"/>
      <sheetName val="Fee_Rate_Summary3"/>
      <sheetName val="precast_RC_element3"/>
      <sheetName val="Core_Data3"/>
      <sheetName val="GLEVEL_RHS3"/>
      <sheetName val="General_Analysis3"/>
      <sheetName val="RA_Civil3"/>
      <sheetName val="E_&amp;_R3"/>
      <sheetName val="Appendix_A3"/>
      <sheetName val="JCR_TOP3"/>
      <sheetName val="POCOS_제출및납품일정1"/>
      <sheetName val="Pile_cap1"/>
      <sheetName val="PIPING_LINE_LIST1"/>
      <sheetName val="Analysis-Drains_&amp;_Misc3"/>
      <sheetName val="Lead_Statement_(PCC)3"/>
      <sheetName val="Analysis-NH-Traf_&amp;_Trans3"/>
      <sheetName val="abs_road3"/>
      <sheetName val="road_est3"/>
      <sheetName val="Road_data3"/>
      <sheetName val="INPUT_SHEET3"/>
      <sheetName val="12__Ins_&amp;_Bonds3"/>
      <sheetName val="Non_debit-RMC3"/>
      <sheetName val="RATE_COMPILATION3"/>
      <sheetName val="DATA-DEP_(13-17)3"/>
      <sheetName val="DATA-GCC(25-34_7)3"/>
      <sheetName val="St_-Con(0-17)3"/>
      <sheetName val="St_-Con_(17-34)3"/>
      <sheetName val="Elect_1"/>
      <sheetName val="Plant_&amp;__Machinery1"/>
      <sheetName val="Structure_du_projet1"/>
      <sheetName val="SC_Cost_FEB_03"/>
      <sheetName val="Cost_of_O_&amp;_O"/>
      <sheetName val="Rollup_Summary"/>
      <sheetName val="Sheet3_(2)"/>
      <sheetName val="factor_"/>
      <sheetName val="Doha_Farm"/>
      <sheetName val="doq_1"/>
      <sheetName val="doq_9"/>
      <sheetName val="Load_Calculation"/>
      <sheetName val="Diesel_Analysis"/>
      <sheetName val="SC_revtrgt"/>
      <sheetName val="NLD_-_Assum"/>
      <sheetName val="Sub_con_List"/>
      <sheetName val="KM_wise_Quantity"/>
      <sheetName val="SCH_10"/>
      <sheetName val="Cal(6_3_2)_GSB-T"/>
      <sheetName val="Cal(6_3_1)_GSB-1(Jn_)_DDA"/>
      <sheetName val="Cal(6_2_2)_(b)EMB-T"/>
      <sheetName val="Cal(6_3_3)_WMM-T"/>
      <sheetName val="Cal(6_2_4)_SG-T"/>
      <sheetName val="ETC_Plant_Cost"/>
      <sheetName val="beam-reinft-IIInd_floor"/>
      <sheetName val="MASTER_RATE_ANALYSIS"/>
      <sheetName val="_"/>
      <sheetName val="10-Crop_Age"/>
      <sheetName val="CG_-St"/>
      <sheetName val="LL_ABUT"/>
      <sheetName val="ADMIN_SHEET"/>
      <sheetName val="doq-10"/>
      <sheetName val="STAFFSCHED "/>
      <sheetName val="Raw Data"/>
      <sheetName val="balance_Work9"/>
      <sheetName val="SAP架設-2005_12_3110"/>
      <sheetName val="Material_9"/>
      <sheetName val="C_&amp;_G_RHS7"/>
      <sheetName val="LOCAL_RATES7"/>
      <sheetName val="Final_Basic_rate7"/>
      <sheetName val="S-Curve_(2)7"/>
      <sheetName val="21-Rate_Analysis-16"/>
      <sheetName val="final_abstract7"/>
      <sheetName val="Materials_Cost6"/>
      <sheetName val="Materials_Cost(PCC)7"/>
      <sheetName val="Chiet_tinh_dz356"/>
      <sheetName val="pile_Fabrication6"/>
      <sheetName val="Risk_Te__Co_5"/>
      <sheetName val="Informa_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BUD_07-08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Rate_Analysis5"/>
      <sheetName val="UNP-NCW_4"/>
      <sheetName val="9_Major_Bridge4"/>
      <sheetName val="8__ROB4"/>
      <sheetName val="10_Minor_Structure4"/>
      <sheetName val="7__FLYOVER4"/>
      <sheetName val="2__Earthwork4"/>
      <sheetName val="02_10_064"/>
      <sheetName val="Materials_4"/>
      <sheetName val="01_11_20044"/>
      <sheetName val="schedule_nos4"/>
      <sheetName val="DETAILED__BOQ5"/>
      <sheetName val="A_O_R_4"/>
      <sheetName val="220Kv_(2)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SS_MH4"/>
      <sheetName val="BOQ_Distribution4"/>
      <sheetName val="Wind_Speed_II4"/>
      <sheetName val="Duopitch_Roof4"/>
      <sheetName val="Free-Standing_Wall4"/>
      <sheetName val="Vertical_Walls4"/>
      <sheetName val="Flat_Roof4"/>
      <sheetName val="Factor_Sb4"/>
      <sheetName val="Size_Effect_Factor4"/>
      <sheetName val="Direction_factor4"/>
      <sheetName val="Wind_Speed_I4"/>
      <sheetName val="Bus_Ways4"/>
      <sheetName val="Major_Br__Statement4"/>
      <sheetName val="Site_clearance4"/>
      <sheetName val="4_Annex_1_Basic_rate4"/>
      <sheetName val="33628-Rev__A4"/>
      <sheetName val="gen_ledger_data4"/>
      <sheetName val="General_input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ESOP_ECAL_TABLES4"/>
      <sheetName val="Labour_&amp;_Plant4"/>
      <sheetName val="footing_for_SP4"/>
      <sheetName val="except_wiring4"/>
      <sheetName val="Fee_Rate_Summary4"/>
      <sheetName val="precast_RC_element4"/>
      <sheetName val="Core_Data4"/>
      <sheetName val="GLEVEL_RHS4"/>
      <sheetName val="General_Analysis4"/>
      <sheetName val="RA_Civil4"/>
      <sheetName val="E_&amp;_R4"/>
      <sheetName val="Appendix_A4"/>
      <sheetName val="JCR_TOP4"/>
      <sheetName val="POCOS_제출및납품일정2"/>
      <sheetName val="Pile_cap2"/>
      <sheetName val="PIPING_LINE_LIST2"/>
      <sheetName val="Analysis-Drains_&amp;_Misc4"/>
      <sheetName val="Lead_Statement_(PCC)4"/>
      <sheetName val="Analysis-NH-Traf_&amp;_Trans4"/>
      <sheetName val="abs_road4"/>
      <sheetName val="road_est4"/>
      <sheetName val="Road_data4"/>
      <sheetName val="INPUT_SHEET4"/>
      <sheetName val="12__Ins_&amp;_Bonds4"/>
      <sheetName val="Non_debit-RMC4"/>
      <sheetName val="RATE_COMPILATION4"/>
      <sheetName val="DATA-DEP_(13-17)4"/>
      <sheetName val="DATA-GCC(25-34_7)4"/>
      <sheetName val="St_-Con(0-17)4"/>
      <sheetName val="St_-Con_(17-34)4"/>
      <sheetName val="Elect_2"/>
      <sheetName val="Plant_&amp;__Machinery2"/>
      <sheetName val="Structure_du_projet2"/>
      <sheetName val="SC_Cost_FEB_031"/>
      <sheetName val="Cost_of_O_&amp;_O1"/>
      <sheetName val="Rollup_Summary1"/>
      <sheetName val="Sheet3_(2)1"/>
      <sheetName val="factor_1"/>
      <sheetName val="Doha_Farm1"/>
      <sheetName val="doq_11"/>
      <sheetName val="doq_91"/>
      <sheetName val="Load_Calculation1"/>
      <sheetName val="Diesel_Analysis1"/>
      <sheetName val="SC_revtrgt1"/>
      <sheetName val="NLD_-_Assum1"/>
      <sheetName val="Sub_con_List1"/>
      <sheetName val="KM_wise_Quantity1"/>
      <sheetName val="SCH_101"/>
      <sheetName val="Cal(6_3_2)_GSB-T1"/>
      <sheetName val="Cal(6_3_1)_GSB-1(Jn_)_DDA1"/>
      <sheetName val="Cal(6_2_2)_(b)EMB-T1"/>
      <sheetName val="Cal(6_3_3)_WMM-T1"/>
      <sheetName val="Cal(6_2_4)_SG-T1"/>
      <sheetName val="ETC_Plant_Cost1"/>
      <sheetName val="beam-reinft-IIInd_floor1"/>
      <sheetName val="MASTER_RATE_ANALYSIS1"/>
      <sheetName val="_1"/>
      <sheetName val="10-Crop_Age1"/>
      <sheetName val="CG_-St1"/>
      <sheetName val="LL_ABUT1"/>
      <sheetName val="ADMIN_SHEET1"/>
      <sheetName val="STAFFSCHED_"/>
      <sheetName val="Raw_Data"/>
      <sheetName val="balance_Work10"/>
      <sheetName val="SAP架設-2005_12_3111"/>
      <sheetName val="Material_10"/>
      <sheetName val="C_&amp;_G_RHS8"/>
      <sheetName val="LOCAL_RATES8"/>
      <sheetName val="Final_Basic_rate8"/>
      <sheetName val="S-Curve_(2)8"/>
      <sheetName val="21-Rate_Analysis-17"/>
      <sheetName val="final_abstract8"/>
      <sheetName val="Materials_Cost7"/>
      <sheetName val="Materials_Cost(PCC)8"/>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BUD_07-085"/>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Rate_Analysis6"/>
      <sheetName val="UNP-NCW_5"/>
      <sheetName val="9_Major_Bridge5"/>
      <sheetName val="8__ROB5"/>
      <sheetName val="10_Minor_Structure5"/>
      <sheetName val="7__FLYOVER5"/>
      <sheetName val="2__Earthwork5"/>
      <sheetName val="02_10_065"/>
      <sheetName val="Materials_5"/>
      <sheetName val="01_11_20045"/>
      <sheetName val="schedule_nos5"/>
      <sheetName val="DETAILED__BOQ6"/>
      <sheetName val="A_O_R_5"/>
      <sheetName val="220Kv_(2)5"/>
      <sheetName val="P-Ins_&amp;_Bonds5"/>
      <sheetName val="USB_15"/>
      <sheetName val="Ave_wtd_rates5"/>
      <sheetName val="Data_Validation5"/>
      <sheetName val="MN_T_B_5"/>
      <sheetName val="Progressin_Next_mon-AP-175"/>
      <sheetName val="SPT_vs_PHI5"/>
      <sheetName val="Input_Data5"/>
      <sheetName val="Input_Data_R5"/>
      <sheetName val="Input_Data_F5"/>
      <sheetName val="Data_15"/>
      <sheetName val="SS_MH5"/>
      <sheetName val="BOQ_Distribution5"/>
      <sheetName val="Wind_Speed_II5"/>
      <sheetName val="Duopitch_Roof5"/>
      <sheetName val="Free-Standing_Wall5"/>
      <sheetName val="Vertical_Walls5"/>
      <sheetName val="Flat_Roof5"/>
      <sheetName val="Factor_Sb5"/>
      <sheetName val="Size_Effect_Factor5"/>
      <sheetName val="Direction_factor5"/>
      <sheetName val="Wind_Speed_I5"/>
      <sheetName val="Bus_Ways5"/>
      <sheetName val="Major_Br__Statement5"/>
      <sheetName val="Site_clearance5"/>
      <sheetName val="4_Annex_1_Basic_rate5"/>
      <sheetName val="33628-Rev__A5"/>
      <sheetName val="gen_ledger_data5"/>
      <sheetName val="General_input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ESOP_ECAL_TABLES5"/>
      <sheetName val="Labour_&amp;_Plant5"/>
      <sheetName val="footing_for_SP5"/>
      <sheetName val="except_wiring5"/>
      <sheetName val="Fee_Rate_Summary5"/>
      <sheetName val="precast_RC_element5"/>
      <sheetName val="Core_Data5"/>
      <sheetName val="GLEVEL_RHS5"/>
      <sheetName val="General_Analysis5"/>
      <sheetName val="RA_Civil5"/>
      <sheetName val="E_&amp;_R5"/>
      <sheetName val="Appendix_A5"/>
      <sheetName val="JCR_TOP5"/>
      <sheetName val="POCOS_제출및납품일정3"/>
      <sheetName val="Pile_cap3"/>
      <sheetName val="PIPING_LINE_LIST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Elect_3"/>
      <sheetName val="Plant_&amp;__Machinery3"/>
      <sheetName val="Structure_du_projet3"/>
      <sheetName val="SC_Cost_FEB_032"/>
      <sheetName val="Cost_of_O_&amp;_O2"/>
      <sheetName val="Rollup_Summary2"/>
      <sheetName val="Sheet3_(2)2"/>
      <sheetName val="factor_2"/>
      <sheetName val="Doha_Farm2"/>
      <sheetName val="doq_12"/>
      <sheetName val="doq_92"/>
      <sheetName val="Load_Calculation2"/>
      <sheetName val="Diesel_Analysis2"/>
      <sheetName val="SC_revtrgt2"/>
      <sheetName val="NLD_-_Assum2"/>
      <sheetName val="Sub_con_List2"/>
      <sheetName val="KM_wise_Quantity2"/>
      <sheetName val="SCH_102"/>
      <sheetName val="Cal(6_3_2)_GSB-T2"/>
      <sheetName val="Cal(6_3_1)_GSB-1(Jn_)_DDA2"/>
      <sheetName val="Cal(6_2_2)_(b)EMB-T2"/>
      <sheetName val="Cal(6_3_3)_WMM-T2"/>
      <sheetName val="Cal(6_2_4)_SG-T2"/>
      <sheetName val="ETC_Plant_Cost2"/>
      <sheetName val="beam-reinft-IIInd_floor2"/>
      <sheetName val="MASTER_RATE_ANALYSIS2"/>
      <sheetName val="_2"/>
      <sheetName val="10-Crop_Age2"/>
      <sheetName val="CG_-St2"/>
      <sheetName val="LL_ABUT2"/>
      <sheetName val="ADMIN_SHEET2"/>
      <sheetName val="STAFFSCHED_1"/>
      <sheetName val="Raw_Data1"/>
      <sheetName val="ORDER BOOKING"/>
      <sheetName val="doq4 "/>
      <sheetName val="Names&amp;Cases"/>
      <sheetName val="LTG-STG"/>
      <sheetName val="CERT"/>
      <sheetName val="scatch"/>
      <sheetName val="Labor abs-NMR"/>
      <sheetName val="STR"/>
      <sheetName val="GEN"/>
      <sheetName val="SKMD  32"/>
      <sheetName val="BITUMEN"/>
      <sheetName val="DIR USED ITEMS"/>
      <sheetName val="1"/>
      <sheetName val="2"/>
      <sheetName val="3"/>
      <sheetName val="4"/>
      <sheetName val="5"/>
      <sheetName val="6"/>
      <sheetName val="7"/>
      <sheetName val="8"/>
      <sheetName val="9"/>
      <sheetName val="10"/>
      <sheetName val="11"/>
      <sheetName val="12"/>
      <sheetName val="13"/>
      <sheetName val="14"/>
      <sheetName val="15"/>
      <sheetName val="16"/>
      <sheetName val="12.8 I (M-40)"/>
      <sheetName val="Tower Schedule"/>
      <sheetName val="CLAY"/>
      <sheetName val="Tower_Schedule"/>
      <sheetName val="Tower_Schedule1"/>
      <sheetName val="Transfer"/>
      <sheetName val="Config"/>
      <sheetName val="공문"/>
      <sheetName val="Aggragate"/>
      <sheetName val="ANN -V"/>
      <sheetName val="Sheet4"/>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Comparables"/>
      <sheetName val="Entry"/>
      <sheetName val="maing1"/>
      <sheetName val="dummy"/>
      <sheetName val="loadcal"/>
      <sheetName val="Field Values"/>
      <sheetName val="Desgn(zone I)"/>
      <sheetName val="Costing"/>
      <sheetName val="Abs PMRL"/>
      <sheetName val="Abstract of cost"/>
      <sheetName val="VCH-SLC"/>
      <sheetName val="Supplier"/>
      <sheetName val="IO List"/>
      <sheetName val="S2groupcode"/>
      <sheetName val="TBAL9697 -group wise  sdpl"/>
      <sheetName val="Model"/>
      <sheetName val="CONSTRUCTION COMPONENT"/>
      <sheetName val="MATERIAL COST"/>
      <sheetName val="DSLP"/>
      <sheetName val="Tower_Schedule2"/>
      <sheetName val="Pro Pavement"/>
      <sheetName val="SALIENT"/>
      <sheetName val="Pro_Pavement"/>
      <sheetName val="Rates_PVC"/>
      <sheetName val="FRL-OGL"/>
      <sheetName val="SKMD__32"/>
      <sheetName val="DIR_USED_ITEMS"/>
      <sheetName val="12_8_I_(M-40)"/>
      <sheetName val="Z"/>
      <sheetName val="Project Budget Worksheet"/>
      <sheetName val="1St certified RA bill"/>
      <sheetName val="Cal"/>
      <sheetName val="6공구(당초)"/>
      <sheetName val="Progress"/>
      <sheetName val="no."/>
      <sheetName val="BUD-8306"/>
      <sheetName val="C-data"/>
      <sheetName val="Lead statement"/>
      <sheetName val="aoc-1"/>
      <sheetName val="aoc-10"/>
      <sheetName val="aoc-11"/>
      <sheetName val="aoc-2"/>
      <sheetName val="aoc-3"/>
      <sheetName val="aoc-4"/>
      <sheetName val="aoc-7"/>
      <sheetName val="aoc-8"/>
      <sheetName val="aoc-9"/>
      <sheetName val="Sheet6"/>
      <sheetName val="GSS_PSS_FEEDER"/>
      <sheetName val="BOQ (2)"/>
      <sheetName val="Qty Report"/>
      <sheetName val="banilad"/>
      <sheetName val="Mactan"/>
      <sheetName val="Mandaue"/>
      <sheetName val="BASIC RATES"/>
      <sheetName val="288-1"/>
      <sheetName val="Dayworks Bill"/>
      <sheetName val="Bills of Quantities"/>
      <sheetName val="Vcap1500"/>
      <sheetName val="Cover"/>
      <sheetName val="BOQ DIS"/>
      <sheetName val="Quantity"/>
      <sheetName val="All Equipments"/>
      <sheetName val="ISTDUV_KUR"/>
      <sheetName val="BRIM_ICMAL"/>
      <sheetName val="TELBAĞ_KUR"/>
      <sheetName val="yoca_kur"/>
      <sheetName val="TESKAN_KUR"/>
      <sheetName val="ISITES_KUR"/>
      <sheetName val="POZLAR"/>
      <sheetName val="YOLOT_KUR"/>
      <sheetName val="Desdat"/>
      <sheetName val="95삼성급(본사)"/>
      <sheetName val="Ammonia Unit"/>
      <sheetName val="instrument-b.d"/>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Dtype-Civil"/>
      <sheetName val="Day work"/>
      <sheetName val="Design basis-C"/>
      <sheetName val="Mechanical"/>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Curve_(2)9"/>
      <sheetName val="LOCAL_RATES9"/>
      <sheetName val="C_&amp;_G_RHS9"/>
      <sheetName val="21-Rate_Analysis-18"/>
      <sheetName val="final_abstract9"/>
      <sheetName val="Materials_Cost(PCC)9"/>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Project_Budget_Worksheet"/>
      <sheetName val="no_"/>
      <sheetName val="BOQ_DIS"/>
      <sheetName val="All_Equipments"/>
      <sheetName val="TABLES"/>
      <sheetName val="Report"/>
      <sheetName val="Monthly Turnover (Final)"/>
      <sheetName val="Monthly Programme"/>
      <sheetName val="Sch-3"/>
      <sheetName val="Abstruct total"/>
      <sheetName val="Costing-blk-B"/>
      <sheetName val="HP(9.200)"/>
      <sheetName val="Equipment Master"/>
      <sheetName val="Monthly_Turnover_(Final)"/>
      <sheetName val="Monthly_Programme"/>
      <sheetName val="Abstruct_total"/>
      <sheetName val="HP(9_200)"/>
      <sheetName val="Equipment_Master"/>
      <sheetName val="HW-MEASURMENT"/>
      <sheetName val="Vendor Name"/>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DMS_Configurator"/>
      <sheetName val="PlazaConstr"/>
      <sheetName val="PROG_DATA"/>
      <sheetName val="Calc"/>
      <sheetName val="AT-3"/>
      <sheetName val="CFL-KIM"/>
      <sheetName val="FORM7"/>
      <sheetName val="REGIONWISE POPULATION"/>
      <sheetName val="tower wt."/>
      <sheetName val="FOREST"/>
      <sheetName val="REGIONWISE_POPULATION"/>
      <sheetName val="tower_wt_"/>
      <sheetName val="CY4 casted"/>
      <sheetName val="PACK (B)"/>
      <sheetName val="VARIABLE"/>
      <sheetName val="Resource"/>
      <sheetName val="Not found as per ground reality"/>
      <sheetName val="Longitudinal"/>
      <sheetName val="Steel Structure"/>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COST"/>
      <sheetName val="Gen Info"/>
      <sheetName val="Overhead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R.A."/>
      <sheetName val="(Do not delete)"/>
      <sheetName val="자바라1"/>
      <sheetName val="Definitions"/>
      <sheetName val="BOQ1"/>
      <sheetName val="ADMIN_SHEET3"/>
      <sheetName val="10-Crop_Age3"/>
      <sheetName val="_3"/>
      <sheetName val="Structure_du_projet4"/>
      <sheetName val="LL_ABUT3"/>
      <sheetName val="CG_-St3"/>
      <sheetName val="Cal(6_3_2)_GSB-T3"/>
      <sheetName val="Cal(6_3_1)_GSB-1(Jn_)_DDA3"/>
      <sheetName val="Cal(6_2_2)_(b)EMB-T3"/>
      <sheetName val="Cal(6_3_3)_WMM-T3"/>
      <sheetName val="Cal(6_2_4)_SG-T3"/>
      <sheetName val="MASTER_RATE_ANALYSIS3"/>
      <sheetName val="ETC_Plant_Cost3"/>
      <sheetName val="beam-reinft-IIInd_floor3"/>
      <sheetName val="Design_basis-C"/>
      <sheetName val="Pro_Pavement1"/>
      <sheetName val="ANN_-V2"/>
      <sheetName val="ORDER_BOOKING2"/>
      <sheetName val="Lead_statement"/>
      <sheetName val="train cash"/>
      <sheetName val="accom cash"/>
      <sheetName val="M-Book for Conc"/>
      <sheetName val="M-Book for FW"/>
      <sheetName val="Pro_Pavement2"/>
      <sheetName val="HB CEC schd 6.2"/>
      <sheetName val="DetEst"/>
      <sheetName val="steam outlet"/>
      <sheetName val="Cost Summary"/>
      <sheetName val="Rising Main"/>
      <sheetName val="Formulas"/>
      <sheetName val="LOCAL_RATES10"/>
      <sheetName val="S-Curve_(2)10"/>
      <sheetName val="Final_Basic_rate9"/>
      <sheetName val="Materials_Cost9"/>
      <sheetName val="C_&amp;_G_RHS10"/>
      <sheetName val="21-Rate_Analysis-19"/>
      <sheetName val="final_abstract10"/>
      <sheetName val="Materials_Cost(PCC)10"/>
      <sheetName val="Chiet_tinh_dz359"/>
      <sheetName val="pile_Fabrication9"/>
      <sheetName val="Risk_Te__Co_8"/>
      <sheetName val="Informa_8"/>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input_micro8"/>
      <sheetName val="Mix_Design7"/>
      <sheetName val="doq-1_DOQ_Culvert7"/>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HSD_LUB_7"/>
      <sheetName val="Rate_Analysis8"/>
      <sheetName val="BUD_07-087"/>
      <sheetName val="schedule_nos7"/>
      <sheetName val="Materials_7"/>
      <sheetName val="01_11_20047"/>
      <sheetName val="UNP-NCW_7"/>
      <sheetName val="9_Major_Bridge7"/>
      <sheetName val="8__ROB7"/>
      <sheetName val="10_Minor_Structure7"/>
      <sheetName val="7__FLYOVER7"/>
      <sheetName val="2__Earthwork7"/>
      <sheetName val="02_10_067"/>
      <sheetName val="P-Ins_&amp;_Bonds7"/>
      <sheetName val="USB_17"/>
      <sheetName val="220Kv_(2)7"/>
      <sheetName val="DETAILED__BOQ8"/>
      <sheetName val="SPT_vs_PHI7"/>
      <sheetName val="MN_T_B_7"/>
      <sheetName val="Wind_Speed_II7"/>
      <sheetName val="Duopitch_Roof7"/>
      <sheetName val="Free-Standing_Wall7"/>
      <sheetName val="Vertical_Walls7"/>
      <sheetName val="Flat_Roof7"/>
      <sheetName val="Factor_Sb7"/>
      <sheetName val="Size_Effect_Factor7"/>
      <sheetName val="Direction_factor7"/>
      <sheetName val="Wind_Speed_I7"/>
      <sheetName val="A_O_R_7"/>
      <sheetName val="Ave_wtd_rates7"/>
      <sheetName val="Data_Validation7"/>
      <sheetName val="Progressin_Next_mon-AP-177"/>
      <sheetName val="Input_Data7"/>
      <sheetName val="Input_Data_R7"/>
      <sheetName val="Input_Data_F7"/>
      <sheetName val="Qty_SR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_AnalysisPCC7"/>
      <sheetName val="Data_17"/>
      <sheetName val="SS_MH7"/>
      <sheetName val="Bus_Ways7"/>
      <sheetName val="Major_Br__Statement7"/>
      <sheetName val="Site_clearance7"/>
      <sheetName val="4_Annex_1_Basic_rate7"/>
      <sheetName val="BOQ_Distribution7"/>
      <sheetName val="33628-Rev__A7"/>
      <sheetName val="gen_ledger_data7"/>
      <sheetName val="General_input7"/>
      <sheetName val="Design_sheet7"/>
      <sheetName val="footing_for_SP7"/>
      <sheetName val="ESOP_ECAL_TABLES7"/>
      <sheetName val="Fee_Rate_Summary7"/>
      <sheetName val="precast_RC_element7"/>
      <sheetName val="Labour_&amp;_Plant7"/>
      <sheetName val="Core_Data7"/>
      <sheetName val="GLEVEL_RHS7"/>
      <sheetName val="General_Analysis7"/>
      <sheetName val="RA_Civil7"/>
      <sheetName val="E_&amp;_R7"/>
      <sheetName val="except_wiring7"/>
      <sheetName val="Appendix_A7"/>
      <sheetName val="JCR_TOP7"/>
      <sheetName val="Analysis-Drains_&amp;_Misc7"/>
      <sheetName val="Lead_Statement_(PCC)7"/>
      <sheetName val="Analysis-NH-Traf_&amp;_Trans7"/>
      <sheetName val="abs_road7"/>
      <sheetName val="road_est7"/>
      <sheetName val="Road_data7"/>
      <sheetName val="INPUT_SHEET7"/>
      <sheetName val="12__Ins_&amp;_Bonds7"/>
      <sheetName val="Non_debit-RMC7"/>
      <sheetName val="RATE_COMPILATION7"/>
      <sheetName val="DATA-DEP_(13-17)7"/>
      <sheetName val="DATA-GCC(25-34_7)7"/>
      <sheetName val="St_-Con(0-17)7"/>
      <sheetName val="St_-Con_(17-34)7"/>
      <sheetName val="Elect_5"/>
      <sheetName val="Plant_&amp;__Machinery5"/>
      <sheetName val="POCOS_제출및납품일정5"/>
      <sheetName val="Pile_cap5"/>
      <sheetName val="PIPING_LINE_LIST5"/>
      <sheetName val="Doha_Farm4"/>
      <sheetName val="Cost_of_O_&amp;_O4"/>
      <sheetName val="Rollup_Summary4"/>
      <sheetName val="Sheet3_(2)4"/>
      <sheetName val="Diesel_Analysis4"/>
      <sheetName val="SC_revtrgt4"/>
      <sheetName val="NLD_-_Assum4"/>
      <sheetName val="Sub_con_List4"/>
      <sheetName val="KM_wise_Quantity4"/>
      <sheetName val="SCH_104"/>
      <sheetName val="doq_14"/>
      <sheetName val="doq_94"/>
      <sheetName val="Load_Calculation4"/>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EAW Final Accounts - 99"/>
      <sheetName val="XREF"/>
      <sheetName val="SAP架設-2005_12_3112"/>
      <sheetName val="balance_Work11"/>
      <sheetName val="LOCAL_RATES11"/>
      <sheetName val="S-Curve_(2)11"/>
      <sheetName val="Final_Basic_rate10"/>
      <sheetName val="Materials_Cost10"/>
      <sheetName val="C_&amp;_G_RHS11"/>
      <sheetName val="Material_11"/>
      <sheetName val="21-Rate_Analysis-110"/>
      <sheetName val="final_abstract11"/>
      <sheetName val="Materials_Cost(PCC)11"/>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input_micro9"/>
      <sheetName val="Mix_Design8"/>
      <sheetName val="doq-1_DOQ_Culvert8"/>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HSD_LUB_8"/>
      <sheetName val="Rate_Analysis9"/>
      <sheetName val="BUD_07-088"/>
      <sheetName val="schedule_nos8"/>
      <sheetName val="Materials_8"/>
      <sheetName val="01_11_20048"/>
      <sheetName val="UNP-NCW_8"/>
      <sheetName val="9_Major_Bridge8"/>
      <sheetName val="8__ROB8"/>
      <sheetName val="10_Minor_Structure8"/>
      <sheetName val="7__FLYOVER8"/>
      <sheetName val="2__Earthwork8"/>
      <sheetName val="02_10_068"/>
      <sheetName val="P-Ins_&amp;_Bonds8"/>
      <sheetName val="USB_18"/>
      <sheetName val="220Kv_(2)8"/>
      <sheetName val="DETAILED__BOQ9"/>
      <sheetName val="SPT_vs_PHI8"/>
      <sheetName val="MN_T_B_8"/>
      <sheetName val="Wind_Speed_II8"/>
      <sheetName val="Duopitch_Roof8"/>
      <sheetName val="Free-Standing_Wall8"/>
      <sheetName val="Vertical_Walls8"/>
      <sheetName val="Flat_Roof8"/>
      <sheetName val="Factor_Sb8"/>
      <sheetName val="Size_Effect_Factor8"/>
      <sheetName val="Direction_factor8"/>
      <sheetName val="Wind_Speed_I8"/>
      <sheetName val="A_O_R_8"/>
      <sheetName val="Ave_wtd_rates8"/>
      <sheetName val="Data_Validation8"/>
      <sheetName val="Progressin_Next_mon-AP-178"/>
      <sheetName val="Input_Data8"/>
      <sheetName val="Input_Data_R8"/>
      <sheetName val="Input_Data_F8"/>
      <sheetName val="Qty_SR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Data_18"/>
      <sheetName val="SS_MH8"/>
      <sheetName val="Bus_Ways8"/>
      <sheetName val="Major_Br__Statement8"/>
      <sheetName val="Site_clearance8"/>
      <sheetName val="4_Annex_1_Basic_rate8"/>
      <sheetName val="BOQ_Distribution8"/>
      <sheetName val="33628-Rev__A8"/>
      <sheetName val="gen_ledger_data8"/>
      <sheetName val="General_input8"/>
      <sheetName val="Design_sheet8"/>
      <sheetName val="footing_for_SP8"/>
      <sheetName val="ESOP_ECAL_TABLES8"/>
      <sheetName val="Fee_Rate_Summary8"/>
      <sheetName val="precast_RC_element8"/>
      <sheetName val="Labour_&amp;_Plant8"/>
      <sheetName val="Core_Data8"/>
      <sheetName val="GLEVEL_RHS8"/>
      <sheetName val="General_Analysis8"/>
      <sheetName val="RA_Civil8"/>
      <sheetName val="E_&amp;_R8"/>
      <sheetName val="except_wiring8"/>
      <sheetName val="Appendix_A8"/>
      <sheetName val="JCR_TOP8"/>
      <sheetName val="Analysis-Drains_&amp;_Misc8"/>
      <sheetName val="Lead_Statement_(PCC)8"/>
      <sheetName val="Analysis-NH-Traf_&amp;_Trans8"/>
      <sheetName val="abs_road8"/>
      <sheetName val="road_est8"/>
      <sheetName val="Road_data8"/>
      <sheetName val="INPUT_SHEET8"/>
      <sheetName val="12__Ins_&amp;_Bonds8"/>
      <sheetName val="Non_debit-RMC8"/>
      <sheetName val="RATE_COMPILATION8"/>
      <sheetName val="DATA-DEP_(13-17)8"/>
      <sheetName val="DATA-GCC(25-34_7)8"/>
      <sheetName val="St_-Con(0-17)8"/>
      <sheetName val="St_-Con_(17-34)8"/>
      <sheetName val="Elect_6"/>
      <sheetName val="Plant_&amp;__Machinery6"/>
      <sheetName val="POCOS_제출및납품일정6"/>
      <sheetName val="Pile_cap6"/>
      <sheetName val="PIPING_LINE_LIST6"/>
      <sheetName val="Doha_Farm5"/>
      <sheetName val="Cost_of_O_&amp;_O5"/>
      <sheetName val="Rollup_Summary5"/>
      <sheetName val="Sheet3_(2)5"/>
      <sheetName val="Diesel_Analysis5"/>
      <sheetName val="SC_revtrgt5"/>
      <sheetName val="NLD_-_Assum5"/>
      <sheetName val="Sub_con_List5"/>
      <sheetName val="KM_wise_Quantity5"/>
      <sheetName val="SCH_105"/>
      <sheetName val="Structure_du_projet5"/>
      <sheetName val="doq_15"/>
      <sheetName val="doq_95"/>
      <sheetName val="Load_Calculation5"/>
      <sheetName val="Pro_Pavement3"/>
      <sheetName val="REGIONWISE_POPULATION1"/>
      <sheetName val="tower_wt_1"/>
      <sheetName val="CY4_casted"/>
      <sheetName val="PACK_(B)"/>
      <sheetName val="train_cash"/>
      <sheetName val="accom_cash"/>
      <sheetName val="M-Book_for_Conc"/>
      <sheetName val="M-Book_for_FW"/>
      <sheetName val="Bill-12"/>
      <sheetName val="Summary_Local"/>
      <sheetName val="Machinary_Road Work"/>
      <sheetName val="Batching&amp;Pil POL"/>
      <sheetName val="Pil"/>
      <sheetName val="Steel Piling_POL"/>
      <sheetName val="Backup PRW - VIIA"/>
      <sheetName val="factor_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Project_Budget_Worksheet1"/>
      <sheetName val="no_1"/>
      <sheetName val="BOQ_DIS1"/>
      <sheetName val="All_Equipments1"/>
      <sheetName val="MATERIAL_COST"/>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doq4_"/>
      <sheetName val="Gen_Info"/>
      <sheetName val="PAVEMENT_MN"/>
      <sheetName val="SP_Break_Up"/>
      <sheetName val="Sweeper_Machine"/>
      <sheetName val="PQC_Design"/>
      <sheetName val="pqc_check"/>
      <sheetName val="Inv_Data"/>
      <sheetName val="_4"/>
      <sheetName val="CG_-St4"/>
      <sheetName val="LL_ABUT4"/>
      <sheetName val="ADMIN_SHEET4"/>
      <sheetName val="10-Crop_Age4"/>
      <sheetName val="factor_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AOR"/>
      <sheetName val="EDWise"/>
      <sheetName val="Code03"/>
      <sheetName val="retaining wall calculatn sheet"/>
      <sheetName val="detail'02"/>
      <sheetName val="Z1_DATA"/>
      <sheetName val="MHNO_LEV"/>
      <sheetName val="zone-2"/>
      <sheetName val="Makro1"/>
      <sheetName val="공장별판관비배부"/>
      <sheetName val="PCC"/>
      <sheetName val="Lead"/>
      <sheetName val="C&amp;G August"/>
      <sheetName val="factors"/>
      <sheetName val="DATA_PILE_BG"/>
      <sheetName val="DATA_PCC"/>
      <sheetName val="DATA_PILECAP"/>
      <sheetName val="DATA_PILE_RT2"/>
      <sheetName val="DATA_PILE_RT1 "/>
      <sheetName val="DATA_PILE _SM"/>
      <sheetName val="1V800"/>
      <sheetName val="EW SR"/>
      <sheetName val="Cube_BOQ"/>
      <sheetName val="As per PCA"/>
      <sheetName val="Data sheet"/>
      <sheetName val="moments-table(tri)"/>
      <sheetName val="Structure_du_projet6"/>
      <sheetName val="EAW_Final_Accounts_-_99"/>
      <sheetName val="As_per_PCA"/>
      <sheetName val="Data_sheet"/>
      <sheetName val="Details"/>
      <sheetName val="Publicbuilding"/>
      <sheetName val="Legal Risk Analysis"/>
      <sheetName val="Staff Acco."/>
      <sheetName val="labour coeff"/>
      <sheetName val="Rate Base"/>
      <sheetName val="CT Thang Mo"/>
      <sheetName val="CT  PL"/>
      <sheetName val="inter"/>
      <sheetName val="sumary"/>
      <sheetName val="2nd "/>
      <sheetName val="shuttering"/>
      <sheetName val="p&amp;m"/>
      <sheetName val="Cable-data"/>
      <sheetName val="foot-slab reinft"/>
      <sheetName val="Variation Statement"/>
      <sheetName val="beam-reinft"/>
      <sheetName val="conc-foot-gradeslab"/>
      <sheetName val="head loss calc"/>
      <sheetName val="A.O.R r1Str"/>
      <sheetName val="A.O.R r1"/>
      <sheetName val="A.O.R (2)"/>
      <sheetName val="Mes"/>
      <sheetName val="RA"/>
      <sheetName val="Slab Drain Abs."/>
      <sheetName val="Invoice"/>
      <sheetName val="Price Index Multiple (2)"/>
      <sheetName val="Price Index Multiple -1 REV"/>
      <sheetName val="Price Index Multiple"/>
      <sheetName val="Fiancial"/>
      <sheetName val="Abstract-Physical Progress."/>
      <sheetName val=" Earth Work"/>
      <sheetName val="GSB"/>
      <sheetName val="WMM"/>
      <sheetName val="Shoulders"/>
      <sheetName val="DBM"/>
      <sheetName val="DLC"/>
      <sheetName val="PQC"/>
      <sheetName val="BC"/>
      <sheetName val=" Culverts (wd)"/>
      <sheetName val="I-C -1. Culverts"/>
      <sheetName val="Drain"/>
      <sheetName val="SECPROP"/>
      <sheetName val="CABLENOS."/>
      <sheetName val="Excavation"/>
      <sheetName val="Labour productivity"/>
      <sheetName val="TCS IIC"/>
      <sheetName val="TCS II D"/>
      <sheetName val="PIE chart data"/>
      <sheetName val="GE"/>
      <sheetName val="MPW"/>
      <sheetName val="PRW"/>
      <sheetName val="SCW"/>
      <sheetName val="DESBAST"/>
      <sheetName val="Miscellaneous"/>
      <sheetName val="Road_All"/>
      <sheetName val="summery-I"/>
      <sheetName val="2.07 EMB"/>
      <sheetName val="MPR_PA_1"/>
      <sheetName val="Basicdata-f"/>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Qty-UG"/>
      <sheetName val="Income &amp; Occupancy Customer"/>
      <sheetName val="Scope Reconciliation"/>
      <sheetName val="PL"/>
      <sheetName val="Assumptions"/>
      <sheetName val="misc"/>
      <sheetName val="장비"/>
      <sheetName val="노무"/>
      <sheetName val="Labour rates"/>
      <sheetName val="Headings"/>
      <sheetName val="7 Other Costs"/>
      <sheetName val="Occ, Other Rev, Exp, Dispo"/>
      <sheetName val="Assumptions-Input"/>
      <sheetName val="Material List "/>
      <sheetName val="Price_Index_Multiple_(2)2"/>
      <sheetName val="Price_Index_Multiple_-1_REV2"/>
      <sheetName val="Price_Index_Multiple2"/>
      <sheetName val="Abstract-Physical_Progress_2"/>
      <sheetName val="_Earth_Work2"/>
      <sheetName val="_Culverts_(wd)2"/>
      <sheetName val="I-C_-1__Culverts2"/>
      <sheetName val="Price_Index_Multiple_(2)1"/>
      <sheetName val="Price_Index_Multiple_-1_REV1"/>
      <sheetName val="Price_Index_Multiple1"/>
      <sheetName val="Abstract-Physical_Progress_1"/>
      <sheetName val="_Earth_Work1"/>
      <sheetName val="_Culverts_(wd)1"/>
      <sheetName val="I-C_-1__Culverts1"/>
      <sheetName val="Price_Index_Multiple_(2)"/>
      <sheetName val="Price_Index_Multiple_-1_REV"/>
      <sheetName val="Price_Index_Multiple"/>
      <sheetName val="Abstract-Physical_Progress_"/>
      <sheetName val="_Earth_Work"/>
      <sheetName val="_Culverts_(wd)"/>
      <sheetName val="I-C_-1__Culverts"/>
      <sheetName val="Bill No 6A- Measurement"/>
      <sheetName val="70R"/>
      <sheetName val="IV 3. Road side drains"/>
      <sheetName val="MATERIALS"/>
      <sheetName val="box-12"/>
      <sheetName val="LabourRates"/>
      <sheetName val="doq-1 bus bay"/>
      <sheetName val="doq 2"/>
      <sheetName val="doq-1 Aoq Culvert"/>
      <sheetName val="doq-7"/>
      <sheetName val="Mach Reco"/>
      <sheetName val="Direct cost shed A-2 "/>
      <sheetName val="MAUN"/>
      <sheetName val="LINER"/>
      <sheetName val="BORING "/>
      <sheetName val="EXPANSION JOINT"/>
      <sheetName val="CIS MAIN BERTH-1"/>
      <sheetName val="New Construction"/>
      <sheetName val="Validation"/>
      <sheetName val="TB"/>
      <sheetName val="Letter"/>
      <sheetName val="Name of the Line"/>
      <sheetName val="VENDOR"/>
      <sheetName val="Bar Budget"/>
      <sheetName val="PNM Justi"/>
      <sheetName val="Bar"/>
      <sheetName val="SITE DATA"/>
      <sheetName val="Shutter"/>
      <sheetName val="BOQ Backup"/>
      <sheetName val="PRECAST_lightconc-II"/>
      <sheetName val="water_prop_"/>
      <sheetName val="Chpt_1-4_&amp;_13"/>
      <sheetName val="L040"/>
      <sheetName val="SMB"/>
      <sheetName val="sheeet7"/>
      <sheetName val="SITE OVERHEADS"/>
      <sheetName val="Misc. Data"/>
      <sheetName val="Fill this out first..."/>
      <sheetName val="csdim"/>
      <sheetName val="cdsload"/>
      <sheetName val="chsload"/>
      <sheetName val="CLAMP"/>
      <sheetName val="cvsload"/>
      <sheetName val="pipe"/>
      <sheetName val="OC 17-04-06"/>
      <sheetName val="SB - reinf"/>
      <sheetName val="Basic Rate"/>
      <sheetName val="10-SHEAR PILES"/>
      <sheetName val="1-INPUT-PARAMETERS"/>
      <sheetName val="Backup"/>
      <sheetName val="Abutment "/>
      <sheetName val="BORING_"/>
      <sheetName val="EXPANSION_JOINT"/>
      <sheetName val="CIS_MAIN_BERTH-1"/>
      <sheetName val="New_Construction"/>
      <sheetName val="Abutment_"/>
      <sheetName val="40mm"/>
      <sheetName val="10mm"/>
      <sheetName val="20mm"/>
      <sheetName val="3BPA00132-5-3 W plan HVPNL"/>
      <sheetName val="Rates Basic"/>
      <sheetName val="Cut to spoil (sound rock)"/>
      <sheetName val="Cut to spoil (soft rock)"/>
      <sheetName val="Divertions"/>
      <sheetName val="Extra over haulages.."/>
      <sheetName val="Fill from borrow"/>
      <sheetName val="Fill Flattening"/>
      <sheetName val="Milling 10.6 TO 58"/>
      <sheetName val="Obliteration"/>
      <sheetName val="Removal Top Soil"/>
      <sheetName val="Removal unsuitable"/>
      <sheetName val="Subbase"/>
      <sheetName val="GSB July"/>
      <sheetName val="WMM July"/>
      <sheetName val="v"/>
      <sheetName val="STRIP Sizing"/>
      <sheetName val="Mass Balance (metric)"/>
      <sheetName val="GROUP"/>
      <sheetName val="LEVEL RHS"/>
      <sheetName val="Aug,02"/>
      <sheetName val="hyperstatic-3"/>
      <sheetName val="Measurements"/>
      <sheetName val="Ceilings"/>
      <sheetName val="ACAD Finishes"/>
      <sheetName val="Site Details"/>
      <sheetName val="Chair"/>
      <sheetName val="Site Area Statement"/>
      <sheetName val="Doors"/>
      <sheetName val="10+260"/>
      <sheetName val="Package-2"/>
      <sheetName val="INPUT-DATA"/>
      <sheetName val="Q-100-2-2_Current_Taxes"/>
      <sheetName val="MC_CST"/>
      <sheetName val="IDC"/>
      <sheetName val="OCE-TOP"/>
      <sheetName val="Cover sheet"/>
      <sheetName val="Est To comp-KTRP"/>
      <sheetName val="JCR TOP(ITEM)-KTRP"/>
      <sheetName val=" Type III"/>
      <sheetName val=" Type I"/>
      <sheetName val="S1BOQ &amp; Workplan"/>
      <sheetName val="405"/>
      <sheetName val="427"/>
      <sheetName val="403"/>
      <sheetName val="balance_Work12"/>
      <sheetName val="SAP架設-2005_12_3113"/>
      <sheetName val="LOCAL_RATES12"/>
      <sheetName val="S-Curve_(2)12"/>
      <sheetName val="Material_12"/>
      <sheetName val="21-Rate_Analysis-111"/>
      <sheetName val="final_abstract12"/>
      <sheetName val="C_&amp;_G_RHS12"/>
      <sheetName val="Final_Basic_rate11"/>
      <sheetName val="Materials_Cost11"/>
      <sheetName val="Materials_Cost(PCC)12"/>
      <sheetName val="Rate_Analysis10"/>
      <sheetName val="Chiet_tinh_dz3511"/>
      <sheetName val="pile_Fabrication11"/>
      <sheetName val="Risk_Te__Co_10"/>
      <sheetName val="Informa_10"/>
      <sheetName val="Bank_Guarantee10"/>
      <sheetName val="STEEL-SLAB_(0)10"/>
      <sheetName val="SHUTTER-1flr_beam_(1)10"/>
      <sheetName val="SHUTTER-1flr_slab(1)10"/>
      <sheetName val="STEEL-SLAB_(1flr)10"/>
      <sheetName val="slab-reinft(1flr)-REF_10"/>
      <sheetName val="BEAM-REINFT_(1flr)10"/>
      <sheetName val="beam-reinft-(1flr)ADDT_10"/>
      <sheetName val="concrete-Ist-IInd_floor10"/>
      <sheetName val="shuttering-1st-IInd_floor10"/>
      <sheetName val="STEEL-SLAB_(2flr)10"/>
      <sheetName val="slab-reinft(2flr)-REF__(2)10"/>
      <sheetName val="BEAM-REINFT_(2flr)_(2)10"/>
      <sheetName val="beam-reinft-(2flr)ADDT__(2)10"/>
      <sheetName val="STEEL-SLAB_(3flr)_10"/>
      <sheetName val="Slab-reinft(3flr)ADD_10"/>
      <sheetName val="slab-reinft(3flr)-ADD__(1)10"/>
      <sheetName val="STEEL-SLAB_(4th-flr)_10"/>
      <sheetName val="slab-reinft(4thflr)-ADD__(2)10"/>
      <sheetName val="slab_reinft_-(4th_flr)10"/>
      <sheetName val="Indices_(3rd)10"/>
      <sheetName val="SHUTTER-1flr_beam(old)10"/>
      <sheetName val="03_CTS,MEPZ-CANTEEN_(2)10"/>
      <sheetName val="beam-reinft-machine_rm10"/>
      <sheetName val="input_micro10"/>
      <sheetName val="DETAILED__BOQ10"/>
      <sheetName val="HSD_LUB_9"/>
      <sheetName val="Mix_Design9"/>
      <sheetName val="doq-1_DOQ_Culvert9"/>
      <sheetName val="AoR_Finishing9"/>
      <sheetName val="Revised_BoQ_Str9"/>
      <sheetName val="oHS+F_Ex_Alu_+actual_staff9"/>
      <sheetName val="oHS+F_Ex_Alu__(trial)9"/>
      <sheetName val="Ex_aluminium9"/>
      <sheetName val="oH(mc_purchase)9"/>
      <sheetName val="Plang_1pour9"/>
      <sheetName val="Plang_3pour9"/>
      <sheetName val="Machine_Schedule_9"/>
      <sheetName val="Staff_Schedule9"/>
      <sheetName val="ABS_10"/>
      <sheetName val="BOQ_Summary10"/>
      <sheetName val="2_1310"/>
      <sheetName val="9_0110"/>
      <sheetName val="9_0710"/>
      <sheetName val="9_8310"/>
      <sheetName val="9_1210"/>
      <sheetName val="9_4710"/>
      <sheetName val="9_50(i)10"/>
      <sheetName val="9_50(ii)10"/>
      <sheetName val="9_51_Slab10"/>
      <sheetName val="9_51_Girder10"/>
      <sheetName val="9_5210"/>
      <sheetName val="9_6210"/>
      <sheetName val="9_6310"/>
      <sheetName val="9_6910"/>
      <sheetName val="8_4810"/>
      <sheetName val="8_4910"/>
      <sheetName val="P1_&amp;_P2_Reinforcement_detail10"/>
      <sheetName val="A1_&amp;_A2_Reinforcement_detail10"/>
      <sheetName val="P-Ins_&amp;_Bonds9"/>
      <sheetName val="Plant_&amp;__Machinery7"/>
      <sheetName val="UNP-NCW_9"/>
      <sheetName val="9_Major_Bridge9"/>
      <sheetName val="8__ROB9"/>
      <sheetName val="10_Minor_Structure9"/>
      <sheetName val="7__FLYOVER9"/>
      <sheetName val="2__Earthwork9"/>
      <sheetName val="schedule_nos9"/>
      <sheetName val="BUD_07-089"/>
      <sheetName val="E_&amp;_R9"/>
      <sheetName val="BOQ_Distribution9"/>
      <sheetName val="Qty_SR9"/>
      <sheetName val="Materials_9"/>
      <sheetName val="02_10_069"/>
      <sheetName val="01_11_20049"/>
      <sheetName val="USB_19"/>
      <sheetName val="220Kv_(2)9"/>
      <sheetName val="Input_Data9"/>
      <sheetName val="Input_Data_R9"/>
      <sheetName val="Input_Data_F9"/>
      <sheetName val="A_O_R_9"/>
      <sheetName val="Ave_wtd_rates9"/>
      <sheetName val="Data_Validation9"/>
      <sheetName val="MN_T_B_9"/>
      <sheetName val="Progressin_Next_mon-AP-179"/>
      <sheetName val="SPT_vs_PHI9"/>
      <sheetName val="Wind_Speed_II9"/>
      <sheetName val="Duopitch_Roof9"/>
      <sheetName val="Free-Standing_Wall9"/>
      <sheetName val="Vertical_Walls9"/>
      <sheetName val="Flat_Roof9"/>
      <sheetName val="Factor_Sb9"/>
      <sheetName val="Size_Effect_Factor9"/>
      <sheetName val="Direction_factor9"/>
      <sheetName val="Wind_Speed_I9"/>
      <sheetName val="Fee_Rate_Summary9"/>
      <sheetName val="Data_19"/>
      <sheetName val="SS_MH9"/>
      <sheetName val="_AnalysisPCC9"/>
      <sheetName val="INPUT_SHEET9"/>
      <sheetName val="abs_road9"/>
      <sheetName val="road_est9"/>
      <sheetName val="Road_data9"/>
      <sheetName val="Diesel_Analysis6"/>
      <sheetName val="Elect_7"/>
      <sheetName val="SC_revtrgt6"/>
      <sheetName val="Bus_Ways9"/>
      <sheetName val="Major_Br__Statement9"/>
      <sheetName val="Site_clearance9"/>
      <sheetName val="4_Annex_1_Basic_rate9"/>
      <sheetName val="NLD_-_Assum6"/>
      <sheetName val="Cost_of_O_&amp;_O6"/>
      <sheetName val="Non_debit-RMC9"/>
      <sheetName val="Labour_&amp;_Plant9"/>
      <sheetName val="RATE_COMPILATION9"/>
      <sheetName val="Sub_con_List6"/>
      <sheetName val="KM_wise_Quantity6"/>
      <sheetName val="footing_for_SP9"/>
      <sheetName val="gen_ledger_data9"/>
      <sheetName val="33628-Rev__A9"/>
      <sheetName val="General_input9"/>
      <sheetName val="Design_sheet9"/>
      <sheetName val="DATA-DEP_(13-17)9"/>
      <sheetName val="DATA-GCC(25-34_7)9"/>
      <sheetName val="St_-Con(0-17)9"/>
      <sheetName val="St_-Con_(17-34)9"/>
      <sheetName val="Analysis-Drains_&amp;_Misc9"/>
      <sheetName val="Lead_Statement_(PCC)9"/>
      <sheetName val="Analysis-NH-Traf_&amp;_Trans9"/>
      <sheetName val="12__Ins_&amp;_Bonds9"/>
      <sheetName val="RA_Civil9"/>
      <sheetName val="ESOP_ECAL_TABLES9"/>
      <sheetName val="precast_RC_element9"/>
      <sheetName val="Core_Data9"/>
      <sheetName val="GLEVEL_RHS9"/>
      <sheetName val="General_Analysis9"/>
      <sheetName val="except_wiring9"/>
      <sheetName val="SCH_106"/>
      <sheetName val="Structure_du_projet7"/>
      <sheetName val="Appendix_A9"/>
      <sheetName val="JCR_TOP9"/>
      <sheetName val="POCOS_제출및납품일정7"/>
      <sheetName val="Pile_cap7"/>
      <sheetName val="PIPING_LINE_LIST7"/>
      <sheetName val="Rollup_Summary6"/>
      <sheetName val="Sheet3_(2)6"/>
      <sheetName val="Doha_Farm6"/>
      <sheetName val="doq_16"/>
      <sheetName val="doq_96"/>
      <sheetName val="Load_Calculation6"/>
      <sheetName val="SC_Cost_FEB_036"/>
      <sheetName val="factor_6"/>
      <sheetName val="Pro_Pavement4"/>
      <sheetName val="RET_"/>
      <sheetName val="HO_DPR"/>
      <sheetName val="train_cash1"/>
      <sheetName val="accom_cash1"/>
      <sheetName val="M-Book_for_Conc1"/>
      <sheetName val="M-Book_for_FW1"/>
      <sheetName val="HB_CEC_schd_6_2"/>
      <sheetName val="steam_outlet"/>
      <sheetName val="Cost_Summary"/>
      <sheetName val="Rising_Main"/>
      <sheetName val="Machinary_Road_Work"/>
      <sheetName val="Batching&amp;Pil_POL"/>
      <sheetName val="Steel_Piling_POL"/>
      <sheetName val="IV_3__Road_side_drains"/>
      <sheetName val="EAW_Final_Accounts_-_991"/>
      <sheetName val="As_per_PCA1"/>
      <sheetName val="Data_sheet1"/>
      <sheetName val="2nd_"/>
      <sheetName val="foot-slab_reinft"/>
      <sheetName val="Variation_Statement"/>
      <sheetName val="head_loss_calc"/>
      <sheetName val="Legal_Risk_Analysis"/>
      <sheetName val="Staff_Acco_"/>
      <sheetName val="labour_coeff"/>
      <sheetName val="Rate_Base"/>
      <sheetName val="CT_Thang_Mo"/>
      <sheetName val="CT__PL"/>
      <sheetName val="Backup_PRW_-_VIIA"/>
      <sheetName val="doq-1_bus_bay"/>
      <sheetName val="doq_2"/>
      <sheetName val="doq-1_Aoq_Culvert"/>
      <sheetName val="Mach_Reco"/>
      <sheetName val="Labour_productivity"/>
      <sheetName val="TCS_IIC"/>
      <sheetName val="TCS_II_D"/>
      <sheetName val="PIE_chart_data"/>
      <sheetName val="CABLENOS_"/>
      <sheetName val="T&amp;P"/>
      <sheetName val="Machinary"/>
      <sheetName val="Building (Non-Res)"/>
      <sheetName val="AMBD"/>
      <sheetName val="MRATES"/>
      <sheetName val="HDPE"/>
      <sheetName val="pvc"/>
      <sheetName val="hdpe_basic"/>
      <sheetName val="pvc_basic"/>
      <sheetName val="GM&amp;PM EST"/>
      <sheetName val="wh_data"/>
      <sheetName val="wh_data_R"/>
      <sheetName val="CPHEEO"/>
      <sheetName val="DATA_PRG"/>
      <sheetName val="R_Det"/>
      <sheetName val="Pop"/>
      <sheetName val="BM-HOOP"/>
      <sheetName val="Data rough"/>
      <sheetName val="m"/>
      <sheetName val="HS final-2"/>
      <sheetName val="int-dia-hdpe"/>
      <sheetName val="int-dia-pvc"/>
      <sheetName val="LABOUR RATE"/>
      <sheetName val="Material Rate"/>
      <sheetName val="AV-HDPE"/>
      <sheetName val="Di_gate-HDPE"/>
      <sheetName val="l"/>
      <sheetName val="Mp-team 1"/>
      <sheetName val="HS 1"/>
      <sheetName val="AV-BWSC&amp;MS"/>
      <sheetName val="AV_AC"/>
      <sheetName val="di_Gate_AC"/>
      <sheetName val="Digate-BWSCP-MS"/>
      <sheetName val="DI_gate_di"/>
      <sheetName val="Usage"/>
      <sheetName val="Common "/>
      <sheetName val="General"/>
      <sheetName val="Works"/>
      <sheetName val="bom"/>
      <sheetName val="DI"/>
      <sheetName val="IRC 18 Table"/>
      <sheetName val="Legend"/>
      <sheetName val="PO NOS"/>
      <sheetName val="ANN_-V4"/>
      <sheetName val="Price_Index_Multiple_(2)3"/>
      <sheetName val="Price_Index_Multiple_-1_REV3"/>
      <sheetName val="Price_Index_Multiple3"/>
      <sheetName val="Abstract-Physical_Progress_3"/>
      <sheetName val="_Earth_Work3"/>
      <sheetName val="_Culverts_(wd)3"/>
      <sheetName val="I-C_-1__Culverts3"/>
      <sheetName val="LEMBAR1"/>
      <sheetName val="LEMBAR2"/>
      <sheetName val="LEMBAR3"/>
      <sheetName val="LEMBAR4"/>
      <sheetName val="LEMBAR5"/>
      <sheetName val="ALAT"/>
      <sheetName val="HARGA DASAR"/>
      <sheetName val="DIV.3"/>
      <sheetName val="DIV.9"/>
      <sheetName val="RAB"/>
      <sheetName val="Design_abf"/>
      <sheetName val="Mgmt,Fin,HR,MIS, Mktg"/>
      <sheetName val="ANAL-PIPE LINE"/>
      <sheetName val="Road metal rate"/>
      <sheetName val="細目"/>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Basic Data"/>
      <sheetName val="Flash Mixer"/>
      <sheetName val="96_GM_Form"/>
      <sheetName val="30万表三"/>
      <sheetName val="Project Inputs"/>
      <sheetName val="Leg 1-1"/>
      <sheetName val="est"/>
      <sheetName val="1.01-C&amp;G"/>
      <sheetName val="s"/>
      <sheetName val="GRADE"/>
      <sheetName val="MS V"/>
      <sheetName val="Stability"/>
      <sheetName val="Sub Data"/>
      <sheetName val="M-1"/>
      <sheetName val="InputData"/>
      <sheetName val="Spec"/>
      <sheetName val="RA-CD"/>
      <sheetName val="RD-Est"/>
      <sheetName val="Sheet"/>
      <sheetName val="중기사용료"/>
      <sheetName val="slab"/>
      <sheetName val="Sub-Analysis"/>
      <sheetName val="basdat-f"/>
      <sheetName val="balance_Work13"/>
      <sheetName val="LOCAL_RATES13"/>
      <sheetName val="C_&amp;_G_RHS13"/>
      <sheetName val="SAP架設-2005_12_3114"/>
      <sheetName val="S-Curve_(2)13"/>
      <sheetName val="Materials_Cost(PCC)13"/>
      <sheetName val="final_abstract13"/>
      <sheetName val="Material_13"/>
      <sheetName val="Final_Basic_rate12"/>
      <sheetName val="21-Rate_Analysis-112"/>
      <sheetName val="Materials_Cost12"/>
      <sheetName val="DETAILED__BOQ11"/>
      <sheetName val="Chiet_tinh_dz3512"/>
      <sheetName val="pile_Fabrication12"/>
      <sheetName val="Risk_Te__Co_11"/>
      <sheetName val="Informa_11"/>
      <sheetName val="Bank_Guarantee11"/>
      <sheetName val="STEEL-SLAB_(0)11"/>
      <sheetName val="SHUTTER-1flr_beam_(1)11"/>
      <sheetName val="SHUTTER-1flr_slab(1)11"/>
      <sheetName val="STEEL-SLAB_(1flr)11"/>
      <sheetName val="slab-reinft(1flr)-REF_11"/>
      <sheetName val="BEAM-REINFT_(1flr)11"/>
      <sheetName val="beam-reinft-(1flr)ADDT_11"/>
      <sheetName val="concrete-Ist-IInd_floor11"/>
      <sheetName val="shuttering-1st-IInd_floor11"/>
      <sheetName val="STEEL-SLAB_(2flr)11"/>
      <sheetName val="slab-reinft(2flr)-REF__(2)11"/>
      <sheetName val="BEAM-REINFT_(2flr)_(2)11"/>
      <sheetName val="beam-reinft-(2flr)ADDT__(2)11"/>
      <sheetName val="STEEL-SLAB_(3flr)_11"/>
      <sheetName val="Slab-reinft(3flr)ADD_11"/>
      <sheetName val="slab-reinft(3flr)-ADD__(1)11"/>
      <sheetName val="STEEL-SLAB_(4th-flr)_11"/>
      <sheetName val="slab-reinft(4thflr)-ADD__(2)11"/>
      <sheetName val="slab_reinft_-(4th_flr)11"/>
      <sheetName val="Indices_(3rd)11"/>
      <sheetName val="SHUTTER-1flr_beam(old)11"/>
      <sheetName val="03_CTS,MEPZ-CANTEEN_(2)11"/>
      <sheetName val="beam-reinft-machine_rm11"/>
      <sheetName val="input_micro11"/>
      <sheetName val="Rate_Analysis11"/>
      <sheetName val="ABS_11"/>
      <sheetName val="BOQ_Summary11"/>
      <sheetName val="2_1311"/>
      <sheetName val="9_0111"/>
      <sheetName val="9_0711"/>
      <sheetName val="9_8311"/>
      <sheetName val="9_1211"/>
      <sheetName val="9_4711"/>
      <sheetName val="9_50(i)11"/>
      <sheetName val="9_50(ii)11"/>
      <sheetName val="9_51_Slab11"/>
      <sheetName val="9_51_Girder11"/>
      <sheetName val="9_5211"/>
      <sheetName val="9_6211"/>
      <sheetName val="9_6311"/>
      <sheetName val="9_6911"/>
      <sheetName val="8_4811"/>
      <sheetName val="8_4911"/>
      <sheetName val="P1_&amp;_P2_Reinforcement_detail11"/>
      <sheetName val="A1_&amp;_A2_Reinforcement_detail11"/>
      <sheetName val="HSD_LUB_10"/>
      <sheetName val="Mix_Design10"/>
      <sheetName val="doq-1_DOQ_Culvert10"/>
      <sheetName val="AoR_Finishing10"/>
      <sheetName val="Revised_BoQ_Str10"/>
      <sheetName val="oHS+F_Ex_Alu_+actual_staff10"/>
      <sheetName val="oHS+F_Ex_Alu__(trial)10"/>
      <sheetName val="Ex_aluminium10"/>
      <sheetName val="oH(mc_purchase)10"/>
      <sheetName val="Plang_1pour10"/>
      <sheetName val="Plang_3pour10"/>
      <sheetName val="Machine_Schedule_10"/>
      <sheetName val="Staff_Schedule10"/>
      <sheetName val="UNP-NCW_10"/>
      <sheetName val="9_Major_Bridge10"/>
      <sheetName val="8__ROB10"/>
      <sheetName val="10_Minor_Structure10"/>
      <sheetName val="7__FLYOVER10"/>
      <sheetName val="2__Earthwork10"/>
      <sheetName val="schedule_nos10"/>
      <sheetName val="BUD_07-0810"/>
      <sheetName val="P-Ins_&amp;_Bonds10"/>
      <sheetName val="Plant_&amp;__Machinery8"/>
      <sheetName val="E_&amp;_R10"/>
      <sheetName val="BOQ_Distribution10"/>
      <sheetName val="Qty_SR10"/>
      <sheetName val="Materials_10"/>
      <sheetName val="02_10_0610"/>
      <sheetName val="01_11_200410"/>
      <sheetName val="USB_110"/>
      <sheetName val="220Kv_(2)10"/>
      <sheetName val="Input_Data10"/>
      <sheetName val="Input_Data_R10"/>
      <sheetName val="Input_Data_F10"/>
      <sheetName val="A_O_R_10"/>
      <sheetName val="Ave_wtd_rates10"/>
      <sheetName val="Data_Validation10"/>
      <sheetName val="MN_T_B_10"/>
      <sheetName val="Progressin_Next_mon-AP-1710"/>
      <sheetName val="SPT_vs_PHI10"/>
      <sheetName val="Wind_Speed_II10"/>
      <sheetName val="Duopitch_Roof10"/>
      <sheetName val="Free-Standing_Wall10"/>
      <sheetName val="Vertical_Walls10"/>
      <sheetName val="Flat_Roof10"/>
      <sheetName val="Factor_Sb10"/>
      <sheetName val="Size_Effect_Factor10"/>
      <sheetName val="Direction_factor10"/>
      <sheetName val="Wind_Speed_I10"/>
      <sheetName val="Fee_Rate_Summary10"/>
      <sheetName val="Data_110"/>
      <sheetName val="SS_MH10"/>
      <sheetName val="_AnalysisPCC10"/>
      <sheetName val="INPUT_SHEET10"/>
      <sheetName val="abs_road10"/>
      <sheetName val="road_est10"/>
      <sheetName val="Road_data10"/>
      <sheetName val="Diesel_Analysis7"/>
      <sheetName val="Elect_8"/>
      <sheetName val="SC_revtrgt7"/>
      <sheetName val="Bus_Ways10"/>
      <sheetName val="Major_Br__Statement10"/>
      <sheetName val="Site_clearance10"/>
      <sheetName val="4_Annex_1_Basic_rate10"/>
      <sheetName val="NLD_-_Assum7"/>
      <sheetName val="Cost_of_O_&amp;_O7"/>
      <sheetName val="Non_debit-RMC10"/>
      <sheetName val="Labour_&amp;_Plant10"/>
      <sheetName val="RATE_COMPILATION10"/>
      <sheetName val="DATA-DEP_(13-17)10"/>
      <sheetName val="DATA-GCC(25-34_7)10"/>
      <sheetName val="St_-Con(0-17)10"/>
      <sheetName val="St_-Con_(17-34)10"/>
      <sheetName val="Sub_con_List7"/>
      <sheetName val="KM_wise_Quantity7"/>
      <sheetName val="footing_for_SP10"/>
      <sheetName val="12__Ins_&amp;_Bonds10"/>
      <sheetName val="Analysis-Drains_&amp;_Misc10"/>
      <sheetName val="Lead_Statement_(PCC)10"/>
      <sheetName val="Analysis-NH-Traf_&amp;_Trans10"/>
      <sheetName val="RA_Civil10"/>
      <sheetName val="gen_ledger_data10"/>
      <sheetName val="General_input10"/>
      <sheetName val="33628-Rev__A10"/>
      <sheetName val="Design_sheet10"/>
      <sheetName val="ESOP_ECAL_TABLES10"/>
      <sheetName val="precast_RC_element10"/>
      <sheetName val="Core_Data10"/>
      <sheetName val="GLEVEL_RHS10"/>
      <sheetName val="General_Analysis10"/>
      <sheetName val="except_wiring10"/>
      <sheetName val="Appendix_A10"/>
      <sheetName val="JCR_TOP10"/>
      <sheetName val="SCH_107"/>
      <sheetName val="Structure_du_projet8"/>
      <sheetName val="POCOS_제출및납품일정8"/>
      <sheetName val="Pile_cap8"/>
      <sheetName val="PIPING_LINE_LIST8"/>
      <sheetName val="Rollup_Summary7"/>
      <sheetName val="Sheet3_(2)7"/>
      <sheetName val="Doha_Farm7"/>
      <sheetName val="ADMIN_SHEET5"/>
      <sheetName val="10-Crop_Age5"/>
      <sheetName val="LL_ABUT5"/>
      <sheetName val="_5"/>
      <sheetName val="doq_17"/>
      <sheetName val="doq_97"/>
      <sheetName val="Load_Calculation7"/>
      <sheetName val="CG_-St5"/>
      <sheetName val="STAFFSCHED_4"/>
      <sheetName val="ORDER_BOOKING4"/>
      <sheetName val="SKMD__325"/>
      <sheetName val="DIR_USED_ITEMS5"/>
      <sheetName val="12_8_I_(M-40)5"/>
      <sheetName val="SC_Cost_FEB_037"/>
      <sheetName val="factor_7"/>
      <sheetName val="Cal(6_3_2)_GSB-T5"/>
      <sheetName val="Cal(6_3_1)_GSB-1(Jn_)_DDA5"/>
      <sheetName val="Cal(6_2_2)_(b)EMB-T5"/>
      <sheetName val="Cal(6_3_3)_WMM-T5"/>
      <sheetName val="Cal(6_2_4)_SG-T5"/>
      <sheetName val="MASTER_RATE_ANALYSIS5"/>
      <sheetName val="Abt_Foundation_4"/>
      <sheetName val="pier_Foundation4"/>
      <sheetName val="2_24"/>
      <sheetName val="BATCHING_PLANT_PRO4"/>
      <sheetName val="B2_MB_Deck4"/>
      <sheetName val="Sheet1_(2)4"/>
      <sheetName val="Field_Values4"/>
      <sheetName val="Desgn(zone_I)4"/>
      <sheetName val="Abs_PMRL4"/>
      <sheetName val="Abstract_of_cost4"/>
      <sheetName val="IO_List4"/>
      <sheetName val="TBAL9697_-group_wise__sdpl4"/>
      <sheetName val="CONSTRUCTION_COMPONENT4"/>
      <sheetName val="ETC_Plant_Cost5"/>
      <sheetName val="beam-reinft-IIInd_floor5"/>
      <sheetName val="Labor_abs-NMR4"/>
      <sheetName val="BASIC_RATES4"/>
      <sheetName val="Project_Budget_Worksheet3"/>
      <sheetName val="Tower_Schedule6"/>
      <sheetName val="1St_certified_RA_bill4"/>
      <sheetName val="BOQ_(2)4"/>
      <sheetName val="Qty_Report4"/>
      <sheetName val="no_3"/>
      <sheetName val="Dayworks_Bill4"/>
      <sheetName val="Bills_of_Quantities4"/>
      <sheetName val="BOQ_DIS3"/>
      <sheetName val="All_Equipments3"/>
      <sheetName val="MATERIAL_COST2"/>
      <sheetName val="Day_work2"/>
      <sheetName val="Design_basis-C2"/>
      <sheetName val="Pro_Pavement5"/>
      <sheetName val="Lead_statement2"/>
      <sheetName val="Back_Cal_for_OMC4"/>
      <sheetName val="Chapter_1-42"/>
      <sheetName val="Chapter-12_Drainage2"/>
      <sheetName val="Chapter-13_Junction2"/>
      <sheetName val="Chapter-14_trafic_Manag_const2"/>
      <sheetName val="Chapter-15_bus&amp;_trck_laybye2"/>
      <sheetName val="Chapter-16_Toll_Plaza2"/>
      <sheetName val="Chapter-17_Main_during_cons2"/>
      <sheetName val="Chap-18__2"/>
      <sheetName val="Cont_Wt_2"/>
      <sheetName val="doq4_2"/>
      <sheetName val="Monthly_Turnover_(Final)3"/>
      <sheetName val="Monthly_Programme3"/>
      <sheetName val="Abstruct_total3"/>
      <sheetName val="HP(9_200)3"/>
      <sheetName val="Equipment_Master3"/>
      <sheetName val="Vendor_Name2"/>
      <sheetName val="BILL_ABSTRACT2"/>
      <sheetName val="Mobilization_Advance_2"/>
      <sheetName val="Measurement_&amp;_Supply_Sheet_(2)2"/>
      <sheetName val="Hydro_testing2"/>
      <sheetName val="Supply_Sheet2"/>
      <sheetName val="Hydro_testing_2"/>
      <sheetName val="OHT_432"/>
      <sheetName val="_OHT382"/>
      <sheetName val="Scheme_No1552"/>
      <sheetName val="OHT_40_Tigariya_Badshah2"/>
      <sheetName val="OHT-48_Kushwah_2"/>
      <sheetName val="New_Ranibag2"/>
      <sheetName val="OHT_392"/>
      <sheetName val="Jai_hind_nagar_-_OHT372"/>
      <sheetName val="OHT_20(Mitra_Bandhu_Nagar)2"/>
      <sheetName val="OHT_15(Samar_Park)2"/>
      <sheetName val="Bhuri_tekri2"/>
      <sheetName val="Scheme_No-1402"/>
      <sheetName val="OHT-16_Lasudia_Mori_2"/>
      <sheetName val="Scheme_No-782"/>
      <sheetName val="Scheme_No_114_Part_22"/>
      <sheetName val="OHT09-_Bicholi2"/>
      <sheetName val="Bijalpur_OHT2"/>
      <sheetName val="Scheme_No_1342"/>
      <sheetName val="OHT_49(Gandhinagar)2"/>
      <sheetName val="Silicon_City2"/>
      <sheetName val="OHT_32_(Gwala_Colony)2"/>
      <sheetName val="MS_Pipe2"/>
      <sheetName val="REGIONWISE_POPULATION3"/>
      <sheetName val="tower_wt_3"/>
      <sheetName val="CY4_casted2"/>
      <sheetName val="PACK_(B)2"/>
      <sheetName val="Not_found_as_per_ground_realit2"/>
      <sheetName val="Steel_Structure2"/>
      <sheetName val="PAVEMENT_MN2"/>
      <sheetName val="SP_Break_Up2"/>
      <sheetName val="Sweeper_Machine2"/>
      <sheetName val="Gen_Info2"/>
      <sheetName val="PQC_Design2"/>
      <sheetName val="pqc_check2"/>
      <sheetName val="Chpt_1-4_&amp;_131"/>
      <sheetName val="RET_1"/>
      <sheetName val="HO_DPR1"/>
      <sheetName val="water_prop_1"/>
      <sheetName val="PRECAST_lightconc-II1"/>
      <sheetName val="train_cash2"/>
      <sheetName val="accom_cash2"/>
      <sheetName val="M-Book_for_Conc2"/>
      <sheetName val="M-Book_for_FW2"/>
      <sheetName val="HB_CEC_schd_6_21"/>
      <sheetName val="steam_outlet1"/>
      <sheetName val="Cost_Summary1"/>
      <sheetName val="Rising_Main1"/>
      <sheetName val="EAW_Final_Accounts_-_992"/>
      <sheetName val="As_per_PCA2"/>
      <sheetName val="Data_sheet2"/>
      <sheetName val="2nd_1"/>
      <sheetName val="foot-slab_reinft1"/>
      <sheetName val="Variation_Statement1"/>
      <sheetName val="head_loss_calc1"/>
      <sheetName val="Legal_Risk_Analysis1"/>
      <sheetName val="Staff_Acco_1"/>
      <sheetName val="labour_coeff1"/>
      <sheetName val="Rate_Base1"/>
      <sheetName val="CT_Thang_Mo1"/>
      <sheetName val="CT__PL1"/>
      <sheetName val="Machinary_Road_Work1"/>
      <sheetName val="Batching&amp;Pil_POL1"/>
      <sheetName val="Steel_Piling_POL1"/>
      <sheetName val="IV_3__Road_side_drains1"/>
      <sheetName val="retaining_wall_calculatn_sheet"/>
      <sheetName val="Income_&amp;_Occupancy_Customer"/>
      <sheetName val="Scope_Reconciliation"/>
      <sheetName val="Slab_Drain_Abs_"/>
      <sheetName val="Backup_PRW_-_VIIA1"/>
      <sheetName val="CABLENOS_1"/>
      <sheetName val="Labour_productivity1"/>
      <sheetName val="TCS_IIC1"/>
      <sheetName val="TCS_II_D1"/>
      <sheetName val="PIE_chart_data1"/>
      <sheetName val="R_A_"/>
      <sheetName val="C&amp;G_August"/>
      <sheetName val="doq-1_bus_bay1"/>
      <sheetName val="doq_21"/>
      <sheetName val="doq-1_Aoq_Culvert1"/>
      <sheetName val="Mach_Reco1"/>
      <sheetName val="7_Other_Costs"/>
      <sheetName val="Occ,_Other_Rev,_Exp,_Dispo"/>
      <sheetName val="Material_List_"/>
      <sheetName val="EW_SR"/>
      <sheetName val="Bill_No_6A-_Measurement"/>
      <sheetName val="Basic_Data"/>
      <sheetName val="Flash_Mixer"/>
      <sheetName val="Main ROB"/>
      <sheetName val="S1BOQ_&amp;_Workplan"/>
      <sheetName val="(Do_not_delete)"/>
      <sheetName val="Admin"/>
      <sheetName val="Fin Sum"/>
      <sheetName val="Main-Material"/>
      <sheetName val="sept-plan"/>
      <sheetName val="Balance sheet"/>
      <sheetName val="Wag&amp;Sal"/>
      <sheetName val="1.Civil"/>
      <sheetName val="BOQ_Direct_selling cost"/>
      <sheetName val="P&amp;L-BDMC"/>
      <sheetName val="RA_markate"/>
      <sheetName val="BOQ_Direct_selling_cost"/>
      <sheetName val="Fin_Sum"/>
      <sheetName val="Balance_sheet"/>
      <sheetName val="1_Civil"/>
      <sheetName val="Abstract Sheet"/>
      <sheetName val="Break up Sheet"/>
      <sheetName val="Controls"/>
      <sheetName val="Aseet1998"/>
      <sheetName val="Delhi"/>
      <sheetName val="Material Summary"/>
      <sheetName val="Consolidated"/>
      <sheetName val="Staff"/>
      <sheetName val="Block Reco. (2)"/>
      <sheetName val="Anlysis"/>
      <sheetName val="bs &amp; P&amp;l (2)"/>
      <sheetName val="Build-up"/>
      <sheetName val="WORK TABLE"/>
      <sheetName val="DP"/>
      <sheetName val="Per Unit"/>
      <sheetName val="SITE_OVERHEADS"/>
      <sheetName val="Misc__Data"/>
      <sheetName val="Fill_this_out_first___"/>
      <sheetName val="OC_17-04-06"/>
      <sheetName val="SB_-_reinf"/>
      <sheetName val="Basic_Rate"/>
      <sheetName val="Design Parameters"/>
      <sheetName val="Wordsdata"/>
      <sheetName val="Prelim.Expense"/>
      <sheetName val="Drg"/>
      <sheetName val="Summary_Slab_Karbook"/>
      <sheetName val="Analy"/>
      <sheetName val="trans"/>
      <sheetName val="item"/>
      <sheetName val="Specification"/>
      <sheetName val="Scheme Area Details_Block__ C2"/>
      <sheetName val="New33KVSS_E3"/>
      <sheetName val="Prop aug of Ex 33KVSS_E3a"/>
      <sheetName val="Annex- 6 - Delinator"/>
      <sheetName val="TORRENT CEMENT"/>
      <sheetName val="Works - Quote Sheet"/>
      <sheetName val="Debits as on 12.04.08"/>
      <sheetName val="CEMENT PSP"/>
      <sheetName val="RCC,Ret. Wall"/>
      <sheetName val="Interface_SC"/>
      <sheetName val="Calc_ISC"/>
      <sheetName val="Calc_SC"/>
      <sheetName val="Interface_ISC"/>
      <sheetName val="GD"/>
      <sheetName val="column details"/>
      <sheetName val="reference"/>
      <sheetName val="Lead (Final)"/>
      <sheetName val="Extra Item"/>
      <sheetName val="Xenon(R2)"/>
      <sheetName val="Detail In Door Stad"/>
      <sheetName val="1 row C.D."/>
      <sheetName val="D"/>
      <sheetName val="C"/>
      <sheetName val="BS"/>
      <sheetName val="Sheet7"/>
      <sheetName val="MPL 技連"/>
      <sheetName val="342E BLOCK"/>
      <sheetName val="MAT-DET"/>
      <sheetName val="CUT QTY"/>
      <sheetName val="CUT QTY Pay"/>
      <sheetName val="SIEVE ANALYSIS_Sand"/>
      <sheetName val="Earnings mod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sheetData sheetId="33"/>
      <sheetData sheetId="34"/>
      <sheetData sheetId="35"/>
      <sheetData sheetId="36"/>
      <sheetData sheetId="37"/>
      <sheetData sheetId="38"/>
      <sheetData sheetId="39"/>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sheetData sheetId="140"/>
      <sheetData sheetId="141"/>
      <sheetData sheetId="142"/>
      <sheetData sheetId="143"/>
      <sheetData sheetId="144"/>
      <sheetData sheetId="145"/>
      <sheetData sheetId="146"/>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sheetData sheetId="423"/>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sheetData sheetId="442"/>
      <sheetData sheetId="443"/>
      <sheetData sheetId="444" refreshError="1"/>
      <sheetData sheetId="445" refreshError="1"/>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refreshError="1"/>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refreshError="1"/>
      <sheetData sheetId="597" refreshError="1"/>
      <sheetData sheetId="598" refreshError="1"/>
      <sheetData sheetId="599" refreshError="1"/>
      <sheetData sheetId="600" refreshError="1"/>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sheetData sheetId="899"/>
      <sheetData sheetId="900"/>
      <sheetData sheetId="90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refreshError="1"/>
      <sheetData sheetId="1127" refreshError="1"/>
      <sheetData sheetId="1128" refreshError="1"/>
      <sheetData sheetId="1129" refreshError="1"/>
      <sheetData sheetId="1130" refreshError="1"/>
      <sheetData sheetId="1131" refreshError="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refreshError="1"/>
      <sheetData sheetId="1311"/>
      <sheetData sheetId="1312"/>
      <sheetData sheetId="1313"/>
      <sheetData sheetId="1314"/>
      <sheetData sheetId="1315"/>
      <sheetData sheetId="1316"/>
      <sheetData sheetId="1317" refreshError="1"/>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refreshError="1"/>
      <sheetData sheetId="1494"/>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sheetData sheetId="1527"/>
      <sheetData sheetId="1528"/>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sheetData sheetId="1569"/>
      <sheetData sheetId="1570" refreshError="1"/>
      <sheetData sheetId="1571"/>
      <sheetData sheetId="1572"/>
      <sheetData sheetId="1573" refreshError="1"/>
      <sheetData sheetId="1574" refreshError="1"/>
      <sheetData sheetId="1575"/>
      <sheetData sheetId="1576"/>
      <sheetData sheetId="1577"/>
      <sheetData sheetId="1578" refreshError="1"/>
      <sheetData sheetId="1579" refreshError="1"/>
      <sheetData sheetId="1580" refreshError="1"/>
      <sheetData sheetId="158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refreshError="1"/>
      <sheetData sheetId="2054" refreshError="1"/>
      <sheetData sheetId="2055" refreshError="1"/>
      <sheetData sheetId="2056" refreshError="1"/>
      <sheetData sheetId="2057"/>
      <sheetData sheetId="2058" refreshError="1"/>
      <sheetData sheetId="2059" refreshError="1"/>
      <sheetData sheetId="2060" refreshError="1"/>
      <sheetData sheetId="2061" refreshError="1"/>
      <sheetData sheetId="2062" refreshError="1"/>
      <sheetData sheetId="2063" refreshError="1"/>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refreshError="1"/>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sheetData sheetId="2789"/>
      <sheetData sheetId="2790"/>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sheetData sheetId="2811"/>
      <sheetData sheetId="2812"/>
      <sheetData sheetId="2813"/>
      <sheetData sheetId="2814"/>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refreshError="1"/>
      <sheetData sheetId="3512"/>
      <sheetData sheetId="3513"/>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sheetData sheetId="3525"/>
      <sheetData sheetId="3526"/>
      <sheetData sheetId="3527"/>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sheetData sheetId="3544"/>
      <sheetData sheetId="3545"/>
      <sheetData sheetId="3546"/>
      <sheetData sheetId="3547"/>
      <sheetData sheetId="3548"/>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connecting Piping"/>
      <sheetName val="AG PIPING REV.1"/>
      <sheetName val="Process Piping"/>
      <sheetName val="1_References"/>
      <sheetName val="공량산출서"/>
      <sheetName val="가도공"/>
      <sheetName val="Summary"/>
      <sheetName val="우수공"/>
      <sheetName val="3004-2"/>
      <sheetName val="Sheet1"/>
      <sheetName val="재료비"/>
      <sheetName val="ITB COST"/>
      <sheetName val="Aboveground piping"/>
      <sheetName val="D-3109"/>
      <sheetName val="Takeoff"/>
      <sheetName val="부하계산서"/>
      <sheetName val="수입"/>
      <sheetName val="#REF"/>
      <sheetName val="PL"/>
      <sheetName val="Direct Labour Deployment"/>
      <sheetName val="Interconnecting_Piping1"/>
      <sheetName val="AG_PIPING_REV_11"/>
      <sheetName val="Process_Piping1"/>
      <sheetName val="ITB_COST1"/>
      <sheetName val="Interconnecting_Piping"/>
      <sheetName val="AG_PIPING_REV_1"/>
      <sheetName val="Process_Piping"/>
      <sheetName val="ITB_COST"/>
      <sheetName val="PRICES"/>
      <sheetName val="EEI_Letters"/>
      <sheetName val="A"/>
      <sheetName val="LEGEND"/>
      <sheetName val="LOOKUP-II"/>
      <sheetName val="Summary_Sheets"/>
      <sheetName val="LOOKUP"/>
      <sheetName val="LABTOTAL"/>
      <sheetName val="Code03"/>
      <sheetName val="5-Digit"/>
      <sheetName val="Code_02"/>
      <sheetName val="Code_03"/>
      <sheetName val="Code_04"/>
      <sheetName val="Code_05"/>
      <sheetName val="Code_06"/>
      <sheetName val="look"/>
      <sheetName val="Labour"/>
      <sheetName val="LOOKUP-I"/>
      <sheetName val="PipWT"/>
      <sheetName val="Final(1)summary"/>
      <sheetName val="Macro"/>
      <sheetName val="Job_Data"/>
      <sheetName val="Taux"/>
      <sheetName val="activity"/>
      <sheetName val="공정계획(내부계획25%,내부w_f)"/>
      <sheetName val="Unit_Name"/>
      <sheetName val="X17-TOTAL"/>
      <sheetName val="97"/>
      <sheetName val="Curves"/>
      <sheetName val="Note"/>
      <sheetName val="Heads"/>
      <sheetName val="Dbase"/>
      <sheetName val="Tables"/>
      <sheetName val="Page_2"/>
      <sheetName val="Codes,___"/>
      <sheetName val="INNER_TANK"/>
      <sheetName val="IPE"/>
      <sheetName val="Quantity"/>
      <sheetName val="A1_Thru_A11-_LUMP_SUM_CONSTR"/>
      <sheetName val="KP_List"/>
      <sheetName val="주식"/>
      <sheetName val="Sheet1 (2)"/>
      <sheetName val="RECAP.MO"/>
      <sheetName val="RECAP.MATERIEL"/>
      <sheetName val="CYC 0"/>
      <sheetName val="PERLITE"/>
      <sheetName val="MTO"/>
      <sheetName val="INNER TANK"/>
      <sheetName val="Codes,..."/>
      <sheetName val="DATA_DRAWING"/>
      <sheetName val="INNER TANK SEISMIC"/>
      <sheetName val="MATERIALS"/>
      <sheetName val="GENERALITY"/>
      <sheetName val="TL rieng"/>
      <sheetName val="BM"/>
      <sheetName val="BQMPALOC"/>
      <sheetName val="대비표"/>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갑지"/>
      <sheetName val="PROCURE"/>
      <sheetName val="재료비"/>
      <sheetName val="대비표"/>
      <sheetName val="PIPE-HOT"/>
      <sheetName val="TTL"/>
      <sheetName val="PROPOSAL"/>
      <sheetName val="inter"/>
      <sheetName val="HX"/>
      <sheetName val="집계표(OPTION)"/>
      <sheetName val="단면가정"/>
      <sheetName val="설계조건"/>
      <sheetName val="Sheet1"/>
      <sheetName val="Z"/>
      <sheetName val="Cash2"/>
      <sheetName val="단면검토"/>
      <sheetName val="운반"/>
      <sheetName val="Code"/>
      <sheetName val="Default"/>
      <sheetName val="Bid Summary"/>
      <sheetName val="영업2"/>
      <sheetName val="영업3"/>
      <sheetName val="DRUM"/>
      <sheetName val="C &amp; G RHS"/>
      <sheetName val="AREA"/>
      <sheetName val="Code_Magics"/>
      <sheetName val="Utility and Fire flange"/>
      <sheetName val="ASCEandUBC"/>
      <sheetName val="할증 "/>
      <sheetName val="장비"/>
      <sheetName val="노무"/>
      <sheetName val="자재"/>
      <sheetName val="산근1"/>
      <sheetName val="95삼성급(본사)"/>
      <sheetName val="Process Piping"/>
      <sheetName val="Master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TAF"/>
      <sheetName val="1st Week Mar 04"/>
      <sheetName val="hee"/>
      <sheetName val="sc"/>
      <sheetName val="Sheet1"/>
      <sheetName val="BULD.3"/>
    </sheetNames>
    <sheetDataSet>
      <sheetData sheetId="0"/>
      <sheetData sheetId="1"/>
      <sheetData sheetId="2"/>
      <sheetData sheetId="3">
        <row r="5">
          <cell r="H5" t="str">
            <v>REQUIRED DATE OF FINALISATION (HEE)</v>
          </cell>
        </row>
      </sheetData>
      <sheetData sheetId="4"/>
      <sheetData sheetId="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sheetName val="P-L"/>
      <sheetName val="BUDg"/>
      <sheetName val="예산"/>
      <sheetName val="FAS"/>
      <sheetName val="FCST"/>
      <sheetName val="M_H"/>
      <sheetName val="F_MONY"/>
      <sheetName val="환보고"/>
      <sheetName val="환자료"/>
      <sheetName val="inter"/>
      <sheetName val="노무비(MM)"/>
      <sheetName val="노무비(비용)"/>
      <sheetName val="공사비"/>
      <sheetName val="Sheet6"/>
      <sheetName val="Sheet7"/>
      <sheetName val="Sheet8"/>
      <sheetName val="Sheet9"/>
      <sheetName val="Sheet10"/>
      <sheetName val="Sheet11"/>
      <sheetName val="Sheet12"/>
      <sheetName val="Sheet13"/>
      <sheetName val="Sheet14"/>
      <sheetName val="Sheet15"/>
      <sheetName val="Sheet16"/>
      <sheetName val="Module1"/>
      <sheetName val="Module2"/>
      <sheetName val="Module3"/>
      <sheetName val="COA-17"/>
      <sheetName val="C-18"/>
      <sheetName val="별총"/>
      <sheetName val="갑지"/>
      <sheetName val="h-013211-2"/>
      <sheetName val="POWER"/>
      <sheetName val="총괄표"/>
      <sheetName val="Plan"/>
      <sheetName val="일위대가"/>
      <sheetName val="SG"/>
      <sheetName val="SHL"/>
      <sheetName val="CAT_5"/>
      <sheetName val="기계내역서"/>
      <sheetName val="도"/>
      <sheetName val="boq"/>
      <sheetName val="TTL"/>
      <sheetName val="LinerWt"/>
      <sheetName val="산근"/>
      <sheetName val="INSTR"/>
      <sheetName val="DESIGN"/>
      <sheetName val="OCT.FDN"/>
      <sheetName val="12CGOU"/>
      <sheetName val="Summary Sheets"/>
      <sheetName val="Input"/>
      <sheetName val="Activity"/>
      <sheetName val="Crew"/>
      <sheetName val="Piping"/>
      <sheetName val="Pipe Supports"/>
      <sheetName val="VXXXXX"/>
      <sheetName val="FILTER"/>
      <sheetName val="인원계획"/>
      <sheetName val="Cash2"/>
      <sheetName val="Z"/>
      <sheetName val="공조위생"/>
      <sheetName val="기준"/>
      <sheetName val="단가"/>
      <sheetName val="EQUIP LIST"/>
      <sheetName val="노임9월"/>
      <sheetName val="WORK-VOL"/>
      <sheetName val="Process Piping"/>
      <sheetName val="CST_STAT"/>
      <sheetName val="B"/>
      <sheetName val="rate"/>
      <sheetName val="P-HOT.XLS"/>
      <sheetName val="내역서"/>
      <sheetName val="실행내역"/>
      <sheetName val="blk"/>
      <sheetName val="Sheet3"/>
      <sheetName val="EQT-ESTN"/>
      <sheetName val="당진1,2호기전선관설치및접지4차공사내역서-을지"/>
      <sheetName val="3. GROUNDING SYSTEM"/>
      <sheetName val="Material and Manpower data"/>
      <sheetName val="Pricing Summary"/>
      <sheetName val="일위대가표"/>
      <sheetName val="집계표"/>
      <sheetName val="대비표"/>
      <sheetName val="Project-A"/>
      <sheetName val="Chart"/>
      <sheetName val="EQUIP"/>
      <sheetName val="견"/>
      <sheetName val="보온자재단가표"/>
      <sheetName val="작성기준"/>
      <sheetName val="Alum."/>
      <sheetName val="Data"/>
      <sheetName val="Calc"/>
      <sheetName val="LEGEND"/>
      <sheetName val="look-up"/>
      <sheetName val="AILC004"/>
      <sheetName val="Fax"/>
      <sheetName val="9_Material Rates"/>
      <sheetName val="1_References"/>
      <sheetName val="SKETCH"/>
      <sheetName val="갑지1"/>
      <sheetName val="CALCULATION"/>
      <sheetName val="PRO_DCI"/>
      <sheetName val="INST_DCI"/>
      <sheetName val="HVAC_DCI"/>
      <sheetName val="PIPE_DCI"/>
      <sheetName val="환율"/>
      <sheetName val="CONTENTS"/>
      <sheetName val="PROCURE"/>
      <sheetName val="조명시설"/>
      <sheetName val="현장지지물물량"/>
      <sheetName val="Code"/>
      <sheetName val="금액내역서"/>
      <sheetName val="2.2 STAFF Scedule"/>
      <sheetName val="steam table"/>
      <sheetName val="WORK"/>
      <sheetName val="HORI. VESSEL"/>
      <sheetName val="BQ"/>
      <sheetName val="@PRICE1"/>
      <sheetName val="최종단가"/>
      <sheetName val="#REF"/>
      <sheetName val="입출재고현황 (2)"/>
      <sheetName val="AREA"/>
      <sheetName val="바닥판"/>
      <sheetName val="TYPE1"/>
      <sheetName val="철근량"/>
      <sheetName val="토목주소"/>
      <sheetName val="프랜트면허"/>
      <sheetName val="역T형"/>
      <sheetName val="PILE"/>
      <sheetName val="장비"/>
      <sheetName val="노무"/>
      <sheetName val="자재"/>
      <sheetName val="산근1"/>
      <sheetName val="토목품셈"/>
      <sheetName val="BQMPALOC"/>
      <sheetName val="Rate Analysis"/>
      <sheetName val="Inst Matl Table"/>
      <sheetName val="Inst_Type"/>
      <sheetName val="Loop Type"/>
      <sheetName val="Tracing"/>
      <sheetName val="Hookup"/>
      <sheetName val="WBS"/>
      <sheetName val="Civil"/>
      <sheetName val="DB@Acess"/>
      <sheetName val="Quantity"/>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insulation"/>
      <sheetName val="Sheet5"/>
      <sheetName val="Man Hole"/>
      <sheetName val="대로근거"/>
      <sheetName val="중로근거"/>
      <sheetName val="조건표"/>
      <sheetName val="내역표지"/>
      <sheetName val="산출2-기기동력"/>
      <sheetName val="40총괄"/>
      <sheetName val="40집계"/>
      <sheetName val="30신설일위대가"/>
      <sheetName val="30집계표"/>
      <sheetName val="NSCP견적물량"/>
      <sheetName val="95삼성급(본사)"/>
      <sheetName val="Sheet1"/>
      <sheetName val="DRUM"/>
      <sheetName val="내역"/>
      <sheetName val="초기화면"/>
      <sheetName val="재료비"/>
      <sheetName val="97 사업추정(WEKI)"/>
      <sheetName val="경비"/>
      <sheetName val="Code_Magics"/>
      <sheetName val="MP MOB"/>
      <sheetName val="1. 설계조건 2.단면가정 3. 하중계산"/>
      <sheetName val="DATA 입력란"/>
      <sheetName val="GiaVL"/>
      <sheetName val="찍기"/>
      <sheetName val="공사내역"/>
      <sheetName val="D-3109"/>
      <sheetName val="TABLES"/>
      <sheetName val="당초"/>
      <sheetName val="견적"/>
      <sheetName val="Car park lease"/>
      <sheetName val="GROUNDING SYSTEM"/>
      <sheetName val="El(Increased)"/>
      <sheetName val="공사비예산서(토목분)"/>
      <sheetName val="가격조사서"/>
      <sheetName val="연돌일위집계"/>
      <sheetName val="HANDHOLE(2)"/>
      <sheetName val="PAD TR보호대기초"/>
      <sheetName val="가로등기초"/>
      <sheetName val="집계표(OPTION)"/>
      <sheetName val="Master_Data"/>
      <sheetName val="철근단위중량"/>
      <sheetName val="C1"/>
      <sheetName val="배명(단가)"/>
      <sheetName val="TANK"/>
      <sheetName val="Utility and Fire flange"/>
      <sheetName val="단면가정"/>
      <sheetName val="설계조건"/>
      <sheetName val="LTR-2"/>
      <sheetName val="sum1 (2)"/>
      <sheetName val="s"/>
      <sheetName val="대비"/>
      <sheetName val="SILICATE"/>
      <sheetName val="General Data"/>
      <sheetName val="L V Separator"/>
      <sheetName val="Eq. Mobilization"/>
      <sheetName val="PI"/>
      <sheetName val="부하(성남)"/>
      <sheetName val="8.PILE  (돌출)"/>
      <sheetName val="CTEMCOST"/>
      <sheetName val="Default"/>
      <sheetName val="소화실적"/>
      <sheetName val="노임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TAF"/>
      <sheetName val="1st Week Mar 04"/>
      <sheetName val="hee"/>
      <sheetName val="sc"/>
      <sheetName val="Sheet1"/>
      <sheetName val="AC SUM"/>
      <sheetName val="PL SUM"/>
      <sheetName val="&lt;24-Staff RentTable&gt;"/>
    </sheetNames>
    <sheetDataSet>
      <sheetData sheetId="0"/>
      <sheetData sheetId="1"/>
      <sheetData sheetId="2"/>
      <sheetData sheetId="3">
        <row r="5">
          <cell r="A5" t="str">
            <v>S.NO</v>
          </cell>
          <cell r="B5" t="str">
            <v>SUBCONTRACTED WORKS</v>
          </cell>
          <cell r="E5" t="str">
            <v>DATE REQD. ON SITE</v>
          </cell>
          <cell r="H5" t="str">
            <v>REQUIRED DATE OF FINALISATION (HEE)</v>
          </cell>
        </row>
      </sheetData>
      <sheetData sheetId="4"/>
      <sheetData sheetId="5" refreshError="1"/>
      <sheetData sheetId="6" refreshError="1"/>
      <sheetData sheetId="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VALFICTQ"/>
    </sheetNames>
    <sheetDataSet>
      <sheetData sheetId="0" refreshError="1">
        <row r="2">
          <cell r="F2" t="str">
            <v>Q - Chem Philips Complex - Hexene, Utilities &amp; Offsites</v>
          </cell>
        </row>
        <row r="3">
          <cell r="F3" t="str">
            <v>Qatar</v>
          </cell>
        </row>
        <row r="4">
          <cell r="E4" t="str">
            <v>Est.No.: E 1765</v>
          </cell>
        </row>
      </sheetData>
      <sheetData sheetId="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Name val="Resource Map"/>
      <sheetName val="Extra Money"/>
      <sheetName val="SystemData"/>
      <sheetName val="MainRoutines"/>
      <sheetName val="Dialog Routines"/>
      <sheetName val="ConfigureDialog"/>
      <sheetName val="GetTenderNoDialog"/>
      <sheetName val="AboutTender"/>
      <sheetName val="Monthly PTAF"/>
      <sheetName val="Monthly PTAF-Mason"/>
      <sheetName val="Monthly PTAF-Labour"/>
      <sheetName val="Monthly PTAF Total MP"/>
      <sheetName val="sc"/>
    </sheetNames>
    <sheetDataSet>
      <sheetData sheetId="0"/>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S"/>
      <sheetName val="Top Sheet"/>
      <sheetName val="ToS-Detailed"/>
      <sheetName val="Mark-up"/>
      <sheetName val="Deckungsbeitrag"/>
      <sheetName val="2 Rates L+F"/>
      <sheetName val="3 Rates L1+L2+F"/>
      <sheetName val="3 Rates L+F1+F2"/>
      <sheetName val="Graph"/>
      <sheetName val="Macros"/>
      <sheetName val="Modul1"/>
      <sheetName val="Modul4"/>
      <sheetName val="Modul6"/>
      <sheetName val="Top_Sheet"/>
      <sheetName val="2_Rates_L+F"/>
      <sheetName val="3_Rates_L1+L2+F"/>
      <sheetName val="3_Rates_L+F1+F2"/>
    </sheetNames>
    <sheetDataSet>
      <sheetData sheetId="0" refreshError="1"/>
      <sheetData sheetId="1" refreshError="1"/>
      <sheetData sheetId="2" refreshError="1">
        <row r="6">
          <cell r="E6">
            <v>670817</v>
          </cell>
          <cell r="F6">
            <v>9312888</v>
          </cell>
          <cell r="G6">
            <v>18859582</v>
          </cell>
          <cell r="H6">
            <v>2286407</v>
          </cell>
          <cell r="I6">
            <v>6661</v>
          </cell>
          <cell r="J6">
            <v>0</v>
          </cell>
          <cell r="K6">
            <v>2224614</v>
          </cell>
          <cell r="L6">
            <v>32690152</v>
          </cell>
          <cell r="M6">
            <v>38730297</v>
          </cell>
          <cell r="N6">
            <v>8310221</v>
          </cell>
          <cell r="O6">
            <v>11638443</v>
          </cell>
          <cell r="P6">
            <v>41000373</v>
          </cell>
          <cell r="Q6">
            <v>50368740</v>
          </cell>
        </row>
        <row r="7">
          <cell r="E7">
            <v>0</v>
          </cell>
          <cell r="F7">
            <v>0</v>
          </cell>
          <cell r="G7">
            <v>5286423</v>
          </cell>
          <cell r="H7">
            <v>528813</v>
          </cell>
          <cell r="I7">
            <v>0</v>
          </cell>
          <cell r="J7">
            <v>221709</v>
          </cell>
          <cell r="K7">
            <v>3200</v>
          </cell>
          <cell r="L7">
            <v>6040145</v>
          </cell>
          <cell r="N7">
            <v>3328222</v>
          </cell>
          <cell r="P7">
            <v>9368367</v>
          </cell>
        </row>
        <row r="8">
          <cell r="E8">
            <v>0</v>
          </cell>
          <cell r="F8">
            <v>0</v>
          </cell>
          <cell r="G8">
            <v>0</v>
          </cell>
          <cell r="H8">
            <v>0</v>
          </cell>
          <cell r="I8">
            <v>240000000</v>
          </cell>
          <cell r="J8">
            <v>0</v>
          </cell>
          <cell r="K8">
            <v>0</v>
          </cell>
          <cell r="L8">
            <v>240000000</v>
          </cell>
          <cell r="M8">
            <v>240000000</v>
          </cell>
          <cell r="N8">
            <v>0</v>
          </cell>
          <cell r="O8">
            <v>0</v>
          </cell>
          <cell r="P8">
            <v>240000000</v>
          </cell>
          <cell r="Q8">
            <v>240000000</v>
          </cell>
        </row>
        <row r="9">
          <cell r="E9">
            <v>0</v>
          </cell>
          <cell r="F9">
            <v>0</v>
          </cell>
          <cell r="G9">
            <v>0</v>
          </cell>
          <cell r="H9">
            <v>0</v>
          </cell>
          <cell r="I9">
            <v>0</v>
          </cell>
          <cell r="J9">
            <v>0</v>
          </cell>
          <cell r="K9">
            <v>0</v>
          </cell>
          <cell r="L9">
            <v>0</v>
          </cell>
          <cell r="N9">
            <v>0</v>
          </cell>
          <cell r="P9">
            <v>0</v>
          </cell>
        </row>
        <row r="10">
          <cell r="E10">
            <v>1250321</v>
          </cell>
          <cell r="F10">
            <v>16254173</v>
          </cell>
          <cell r="G10">
            <v>21487736</v>
          </cell>
          <cell r="H10">
            <v>7102947</v>
          </cell>
          <cell r="I10">
            <v>0</v>
          </cell>
          <cell r="J10">
            <v>0</v>
          </cell>
          <cell r="K10">
            <v>9558018</v>
          </cell>
          <cell r="L10">
            <v>54402874</v>
          </cell>
          <cell r="M10">
            <v>55187196</v>
          </cell>
          <cell r="N10">
            <v>9846809</v>
          </cell>
          <cell r="O10">
            <v>16245861</v>
          </cell>
          <cell r="P10">
            <v>64249683</v>
          </cell>
          <cell r="Q10">
            <v>71433057</v>
          </cell>
        </row>
        <row r="11">
          <cell r="E11">
            <v>0</v>
          </cell>
          <cell r="F11">
            <v>0</v>
          </cell>
          <cell r="G11">
            <v>456701</v>
          </cell>
          <cell r="H11">
            <v>246871</v>
          </cell>
          <cell r="I11">
            <v>0</v>
          </cell>
          <cell r="J11">
            <v>0</v>
          </cell>
          <cell r="K11">
            <v>80750</v>
          </cell>
          <cell r="L11">
            <v>784322</v>
          </cell>
          <cell r="N11">
            <v>6399052</v>
          </cell>
          <cell r="P11">
            <v>7183374</v>
          </cell>
        </row>
        <row r="12">
          <cell r="E12">
            <v>0</v>
          </cell>
          <cell r="F12">
            <v>0</v>
          </cell>
          <cell r="G12">
            <v>0</v>
          </cell>
          <cell r="H12">
            <v>0</v>
          </cell>
          <cell r="I12">
            <v>0</v>
          </cell>
          <cell r="J12">
            <v>0</v>
          </cell>
          <cell r="K12">
            <v>0</v>
          </cell>
          <cell r="L12">
            <v>0</v>
          </cell>
          <cell r="M12">
            <v>0</v>
          </cell>
          <cell r="N12">
            <v>65121787</v>
          </cell>
          <cell r="O12">
            <v>65121787</v>
          </cell>
          <cell r="P12">
            <v>65121787</v>
          </cell>
          <cell r="Q12">
            <v>65121787</v>
          </cell>
        </row>
        <row r="13">
          <cell r="E13">
            <v>0</v>
          </cell>
          <cell r="F13">
            <v>0</v>
          </cell>
          <cell r="G13">
            <v>0</v>
          </cell>
          <cell r="H13">
            <v>0</v>
          </cell>
          <cell r="I13">
            <v>0</v>
          </cell>
          <cell r="J13">
            <v>0</v>
          </cell>
          <cell r="K13">
            <v>0</v>
          </cell>
          <cell r="L13">
            <v>0</v>
          </cell>
          <cell r="N13">
            <v>0</v>
          </cell>
          <cell r="P13">
            <v>0</v>
          </cell>
        </row>
        <row r="14">
          <cell r="E14">
            <v>901046.69230769225</v>
          </cell>
          <cell r="F14">
            <v>11713607</v>
          </cell>
          <cell r="G14">
            <v>14180097</v>
          </cell>
          <cell r="H14">
            <v>0</v>
          </cell>
          <cell r="I14">
            <v>0</v>
          </cell>
          <cell r="J14">
            <v>0</v>
          </cell>
          <cell r="K14">
            <v>5383227</v>
          </cell>
          <cell r="L14">
            <v>31276931</v>
          </cell>
          <cell r="M14">
            <v>31276931</v>
          </cell>
          <cell r="N14">
            <v>4749054</v>
          </cell>
          <cell r="O14">
            <v>4749054</v>
          </cell>
          <cell r="P14">
            <v>36025985</v>
          </cell>
          <cell r="Q14">
            <v>36025985</v>
          </cell>
        </row>
        <row r="15">
          <cell r="E15">
            <v>0</v>
          </cell>
          <cell r="F15">
            <v>0</v>
          </cell>
          <cell r="G15">
            <v>0</v>
          </cell>
          <cell r="H15">
            <v>0</v>
          </cell>
          <cell r="I15">
            <v>0</v>
          </cell>
          <cell r="J15">
            <v>0</v>
          </cell>
          <cell r="K15">
            <v>0</v>
          </cell>
          <cell r="L15">
            <v>0</v>
          </cell>
          <cell r="N15">
            <v>0</v>
          </cell>
          <cell r="P15">
            <v>0</v>
          </cell>
        </row>
        <row r="16">
          <cell r="E16">
            <v>2822184.692307692</v>
          </cell>
          <cell r="F16">
            <v>37280668</v>
          </cell>
          <cell r="G16">
            <v>54527415</v>
          </cell>
          <cell r="H16">
            <v>9389354</v>
          </cell>
          <cell r="I16">
            <v>240006661</v>
          </cell>
          <cell r="J16">
            <v>0</v>
          </cell>
          <cell r="K16">
            <v>17165859</v>
          </cell>
          <cell r="L16">
            <v>358369957</v>
          </cell>
          <cell r="M16">
            <v>365194424</v>
          </cell>
          <cell r="N16">
            <v>88027871</v>
          </cell>
          <cell r="O16">
            <v>97755145</v>
          </cell>
          <cell r="P16">
            <v>446397828</v>
          </cell>
          <cell r="Q16">
            <v>462949569</v>
          </cell>
        </row>
        <row r="17">
          <cell r="E17">
            <v>0</v>
          </cell>
          <cell r="F17">
            <v>0</v>
          </cell>
          <cell r="G17">
            <v>5743124</v>
          </cell>
          <cell r="H17">
            <v>775684</v>
          </cell>
          <cell r="I17">
            <v>0</v>
          </cell>
          <cell r="J17">
            <v>221709</v>
          </cell>
          <cell r="K17">
            <v>83950</v>
          </cell>
          <cell r="L17">
            <v>6824467</v>
          </cell>
          <cell r="N17">
            <v>9727274</v>
          </cell>
          <cell r="P17">
            <v>16551741</v>
          </cell>
        </row>
        <row r="18">
          <cell r="E18">
            <v>0</v>
          </cell>
          <cell r="F18">
            <v>0</v>
          </cell>
          <cell r="G18">
            <v>0</v>
          </cell>
          <cell r="H18">
            <v>0</v>
          </cell>
          <cell r="I18">
            <v>854882.75</v>
          </cell>
          <cell r="J18">
            <v>0</v>
          </cell>
          <cell r="K18">
            <v>654545.04</v>
          </cell>
          <cell r="L18">
            <v>1509427.79</v>
          </cell>
          <cell r="M18">
            <v>33998213.789999999</v>
          </cell>
          <cell r="N18">
            <v>0</v>
          </cell>
          <cell r="O18">
            <v>0</v>
          </cell>
          <cell r="P18">
            <v>1509427.79</v>
          </cell>
          <cell r="Q18">
            <v>33998213.789999999</v>
          </cell>
        </row>
        <row r="19">
          <cell r="E19">
            <v>0</v>
          </cell>
          <cell r="F19">
            <v>0</v>
          </cell>
          <cell r="G19">
            <v>0</v>
          </cell>
          <cell r="H19">
            <v>0</v>
          </cell>
          <cell r="I19">
            <v>32488786</v>
          </cell>
          <cell r="J19">
            <v>0</v>
          </cell>
          <cell r="K19">
            <v>0</v>
          </cell>
          <cell r="L19">
            <v>32488786</v>
          </cell>
          <cell r="N19">
            <v>0</v>
          </cell>
          <cell r="P19">
            <v>32488786</v>
          </cell>
        </row>
        <row r="20">
          <cell r="E20">
            <v>0</v>
          </cell>
          <cell r="F20">
            <v>0</v>
          </cell>
          <cell r="G20">
            <v>0</v>
          </cell>
          <cell r="H20">
            <v>0</v>
          </cell>
          <cell r="I20">
            <v>0</v>
          </cell>
          <cell r="J20">
            <v>0</v>
          </cell>
          <cell r="K20">
            <v>0</v>
          </cell>
          <cell r="L20">
            <v>0</v>
          </cell>
          <cell r="M20">
            <v>0</v>
          </cell>
          <cell r="N20">
            <v>0</v>
          </cell>
          <cell r="O20">
            <v>0</v>
          </cell>
          <cell r="P20">
            <v>0</v>
          </cell>
          <cell r="Q20">
            <v>0</v>
          </cell>
        </row>
        <row r="21">
          <cell r="E21">
            <v>0</v>
          </cell>
          <cell r="F21">
            <v>0</v>
          </cell>
          <cell r="G21">
            <v>0</v>
          </cell>
          <cell r="H21">
            <v>0</v>
          </cell>
          <cell r="I21">
            <v>0</v>
          </cell>
          <cell r="J21">
            <v>0</v>
          </cell>
          <cell r="K21">
            <v>0</v>
          </cell>
          <cell r="L21">
            <v>0</v>
          </cell>
          <cell r="N21">
            <v>0</v>
          </cell>
          <cell r="P21">
            <v>0</v>
          </cell>
        </row>
        <row r="22">
          <cell r="E22">
            <v>0</v>
          </cell>
          <cell r="F22">
            <v>0</v>
          </cell>
          <cell r="G22">
            <v>0</v>
          </cell>
          <cell r="H22">
            <v>0</v>
          </cell>
          <cell r="I22">
            <v>16487543.85</v>
          </cell>
          <cell r="J22">
            <v>0</v>
          </cell>
          <cell r="K22">
            <v>1601899.4</v>
          </cell>
          <cell r="L22">
            <v>18089443.25</v>
          </cell>
          <cell r="M22">
            <v>18089443.25</v>
          </cell>
          <cell r="N22">
            <v>0</v>
          </cell>
          <cell r="O22">
            <v>0</v>
          </cell>
          <cell r="P22">
            <v>18089443.25</v>
          </cell>
          <cell r="Q22">
            <v>18089443.25</v>
          </cell>
        </row>
        <row r="23">
          <cell r="E23">
            <v>0</v>
          </cell>
          <cell r="F23">
            <v>0</v>
          </cell>
          <cell r="G23">
            <v>0</v>
          </cell>
          <cell r="H23">
            <v>0</v>
          </cell>
          <cell r="I23">
            <v>0</v>
          </cell>
          <cell r="J23">
            <v>0</v>
          </cell>
          <cell r="K23">
            <v>0</v>
          </cell>
          <cell r="L23">
            <v>0</v>
          </cell>
          <cell r="N23">
            <v>0</v>
          </cell>
          <cell r="P23">
            <v>0</v>
          </cell>
        </row>
        <row r="24">
          <cell r="E24">
            <v>0</v>
          </cell>
          <cell r="F24">
            <v>0</v>
          </cell>
          <cell r="G24">
            <v>0</v>
          </cell>
          <cell r="H24">
            <v>0</v>
          </cell>
          <cell r="I24">
            <v>0</v>
          </cell>
          <cell r="J24">
            <v>0</v>
          </cell>
          <cell r="K24">
            <v>0</v>
          </cell>
          <cell r="L24">
            <v>0</v>
          </cell>
          <cell r="M24">
            <v>0</v>
          </cell>
          <cell r="N24">
            <v>0</v>
          </cell>
          <cell r="O24">
            <v>0</v>
          </cell>
          <cell r="P24">
            <v>0</v>
          </cell>
          <cell r="Q24">
            <v>0</v>
          </cell>
        </row>
        <row r="25">
          <cell r="E25">
            <v>0</v>
          </cell>
          <cell r="F25">
            <v>0</v>
          </cell>
          <cell r="G25">
            <v>0</v>
          </cell>
          <cell r="H25">
            <v>0</v>
          </cell>
          <cell r="I25">
            <v>0</v>
          </cell>
          <cell r="J25">
            <v>0</v>
          </cell>
          <cell r="K25">
            <v>0</v>
          </cell>
          <cell r="L25">
            <v>0</v>
          </cell>
          <cell r="N25">
            <v>0</v>
          </cell>
          <cell r="P25">
            <v>0</v>
          </cell>
        </row>
        <row r="26">
          <cell r="E26">
            <v>0</v>
          </cell>
          <cell r="F26">
            <v>0</v>
          </cell>
          <cell r="G26">
            <v>0</v>
          </cell>
          <cell r="H26">
            <v>0</v>
          </cell>
          <cell r="I26">
            <v>2459500</v>
          </cell>
          <cell r="J26">
            <v>0</v>
          </cell>
          <cell r="K26">
            <v>0</v>
          </cell>
          <cell r="L26">
            <v>2459500</v>
          </cell>
          <cell r="M26">
            <v>2459500</v>
          </cell>
          <cell r="N26">
            <v>0</v>
          </cell>
          <cell r="O26">
            <v>0</v>
          </cell>
          <cell r="P26">
            <v>2459500</v>
          </cell>
          <cell r="Q26">
            <v>2459500</v>
          </cell>
        </row>
        <row r="27">
          <cell r="E27">
            <v>0</v>
          </cell>
          <cell r="F27">
            <v>0</v>
          </cell>
          <cell r="G27">
            <v>0</v>
          </cell>
          <cell r="H27">
            <v>0</v>
          </cell>
          <cell r="I27">
            <v>0</v>
          </cell>
          <cell r="J27">
            <v>0</v>
          </cell>
          <cell r="K27">
            <v>0</v>
          </cell>
          <cell r="L27">
            <v>0</v>
          </cell>
          <cell r="N27">
            <v>0</v>
          </cell>
          <cell r="P27">
            <v>0</v>
          </cell>
        </row>
        <row r="28">
          <cell r="E28">
            <v>0</v>
          </cell>
          <cell r="F28">
            <v>0</v>
          </cell>
          <cell r="G28">
            <v>0</v>
          </cell>
          <cell r="H28">
            <v>0</v>
          </cell>
          <cell r="I28">
            <v>235350</v>
          </cell>
          <cell r="J28">
            <v>0</v>
          </cell>
          <cell r="K28">
            <v>0</v>
          </cell>
          <cell r="L28">
            <v>235350</v>
          </cell>
          <cell r="M28">
            <v>235350</v>
          </cell>
          <cell r="N28">
            <v>0</v>
          </cell>
          <cell r="O28">
            <v>0</v>
          </cell>
          <cell r="P28">
            <v>235350</v>
          </cell>
          <cell r="Q28">
            <v>235350</v>
          </cell>
        </row>
        <row r="29">
          <cell r="E29">
            <v>0</v>
          </cell>
          <cell r="F29">
            <v>0</v>
          </cell>
          <cell r="G29">
            <v>0</v>
          </cell>
          <cell r="H29">
            <v>0</v>
          </cell>
          <cell r="I29">
            <v>0</v>
          </cell>
          <cell r="J29">
            <v>0</v>
          </cell>
          <cell r="K29">
            <v>0</v>
          </cell>
          <cell r="L29">
            <v>0</v>
          </cell>
          <cell r="N29">
            <v>0</v>
          </cell>
          <cell r="P29">
            <v>0</v>
          </cell>
        </row>
        <row r="30">
          <cell r="E30">
            <v>0</v>
          </cell>
          <cell r="F30">
            <v>0</v>
          </cell>
          <cell r="G30">
            <v>0</v>
          </cell>
          <cell r="H30">
            <v>0</v>
          </cell>
          <cell r="I30">
            <v>0</v>
          </cell>
          <cell r="J30">
            <v>0</v>
          </cell>
          <cell r="K30">
            <v>0</v>
          </cell>
          <cell r="L30">
            <v>0</v>
          </cell>
          <cell r="M30">
            <v>0</v>
          </cell>
          <cell r="N30">
            <v>0</v>
          </cell>
          <cell r="O30">
            <v>0</v>
          </cell>
          <cell r="P30">
            <v>0</v>
          </cell>
          <cell r="Q30">
            <v>0</v>
          </cell>
        </row>
        <row r="31">
          <cell r="E31">
            <v>0</v>
          </cell>
          <cell r="F31">
            <v>0</v>
          </cell>
          <cell r="G31">
            <v>0</v>
          </cell>
          <cell r="H31">
            <v>0</v>
          </cell>
          <cell r="I31">
            <v>0</v>
          </cell>
          <cell r="J31">
            <v>0</v>
          </cell>
          <cell r="K31">
            <v>0</v>
          </cell>
          <cell r="L31">
            <v>0</v>
          </cell>
          <cell r="N31">
            <v>0</v>
          </cell>
          <cell r="P31">
            <v>0</v>
          </cell>
        </row>
        <row r="32">
          <cell r="E32">
            <v>37560</v>
          </cell>
          <cell r="F32">
            <v>468200</v>
          </cell>
          <cell r="G32">
            <v>2000</v>
          </cell>
          <cell r="H32">
            <v>7169356.0669999998</v>
          </cell>
          <cell r="I32">
            <v>346393.413</v>
          </cell>
          <cell r="J32">
            <v>0</v>
          </cell>
          <cell r="K32">
            <v>64311.167000000001</v>
          </cell>
          <cell r="L32">
            <v>8050260.6469999999</v>
          </cell>
          <cell r="M32">
            <v>8062045.6469999999</v>
          </cell>
          <cell r="N32">
            <v>2729364.45</v>
          </cell>
          <cell r="O32">
            <v>2729364.45</v>
          </cell>
          <cell r="P32">
            <v>10779625.096999999</v>
          </cell>
          <cell r="Q32">
            <v>10791410.096999999</v>
          </cell>
        </row>
        <row r="33">
          <cell r="E33">
            <v>0</v>
          </cell>
          <cell r="F33">
            <v>0</v>
          </cell>
          <cell r="G33">
            <v>0</v>
          </cell>
          <cell r="H33">
            <v>0</v>
          </cell>
          <cell r="I33">
            <v>11785</v>
          </cell>
          <cell r="J33">
            <v>0</v>
          </cell>
          <cell r="K33">
            <v>0</v>
          </cell>
          <cell r="L33">
            <v>11785</v>
          </cell>
          <cell r="N33">
            <v>0</v>
          </cell>
          <cell r="P33">
            <v>11785</v>
          </cell>
        </row>
        <row r="34">
          <cell r="E34">
            <v>562135.74399999995</v>
          </cell>
          <cell r="F34">
            <v>6269545.9390000002</v>
          </cell>
          <cell r="G34">
            <v>0</v>
          </cell>
          <cell r="H34">
            <v>3599947.4019999998</v>
          </cell>
          <cell r="I34">
            <v>1341991.8</v>
          </cell>
          <cell r="J34">
            <v>0</v>
          </cell>
          <cell r="K34">
            <v>6593985.3600000003</v>
          </cell>
          <cell r="L34">
            <v>17805470.501000002</v>
          </cell>
          <cell r="M34">
            <v>18025478.815000001</v>
          </cell>
          <cell r="N34">
            <v>0</v>
          </cell>
          <cell r="O34">
            <v>0</v>
          </cell>
          <cell r="P34">
            <v>17805470.501000002</v>
          </cell>
          <cell r="Q34">
            <v>18025478.815000001</v>
          </cell>
        </row>
        <row r="35">
          <cell r="E35">
            <v>0</v>
          </cell>
          <cell r="F35">
            <v>0</v>
          </cell>
          <cell r="G35">
            <v>0</v>
          </cell>
          <cell r="H35">
            <v>114554.962</v>
          </cell>
          <cell r="I35">
            <v>0</v>
          </cell>
          <cell r="J35">
            <v>105453.352</v>
          </cell>
          <cell r="K35">
            <v>0</v>
          </cell>
          <cell r="L35">
            <v>220008.31400000001</v>
          </cell>
          <cell r="N35">
            <v>0</v>
          </cell>
          <cell r="P35">
            <v>220008.31400000001</v>
          </cell>
        </row>
        <row r="36">
          <cell r="E36">
            <v>80970</v>
          </cell>
          <cell r="F36">
            <v>687978</v>
          </cell>
          <cell r="G36">
            <v>0</v>
          </cell>
          <cell r="H36">
            <v>292371.75</v>
          </cell>
          <cell r="I36">
            <v>2419571.08</v>
          </cell>
          <cell r="J36">
            <v>0</v>
          </cell>
          <cell r="K36">
            <v>316198.40000000002</v>
          </cell>
          <cell r="L36">
            <v>3716119.23</v>
          </cell>
          <cell r="M36">
            <v>4440029.2300000004</v>
          </cell>
          <cell r="N36">
            <v>0</v>
          </cell>
          <cell r="O36">
            <v>0</v>
          </cell>
          <cell r="P36">
            <v>3716119.23</v>
          </cell>
          <cell r="Q36">
            <v>4440029.2300000004</v>
          </cell>
        </row>
        <row r="37">
          <cell r="E37">
            <v>0</v>
          </cell>
          <cell r="F37">
            <v>0</v>
          </cell>
          <cell r="G37">
            <v>0</v>
          </cell>
          <cell r="H37">
            <v>0</v>
          </cell>
          <cell r="I37">
            <v>723910</v>
          </cell>
          <cell r="J37">
            <v>0</v>
          </cell>
          <cell r="K37">
            <v>0</v>
          </cell>
          <cell r="L37">
            <v>723910</v>
          </cell>
          <cell r="N37">
            <v>0</v>
          </cell>
          <cell r="P37">
            <v>723910</v>
          </cell>
        </row>
        <row r="38">
          <cell r="E38">
            <v>0</v>
          </cell>
          <cell r="F38">
            <v>0</v>
          </cell>
          <cell r="G38">
            <v>0</v>
          </cell>
          <cell r="H38">
            <v>0</v>
          </cell>
          <cell r="I38">
            <v>2083706.7</v>
          </cell>
          <cell r="J38">
            <v>0</v>
          </cell>
          <cell r="K38">
            <v>422160</v>
          </cell>
          <cell r="L38">
            <v>2505866.7000000002</v>
          </cell>
          <cell r="M38">
            <v>2589866.7000000002</v>
          </cell>
          <cell r="N38">
            <v>0</v>
          </cell>
          <cell r="O38">
            <v>0</v>
          </cell>
          <cell r="P38">
            <v>2505866.7000000002</v>
          </cell>
          <cell r="Q38">
            <v>2589866.7000000002</v>
          </cell>
        </row>
        <row r="39">
          <cell r="E39">
            <v>0</v>
          </cell>
          <cell r="F39">
            <v>0</v>
          </cell>
          <cell r="G39">
            <v>0</v>
          </cell>
          <cell r="H39">
            <v>0</v>
          </cell>
          <cell r="I39">
            <v>84000</v>
          </cell>
          <cell r="J39">
            <v>0</v>
          </cell>
          <cell r="K39">
            <v>0</v>
          </cell>
          <cell r="L39">
            <v>84000</v>
          </cell>
          <cell r="N39">
            <v>0</v>
          </cell>
          <cell r="P39">
            <v>84000</v>
          </cell>
        </row>
        <row r="40">
          <cell r="E40">
            <v>0</v>
          </cell>
          <cell r="F40">
            <v>0</v>
          </cell>
          <cell r="G40">
            <v>0</v>
          </cell>
          <cell r="H40">
            <v>0</v>
          </cell>
          <cell r="I40">
            <v>2080000</v>
          </cell>
          <cell r="J40">
            <v>0</v>
          </cell>
          <cell r="K40">
            <v>0</v>
          </cell>
          <cell r="L40">
            <v>2080000</v>
          </cell>
          <cell r="M40">
            <v>2080000</v>
          </cell>
          <cell r="N40">
            <v>0</v>
          </cell>
          <cell r="O40">
            <v>0</v>
          </cell>
          <cell r="P40">
            <v>2080000</v>
          </cell>
          <cell r="Q40">
            <v>2080000</v>
          </cell>
        </row>
        <row r="41">
          <cell r="E41">
            <v>0</v>
          </cell>
          <cell r="F41">
            <v>0</v>
          </cell>
          <cell r="G41">
            <v>0</v>
          </cell>
          <cell r="H41">
            <v>0</v>
          </cell>
          <cell r="I41">
            <v>0</v>
          </cell>
          <cell r="J41">
            <v>0</v>
          </cell>
          <cell r="K41">
            <v>0</v>
          </cell>
          <cell r="L41">
            <v>0</v>
          </cell>
          <cell r="N41">
            <v>0</v>
          </cell>
          <cell r="P41">
            <v>0</v>
          </cell>
        </row>
        <row r="42">
          <cell r="E42">
            <v>0</v>
          </cell>
          <cell r="F42">
            <v>0</v>
          </cell>
          <cell r="G42">
            <v>0</v>
          </cell>
          <cell r="H42">
            <v>0</v>
          </cell>
          <cell r="I42">
            <v>25560</v>
          </cell>
          <cell r="J42">
            <v>0</v>
          </cell>
          <cell r="K42">
            <v>0</v>
          </cell>
          <cell r="L42">
            <v>25560</v>
          </cell>
          <cell r="M42">
            <v>2271976</v>
          </cell>
          <cell r="N42">
            <v>0</v>
          </cell>
          <cell r="O42">
            <v>0</v>
          </cell>
          <cell r="P42">
            <v>25560</v>
          </cell>
          <cell r="Q42">
            <v>2271976</v>
          </cell>
        </row>
        <row r="43">
          <cell r="E43">
            <v>0</v>
          </cell>
          <cell r="F43">
            <v>0</v>
          </cell>
          <cell r="G43">
            <v>0</v>
          </cell>
          <cell r="H43">
            <v>0</v>
          </cell>
          <cell r="I43">
            <v>2246416</v>
          </cell>
          <cell r="J43">
            <v>0</v>
          </cell>
          <cell r="K43">
            <v>0</v>
          </cell>
          <cell r="L43">
            <v>2246416</v>
          </cell>
          <cell r="N43">
            <v>0</v>
          </cell>
          <cell r="P43">
            <v>2246416</v>
          </cell>
        </row>
        <row r="44">
          <cell r="E44">
            <v>0</v>
          </cell>
          <cell r="F44">
            <v>0</v>
          </cell>
          <cell r="G44">
            <v>0</v>
          </cell>
          <cell r="H44">
            <v>0</v>
          </cell>
          <cell r="I44">
            <v>12400000</v>
          </cell>
          <cell r="J44">
            <v>0</v>
          </cell>
          <cell r="K44">
            <v>0</v>
          </cell>
          <cell r="L44">
            <v>12400000</v>
          </cell>
          <cell r="M44">
            <v>12400000</v>
          </cell>
          <cell r="N44">
            <v>0</v>
          </cell>
          <cell r="O44">
            <v>0</v>
          </cell>
          <cell r="P44">
            <v>12400000</v>
          </cell>
          <cell r="Q44">
            <v>12400000</v>
          </cell>
        </row>
        <row r="45">
          <cell r="E45">
            <v>0</v>
          </cell>
          <cell r="F45">
            <v>0</v>
          </cell>
          <cell r="G45">
            <v>0</v>
          </cell>
          <cell r="H45">
            <v>0</v>
          </cell>
          <cell r="I45">
            <v>0</v>
          </cell>
          <cell r="J45">
            <v>0</v>
          </cell>
          <cell r="K45">
            <v>0</v>
          </cell>
          <cell r="L45">
            <v>0</v>
          </cell>
          <cell r="N45">
            <v>0</v>
          </cell>
          <cell r="P45">
            <v>0</v>
          </cell>
        </row>
        <row r="46">
          <cell r="E46">
            <v>59400</v>
          </cell>
          <cell r="F46">
            <v>724740</v>
          </cell>
          <cell r="G46">
            <v>0</v>
          </cell>
          <cell r="H46">
            <v>0</v>
          </cell>
          <cell r="I46">
            <v>35234.175000000003</v>
          </cell>
          <cell r="J46">
            <v>0</v>
          </cell>
          <cell r="K46">
            <v>54540</v>
          </cell>
          <cell r="L46">
            <v>814514.17500000005</v>
          </cell>
          <cell r="M46">
            <v>1358486.175</v>
          </cell>
          <cell r="N46">
            <v>0</v>
          </cell>
          <cell r="O46">
            <v>0</v>
          </cell>
          <cell r="P46">
            <v>814514.17500000005</v>
          </cell>
          <cell r="Q46">
            <v>1358486.175</v>
          </cell>
        </row>
        <row r="47">
          <cell r="E47">
            <v>0</v>
          </cell>
          <cell r="F47">
            <v>0</v>
          </cell>
          <cell r="G47">
            <v>0</v>
          </cell>
          <cell r="H47">
            <v>0</v>
          </cell>
          <cell r="I47">
            <v>543972</v>
          </cell>
          <cell r="J47">
            <v>0</v>
          </cell>
          <cell r="K47">
            <v>0</v>
          </cell>
          <cell r="L47">
            <v>543972</v>
          </cell>
          <cell r="N47">
            <v>0</v>
          </cell>
          <cell r="P47">
            <v>543972</v>
          </cell>
        </row>
        <row r="48">
          <cell r="E48">
            <v>0</v>
          </cell>
          <cell r="F48">
            <v>0</v>
          </cell>
          <cell r="G48">
            <v>0</v>
          </cell>
          <cell r="H48">
            <v>0</v>
          </cell>
          <cell r="I48">
            <v>0</v>
          </cell>
          <cell r="J48">
            <v>0</v>
          </cell>
          <cell r="K48">
            <v>0</v>
          </cell>
          <cell r="L48">
            <v>0</v>
          </cell>
          <cell r="M48">
            <v>122222</v>
          </cell>
          <cell r="N48">
            <v>0</v>
          </cell>
          <cell r="O48">
            <v>0</v>
          </cell>
          <cell r="P48">
            <v>0</v>
          </cell>
          <cell r="Q48">
            <v>122222</v>
          </cell>
        </row>
        <row r="49">
          <cell r="E49">
            <v>0</v>
          </cell>
          <cell r="F49">
            <v>0</v>
          </cell>
          <cell r="G49">
            <v>0</v>
          </cell>
          <cell r="H49">
            <v>0</v>
          </cell>
          <cell r="I49">
            <v>0</v>
          </cell>
          <cell r="J49">
            <v>122222</v>
          </cell>
          <cell r="K49">
            <v>0</v>
          </cell>
          <cell r="L49">
            <v>122222</v>
          </cell>
          <cell r="N49">
            <v>0</v>
          </cell>
          <cell r="P49">
            <v>122222</v>
          </cell>
        </row>
        <row r="50">
          <cell r="E50">
            <v>50400</v>
          </cell>
          <cell r="F50">
            <v>598122</v>
          </cell>
          <cell r="G50">
            <v>0</v>
          </cell>
          <cell r="H50">
            <v>9578840.8849999998</v>
          </cell>
          <cell r="I50">
            <v>20270.25</v>
          </cell>
          <cell r="J50">
            <v>0</v>
          </cell>
          <cell r="K50">
            <v>133881.72</v>
          </cell>
          <cell r="L50">
            <v>10331114.855</v>
          </cell>
          <cell r="M50">
            <v>10446407.946</v>
          </cell>
          <cell r="N50">
            <v>0</v>
          </cell>
          <cell r="O50">
            <v>0</v>
          </cell>
          <cell r="P50">
            <v>10331114.855</v>
          </cell>
          <cell r="Q50">
            <v>10446407.946</v>
          </cell>
        </row>
        <row r="51">
          <cell r="E51">
            <v>0</v>
          </cell>
          <cell r="F51">
            <v>0</v>
          </cell>
          <cell r="G51">
            <v>0</v>
          </cell>
          <cell r="H51">
            <v>106315.024</v>
          </cell>
          <cell r="I51">
            <v>0</v>
          </cell>
          <cell r="J51">
            <v>8978.0669999999991</v>
          </cell>
          <cell r="K51">
            <v>0</v>
          </cell>
          <cell r="L51">
            <v>115293.091</v>
          </cell>
          <cell r="N51">
            <v>0</v>
          </cell>
          <cell r="P51">
            <v>115293.091</v>
          </cell>
        </row>
        <row r="52">
          <cell r="E52">
            <v>0</v>
          </cell>
          <cell r="F52">
            <v>0</v>
          </cell>
          <cell r="G52">
            <v>0</v>
          </cell>
          <cell r="H52">
            <v>0</v>
          </cell>
          <cell r="I52">
            <v>0</v>
          </cell>
          <cell r="J52">
            <v>0</v>
          </cell>
          <cell r="K52">
            <v>0</v>
          </cell>
          <cell r="L52">
            <v>0</v>
          </cell>
          <cell r="M52">
            <v>0</v>
          </cell>
          <cell r="N52">
            <v>0</v>
          </cell>
          <cell r="O52">
            <v>0</v>
          </cell>
          <cell r="P52">
            <v>0</v>
          </cell>
          <cell r="Q52">
            <v>0</v>
          </cell>
        </row>
        <row r="53">
          <cell r="E53">
            <v>0</v>
          </cell>
          <cell r="F53">
            <v>0</v>
          </cell>
          <cell r="G53">
            <v>0</v>
          </cell>
          <cell r="H53">
            <v>0</v>
          </cell>
          <cell r="I53">
            <v>0</v>
          </cell>
          <cell r="J53">
            <v>0</v>
          </cell>
          <cell r="K53">
            <v>0</v>
          </cell>
          <cell r="L53">
            <v>0</v>
          </cell>
          <cell r="N53">
            <v>0</v>
          </cell>
          <cell r="P53">
            <v>0</v>
          </cell>
        </row>
        <row r="54">
          <cell r="E54">
            <v>790465.74399999995</v>
          </cell>
          <cell r="F54">
            <v>8748585.9389999993</v>
          </cell>
          <cell r="G54">
            <v>2000</v>
          </cell>
          <cell r="H54">
            <v>20640516.104000002</v>
          </cell>
          <cell r="I54">
            <v>40790004.017999992</v>
          </cell>
          <cell r="J54">
            <v>0</v>
          </cell>
          <cell r="K54">
            <v>9841521.0870000012</v>
          </cell>
          <cell r="L54">
            <v>80022627.148000002</v>
          </cell>
          <cell r="M54">
            <v>116579019.553</v>
          </cell>
          <cell r="N54">
            <v>2729364.45</v>
          </cell>
          <cell r="O54">
            <v>2729364.45</v>
          </cell>
          <cell r="P54">
            <v>82751991.59799999</v>
          </cell>
          <cell r="Q54">
            <v>119308384.00299999</v>
          </cell>
        </row>
        <row r="55">
          <cell r="E55">
            <v>0</v>
          </cell>
          <cell r="F55">
            <v>0</v>
          </cell>
          <cell r="G55">
            <v>0</v>
          </cell>
          <cell r="H55">
            <v>220869.986</v>
          </cell>
          <cell r="I55">
            <v>36098869</v>
          </cell>
          <cell r="J55">
            <v>236653.41900000002</v>
          </cell>
          <cell r="K55">
            <v>0</v>
          </cell>
          <cell r="L55">
            <v>36556392.404999994</v>
          </cell>
          <cell r="N55">
            <v>0</v>
          </cell>
          <cell r="P55">
            <v>36556392.404999994</v>
          </cell>
        </row>
        <row r="56">
          <cell r="E56">
            <v>3612650.436307692</v>
          </cell>
          <cell r="F56">
            <v>46029253.938999996</v>
          </cell>
          <cell r="G56">
            <v>54529415</v>
          </cell>
          <cell r="H56">
            <v>30029870.104000002</v>
          </cell>
          <cell r="I56">
            <v>280796665.01800001</v>
          </cell>
          <cell r="J56">
            <v>0</v>
          </cell>
          <cell r="K56">
            <v>27007380.087000001</v>
          </cell>
          <cell r="L56">
            <v>438392584.148</v>
          </cell>
          <cell r="M56">
            <v>481773443.55299997</v>
          </cell>
          <cell r="N56">
            <v>90757235.450000003</v>
          </cell>
          <cell r="O56">
            <v>100484509.45</v>
          </cell>
          <cell r="P56">
            <v>529149819.59799999</v>
          </cell>
          <cell r="Q56">
            <v>582257953.00300002</v>
          </cell>
        </row>
        <row r="57">
          <cell r="E57">
            <v>0</v>
          </cell>
          <cell r="F57">
            <v>0</v>
          </cell>
          <cell r="G57">
            <v>5743124</v>
          </cell>
          <cell r="H57">
            <v>996553.98600000003</v>
          </cell>
          <cell r="I57">
            <v>36098869</v>
          </cell>
          <cell r="J57">
            <v>458362.41899999999</v>
          </cell>
          <cell r="K57">
            <v>83950</v>
          </cell>
          <cell r="L57">
            <v>43380859.405000001</v>
          </cell>
          <cell r="N57">
            <v>9727274</v>
          </cell>
          <cell r="P57">
            <v>53108133.404999994</v>
          </cell>
        </row>
        <row r="58">
          <cell r="F58">
            <v>0</v>
          </cell>
          <cell r="G58">
            <v>0</v>
          </cell>
          <cell r="H58">
            <v>0</v>
          </cell>
          <cell r="I58">
            <v>29048556.958270449</v>
          </cell>
          <cell r="J58">
            <v>0</v>
          </cell>
          <cell r="K58">
            <v>0</v>
          </cell>
          <cell r="L58">
            <v>29048556.958270449</v>
          </cell>
          <cell r="M58">
            <v>32276174.398078278</v>
          </cell>
          <cell r="N58">
            <v>0</v>
          </cell>
          <cell r="O58">
            <v>0</v>
          </cell>
          <cell r="P58">
            <v>29048556.958270449</v>
          </cell>
          <cell r="Q58">
            <v>32276174.398078278</v>
          </cell>
        </row>
        <row r="59">
          <cell r="F59">
            <v>0</v>
          </cell>
          <cell r="G59">
            <v>0</v>
          </cell>
          <cell r="H59">
            <v>0</v>
          </cell>
          <cell r="I59">
            <v>3227617.4398078281</v>
          </cell>
          <cell r="J59">
            <v>0</v>
          </cell>
          <cell r="K59">
            <v>0</v>
          </cell>
          <cell r="L59">
            <v>3227617.4398078281</v>
          </cell>
          <cell r="N59">
            <v>0</v>
          </cell>
          <cell r="P59">
            <v>3227617.4398078281</v>
          </cell>
        </row>
        <row r="60">
          <cell r="F60">
            <v>0</v>
          </cell>
          <cell r="G60">
            <v>0</v>
          </cell>
          <cell r="H60">
            <v>0</v>
          </cell>
          <cell r="I60">
            <v>14400000</v>
          </cell>
          <cell r="J60">
            <v>0</v>
          </cell>
          <cell r="K60">
            <v>0</v>
          </cell>
          <cell r="L60">
            <v>14400000</v>
          </cell>
          <cell r="M60">
            <v>16000000</v>
          </cell>
          <cell r="N60">
            <v>0</v>
          </cell>
          <cell r="O60">
            <v>0</v>
          </cell>
          <cell r="P60">
            <v>14400000</v>
          </cell>
          <cell r="Q60">
            <v>16000000</v>
          </cell>
        </row>
        <row r="61">
          <cell r="F61">
            <v>0</v>
          </cell>
          <cell r="G61">
            <v>0</v>
          </cell>
          <cell r="H61">
            <v>0</v>
          </cell>
          <cell r="I61">
            <v>1600000</v>
          </cell>
          <cell r="J61">
            <v>0</v>
          </cell>
          <cell r="K61">
            <v>0</v>
          </cell>
          <cell r="L61">
            <v>1600000</v>
          </cell>
          <cell r="N61">
            <v>0</v>
          </cell>
          <cell r="P61">
            <v>1600000</v>
          </cell>
        </row>
        <row r="62">
          <cell r="E62">
            <v>3612650.436307692</v>
          </cell>
          <cell r="F62">
            <v>46029253.938999996</v>
          </cell>
          <cell r="G62">
            <v>54529415</v>
          </cell>
          <cell r="H62">
            <v>30029870.104000002</v>
          </cell>
          <cell r="I62">
            <v>324245221.97627044</v>
          </cell>
          <cell r="J62">
            <v>0</v>
          </cell>
          <cell r="K62">
            <v>27007380.087000001</v>
          </cell>
          <cell r="L62">
            <v>481841141.10627043</v>
          </cell>
          <cell r="M62">
            <v>530049617.95107824</v>
          </cell>
          <cell r="N62">
            <v>90757235.450000003</v>
          </cell>
          <cell r="O62">
            <v>100484509.45</v>
          </cell>
          <cell r="P62">
            <v>572598376.55627048</v>
          </cell>
          <cell r="Q62">
            <v>630534127.40107834</v>
          </cell>
        </row>
        <row r="63">
          <cell r="E63">
            <v>0</v>
          </cell>
          <cell r="F63">
            <v>0</v>
          </cell>
          <cell r="G63">
            <v>5743124</v>
          </cell>
          <cell r="H63">
            <v>996553.98600000003</v>
          </cell>
          <cell r="I63">
            <v>40926486.439807825</v>
          </cell>
          <cell r="J63">
            <v>458362.41899999999</v>
          </cell>
          <cell r="K63">
            <v>83950</v>
          </cell>
          <cell r="L63">
            <v>48208476.844807826</v>
          </cell>
          <cell r="N63">
            <v>9727274</v>
          </cell>
          <cell r="P63">
            <v>57935750.844807819</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endar"/>
    </sheetNames>
    <sheetDataSet>
      <sheetData sheetId="0"/>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vil"/>
      <sheetName val="BM"/>
      <sheetName val="Equipment"/>
      <sheetName val="Staff"/>
      <sheetName val="Crew"/>
      <sheetName val="Schedule"/>
      <sheetName val="Freight"/>
      <sheetName val="Testing"/>
      <sheetName val="Miscchrg"/>
      <sheetName val="Cost Sum"/>
      <sheetName val="General Notes"/>
      <sheetName val="Alterations"/>
      <sheetName val="Pumps"/>
      <sheetName val="EF _ AC"/>
      <sheetName val="INDIRECT COST-PART l"/>
      <sheetName val="Summary"/>
      <sheetName val="Interpulation"/>
      <sheetName val="AGBQ_030124"/>
      <sheetName val="Total Summary"/>
      <sheetName val="BQ(Others_Piping)"/>
      <sheetName val="Deluge System"/>
      <sheetName val="Large Bore Star Rate"/>
      <sheetName val="Small Bore Star Rate"/>
      <sheetName val="Summary 1FA 1GA"/>
      <sheetName val="TOTAL SUMMARY (2)"/>
      <sheetName val="Engg 4"/>
      <sheetName val="Engg 3"/>
      <sheetName val="Engg 2"/>
      <sheetName val="Engg 1"/>
      <sheetName val="Equip Install"/>
      <sheetName val="Sheet1"/>
      <sheetName val="DS Detl"/>
      <sheetName val="DS Breakdown"/>
      <sheetName val="Furnace Tube Welding"/>
      <sheetName val="Furnace Installation"/>
      <sheetName val="Breakdown"/>
      <sheetName val="OCT.FDN"/>
      <sheetName val="PM1005-R0"/>
      <sheetName val="BS final"/>
      <sheetName val="MP MOB"/>
      <sheetName val="도급양식"/>
      <sheetName val="FurnacÿÿInstallation"/>
      <sheetName val="CASHFLOW"/>
      <sheetName val="材料マスタ"/>
      <sheetName val="SE-611"/>
      <sheetName val="estimate"/>
      <sheetName val="Insulation_Utl_Off"/>
      <sheetName val="Note_Piping"/>
      <sheetName val="내역"/>
      <sheetName val="SECT-LIST"/>
      <sheetName val="Data"/>
      <sheetName val="CAT_5"/>
      <sheetName val="Y-WORK"/>
      <sheetName val="4"/>
      <sheetName val="Equipments"/>
      <sheetName val="Main"/>
      <sheetName val="eq_data"/>
      <sheetName val="Sheet4"/>
      <sheetName val="Boiler Norms"/>
      <sheetName val="#REF"/>
      <sheetName val="공사비 내역 (가)"/>
      <sheetName val="cable"/>
      <sheetName val="1"/>
      <sheetName val="Code 02"/>
      <sheetName val="Code 03"/>
      <sheetName val="Code 04"/>
      <sheetName val="Code 05"/>
      <sheetName val="Code 06"/>
      <sheetName val="Code 07"/>
      <sheetName val="Code 09"/>
      <sheetName val="steel-gr"/>
      <sheetName val="Consolidated"/>
      <sheetName val="ATM-WSWDS"/>
      <sheetName val="242-3 summaryOPC"/>
      <sheetName val="Elec.Codes"/>
      <sheetName val="COVER"/>
      <sheetName val="ITB COST"/>
      <sheetName val="HRSG PRINT"/>
      <sheetName val="Code03"/>
      <sheetName val="5-Digit"/>
      <sheetName val="MixBed"/>
      <sheetName val="CondPol"/>
      <sheetName val="Inputs"/>
      <sheetName val="BD"/>
      <sheetName val="당초"/>
      <sheetName val="Cost_Sum"/>
      <sheetName val="General_Notes"/>
      <sheetName val="EF___AC"/>
      <sheetName val="Total_Summary"/>
      <sheetName val="Deluge_System"/>
      <sheetName val="Large_Bore_Star_Rate"/>
      <sheetName val="Small_Bore_Star_Rate"/>
      <sheetName val="Summary_1FA_1GA"/>
      <sheetName val="TOTAL_SUMMARY_(2)"/>
      <sheetName val="Engg_4"/>
      <sheetName val="Engg_3"/>
      <sheetName val="Engg_2"/>
      <sheetName val="Engg_1"/>
      <sheetName val="Equip_Install"/>
      <sheetName val="DS_Detl"/>
      <sheetName val="DS_Breakdown"/>
      <sheetName val="Furnace_Tube_Welding"/>
      <sheetName val="Furnace_Installation"/>
      <sheetName val="INDIRECT_COST-PART_l"/>
      <sheetName val="Boiler_Norms"/>
      <sheetName val="OCT_FDN"/>
      <sheetName val="inter"/>
      <sheetName val="GP BOX"/>
      <sheetName val="look-up"/>
      <sheetName val="HRSG - Summary"/>
      <sheetName val="Area Lookup"/>
      <sheetName val="Lookup"/>
      <sheetName val="TOEC"/>
      <sheetName val="D-3503"/>
      <sheetName val="FIELD"/>
      <sheetName val="SYSTEM 945 Air&amp;Nitrogen"/>
      <sheetName val="Properties"/>
      <sheetName val="Stability Check"/>
      <sheetName val="Plant Areas"/>
      <sheetName val="Item Codes"/>
      <sheetName val="PipWT"/>
      <sheetName val="Emp_Data"/>
      <sheetName val="HEATER"/>
      <sheetName val="Instructions"/>
      <sheetName val="DI-ESTI"/>
      <sheetName val="Break Down"/>
      <sheetName val="환율"/>
      <sheetName val="Motor"/>
      <sheetName val="Motor_Data"/>
      <sheetName val="Data - Codes"/>
      <sheetName val="allowances"/>
      <sheetName val="Schedule S-Curve Revision#3"/>
      <sheetName val="L(2)"/>
      <sheetName val="LIBRARY"/>
      <sheetName val="Factor"/>
      <sheetName val="환산표"/>
      <sheetName val="4300 UTILITY BLDG (2)"/>
      <sheetName val="Final Summary"/>
      <sheetName val="Generic Type 1-2"/>
      <sheetName val="Sch.6"/>
      <sheetName val="ewrks-deriv"/>
      <sheetName val="Main Works"/>
      <sheetName val="Process Piping"/>
      <sheetName val=" Summary"/>
      <sheetName val="GVL"/>
      <sheetName val="3.현장배치"/>
      <sheetName val="현장배치"/>
      <sheetName val="예산"/>
      <sheetName val="wage Cal"/>
      <sheetName val="2002년12월"/>
      <sheetName val="plan&amp;section of foundation"/>
      <sheetName val="Q827"/>
      <sheetName val="운송비 및 보험료(991221)"/>
      <sheetName val="BOQ-Bill1-8"/>
      <sheetName val="차액보증"/>
      <sheetName val="co-no.2"/>
      <sheetName val="BOQ"/>
      <sheetName val="OTROS MO"/>
      <sheetName val="BILLING SUMMARY"/>
      <sheetName val="Installation"/>
      <sheetName val="WORKSHEET"/>
      <sheetName val="quitangquil"/>
      <sheetName val="노임단가"/>
      <sheetName val="A"/>
      <sheetName val="ring wall thickness"/>
      <sheetName val="ABUT수량-A1"/>
      <sheetName val="설계조건"/>
      <sheetName val="안정계산"/>
      <sheetName val="단면검토"/>
      <sheetName val="Proposal"/>
      <sheetName val="Norms"/>
      <sheetName val="Cost_Sum1"/>
      <sheetName val="General_Notes1"/>
      <sheetName val="EF___AC1"/>
      <sheetName val="Total_Summary1"/>
      <sheetName val="Deluge_System1"/>
      <sheetName val="Large_Bore_Star_Rate1"/>
      <sheetName val="Small_Bore_Star_Rate1"/>
      <sheetName val="Summary_1FA_1GA1"/>
      <sheetName val="TOTAL_SUMMARY_(2)1"/>
      <sheetName val="Engg_41"/>
      <sheetName val="Engg_31"/>
      <sheetName val="Engg_21"/>
      <sheetName val="Engg_11"/>
      <sheetName val="Equip_Install1"/>
      <sheetName val="DS_Detl1"/>
      <sheetName val="DS_Breakdown1"/>
      <sheetName val="Furnace_Tube_Welding1"/>
      <sheetName val="Furnace_Installation1"/>
      <sheetName val="INDIRECT_COST-PART_l1"/>
      <sheetName val="Code_02"/>
      <sheetName val="Code_03"/>
      <sheetName val="Code_04"/>
      <sheetName val="Code_05"/>
      <sheetName val="Code_06"/>
      <sheetName val="Code_07"/>
      <sheetName val="Code_09"/>
      <sheetName val="OCT_FDN1"/>
      <sheetName val="BS_final"/>
      <sheetName val="MP_MOB"/>
      <sheetName val="Boiler_Norms1"/>
      <sheetName val="공사비_내역_(가)"/>
      <sheetName val="ITB_COST"/>
      <sheetName val="242-3_summaryOPC"/>
      <sheetName val="Elec_Codes"/>
      <sheetName val="GP_BOX"/>
      <sheetName val="HRSG_-_Summary"/>
      <sheetName val="Area_Lookup"/>
      <sheetName val="HRSG_PRINT"/>
      <sheetName val="SYSTEM_945_Air&amp;Nitrogen"/>
      <sheetName val="Stability_Check"/>
      <sheetName val="Plant_Areas"/>
      <sheetName val="Item_Codes"/>
      <sheetName val="Break_Down"/>
      <sheetName val="Data_-_Codes"/>
      <sheetName val="Schedule_S-Curve_Revision#3"/>
      <sheetName val="4300_UTILITY_BLDG_(2)"/>
      <sheetName val="Final_Summary"/>
      <sheetName val="Generic_Type_1-2"/>
      <sheetName val="Sch_6"/>
      <sheetName val="Main_Works"/>
      <sheetName val="Process_Piping"/>
      <sheetName val="_Summary"/>
      <sheetName val="3_현장배치"/>
      <sheetName val="co-no_2"/>
      <sheetName val="wage_Cal"/>
      <sheetName val="plan&amp;section_of_foundation"/>
      <sheetName val="운송비_및_보험료(991221)"/>
      <sheetName val="가격분석@1100(990104)"/>
      <sheetName val="Escalation"/>
      <sheetName val="PROCURE"/>
      <sheetName val="電源計画"/>
      <sheetName val="Customer Databas"/>
      <sheetName val="정부노임단가"/>
      <sheetName val="Cost Per Unit"/>
      <sheetName val="Cost"/>
      <sheetName val="MMCR"/>
      <sheetName val="Lumpsum"/>
      <sheetName val="MRO"/>
      <sheetName val="Billing Curve"/>
      <sheetName val="PCS"/>
      <sheetName val="MH RATE"/>
      <sheetName val="BQ_Utl_Off"/>
      <sheetName val="合成単価作成表-BLDG"/>
      <sheetName val="calc"/>
      <sheetName val="PRICE-COMP"/>
      <sheetName val="기계내역서"/>
      <sheetName val="Piping Data"/>
      <sheetName val="Piping Tables"/>
      <sheetName val="TopSheet"/>
      <sheetName val="Cost_Sum2"/>
      <sheetName val="General_Notes2"/>
      <sheetName val="EF___AC2"/>
      <sheetName val="Total_Summary2"/>
      <sheetName val="Deluge_System2"/>
      <sheetName val="Large_Bore_Star_Rate2"/>
      <sheetName val="Small_Bore_Star_Rate2"/>
      <sheetName val="Summary_1FA_1GA2"/>
      <sheetName val="TOTAL_SUMMARY_(2)2"/>
      <sheetName val="Engg_42"/>
      <sheetName val="Engg_32"/>
      <sheetName val="Engg_22"/>
      <sheetName val="Engg_12"/>
      <sheetName val="Equip_Install2"/>
      <sheetName val="DS_Detl2"/>
      <sheetName val="DS_Breakdown2"/>
      <sheetName val="Furnace_Tube_Welding2"/>
      <sheetName val="Furnace_Installation2"/>
      <sheetName val="242-3_summaryOPC1"/>
      <sheetName val="Elec_Codes1"/>
      <sheetName val="SYSTEM_945_Air&amp;Nitrogen1"/>
      <sheetName val="Code_021"/>
      <sheetName val="Code_031"/>
      <sheetName val="Code_041"/>
      <sheetName val="Code_051"/>
      <sheetName val="Code_061"/>
      <sheetName val="Code_071"/>
      <sheetName val="Code_091"/>
      <sheetName val="Stability_Check1"/>
      <sheetName val="Plant_Areas1"/>
      <sheetName val="Item_Codes1"/>
      <sheetName val="BS_final1"/>
      <sheetName val="MP_MOB1"/>
      <sheetName val="HRSG_PRINT1"/>
      <sheetName val="Sch_61"/>
      <sheetName val="Final_Summary1"/>
      <sheetName val="Generic_Type_1-21"/>
      <sheetName val="Break_Down1"/>
      <sheetName val="Data_-_Codes1"/>
      <sheetName val="Schedule_S-Curve_Revision#31"/>
      <sheetName val="4300_UTILITY_BLDG_(2)1"/>
      <sheetName val="Main_Works1"/>
      <sheetName val="MATL"/>
      <sheetName val="sum"/>
      <sheetName val="Furnac��Installation"/>
      <sheetName val="INPUT DATA HERE"/>
      <sheetName val="물량산출근거"/>
      <sheetName val="Pl.OP-others"/>
      <sheetName val="2 of 2"/>
      <sheetName val="96수출"/>
      <sheetName val="Du_lieu"/>
      <sheetName val="明細"/>
      <sheetName val="HORI. VESSEL"/>
      <sheetName val="2.설계제원"/>
      <sheetName val="RAFIDIYA-Main"/>
      <sheetName val="Races"/>
      <sheetName val="Cost_Sum3"/>
      <sheetName val="General_Notes3"/>
      <sheetName val="EF___AC3"/>
      <sheetName val="INDIRECT_COST-PART_l2"/>
      <sheetName val="Total_Summary3"/>
      <sheetName val="Deluge_System3"/>
      <sheetName val="Large_Bore_Star_Rate3"/>
      <sheetName val="Small_Bore_Star_Rate3"/>
      <sheetName val="Summary_1FA_1GA3"/>
      <sheetName val="TOTAL_SUMMARY_(2)3"/>
      <sheetName val="Engg_43"/>
      <sheetName val="Engg_33"/>
      <sheetName val="Engg_23"/>
      <sheetName val="Engg_13"/>
      <sheetName val="Equip_Install3"/>
      <sheetName val="DS_Detl3"/>
      <sheetName val="DS_Breakdown3"/>
      <sheetName val="Furnace_Tube_Welding3"/>
      <sheetName val="Furnace_Installation3"/>
      <sheetName val="OCT_FDN2"/>
      <sheetName val="BS_final2"/>
      <sheetName val="MP_MOB2"/>
      <sheetName val="HRSG_PRINT2"/>
      <sheetName val="Code_022"/>
      <sheetName val="Code_032"/>
      <sheetName val="Code_042"/>
      <sheetName val="Code_052"/>
      <sheetName val="Code_062"/>
      <sheetName val="Code_072"/>
      <sheetName val="Code_092"/>
      <sheetName val="4300_UTILITY_BLDG_(2)2"/>
      <sheetName val="242-3_summaryOPC2"/>
      <sheetName val="Elec_Codes2"/>
      <sheetName val="Boiler_Norms2"/>
      <sheetName val="Break_Down2"/>
      <sheetName val="Data_-_Codes2"/>
      <sheetName val="Schedule_S-Curve_Revision#32"/>
      <sheetName val="Final_Summary2"/>
      <sheetName val="Generic_Type_1-22"/>
      <sheetName val="SYSTEM_945_Air&amp;Nitrogen2"/>
      <sheetName val="Stability_Check2"/>
      <sheetName val="Plant_Areas2"/>
      <sheetName val="Item_Codes2"/>
      <sheetName val="Sch_62"/>
      <sheetName val="Main_Works2"/>
      <sheetName val="공사비_내역_(가)1"/>
      <sheetName val="ITB_COST1"/>
      <sheetName val="Process_Piping1"/>
      <sheetName val="_Summary1"/>
      <sheetName val="3_현장배치1"/>
      <sheetName val="ring_wall_thickness"/>
      <sheetName val="OTROS_MO"/>
      <sheetName val="BILLING_SUMMARY"/>
      <sheetName val="MH_RATE"/>
      <sheetName val="Cost_Per_Unit"/>
      <sheetName val="Billing_Curve"/>
      <sheetName val="INPUT_DATA_HERE"/>
      <sheetName val="Pl_OP-others"/>
      <sheetName val="Cost_Sum4"/>
      <sheetName val="General_Notes4"/>
      <sheetName val="EF___AC4"/>
      <sheetName val="INDIRECT_COST-PART_l3"/>
      <sheetName val="Total_Summary4"/>
      <sheetName val="Deluge_System4"/>
      <sheetName val="Large_Bore_Star_Rate4"/>
      <sheetName val="Small_Bore_Star_Rate4"/>
      <sheetName val="Summary_1FA_1GA4"/>
      <sheetName val="TOTAL_SUMMARY_(2)4"/>
      <sheetName val="Engg_44"/>
      <sheetName val="Engg_34"/>
      <sheetName val="Engg_24"/>
      <sheetName val="Engg_14"/>
      <sheetName val="Equip_Install4"/>
      <sheetName val="DS_Detl4"/>
      <sheetName val="DS_Breakdown4"/>
      <sheetName val="Furnace_Tube_Welding4"/>
      <sheetName val="Furnace_Installation4"/>
      <sheetName val="OCT_FDN3"/>
      <sheetName val="BS_final3"/>
      <sheetName val="MP_MOB3"/>
      <sheetName val="HRSG_PRINT3"/>
      <sheetName val="Code_023"/>
      <sheetName val="Code_033"/>
      <sheetName val="Code_043"/>
      <sheetName val="Code_053"/>
      <sheetName val="Code_063"/>
      <sheetName val="Code_073"/>
      <sheetName val="Code_093"/>
      <sheetName val="4300_UTILITY_BLDG_(2)3"/>
      <sheetName val="242-3_summaryOPC3"/>
      <sheetName val="Elec_Codes3"/>
      <sheetName val="Boiler_Norms3"/>
      <sheetName val="Break_Down3"/>
      <sheetName val="Data_-_Codes3"/>
      <sheetName val="Schedule_S-Curve_Revision#33"/>
      <sheetName val="Final_Summary3"/>
      <sheetName val="Generic_Type_1-23"/>
      <sheetName val="SYSTEM_945_Air&amp;Nitrogen3"/>
      <sheetName val="Stability_Check3"/>
      <sheetName val="Plant_Areas3"/>
      <sheetName val="Item_Codes3"/>
      <sheetName val="Sch_63"/>
      <sheetName val="Main_Works3"/>
      <sheetName val="공사비_내역_(가)2"/>
      <sheetName val="ITB_COST2"/>
      <sheetName val="Process_Piping2"/>
      <sheetName val="_Summary2"/>
      <sheetName val="3_현장배치2"/>
      <sheetName val="co-no_21"/>
      <sheetName val="ring_wall_thickness1"/>
      <sheetName val="OTROS_MO1"/>
      <sheetName val="BILLING_SUMMARY1"/>
      <sheetName val="wage_Cal1"/>
      <sheetName val="운송비_및_보험료(991221)1"/>
      <sheetName val="plan&amp;section_of_foundation1"/>
      <sheetName val="MH_RATE1"/>
      <sheetName val="Cost_Per_Unit1"/>
      <sheetName val="Billing_Curve1"/>
      <sheetName val="GP_BOX1"/>
      <sheetName val="HRSG_-_Summary1"/>
      <sheetName val="Area_Lookup1"/>
      <sheetName val="INPUT_DATA_HERE1"/>
      <sheetName val="Pl_OP-others1"/>
      <sheetName val="Transport"/>
      <sheetName val="SteelDatabase"/>
      <sheetName val="Resources"/>
      <sheetName val="Conn"/>
      <sheetName val="Cash Flow"/>
      <sheetName val="Plate Welding Table"/>
      <sheetName val="Inst."/>
      <sheetName val="영업소실적"/>
      <sheetName val="roject\Budget Files\Final\CIVIL"/>
      <sheetName val="\_x0000__x0000_à_x0000_C:\Documents and Settings\"/>
      <sheetName val="External Backlog"/>
      <sheetName val="Parameter"/>
      <sheetName val="BQ"/>
      <sheetName val="table"/>
      <sheetName val="UR"/>
      <sheetName val="RAB"/>
      <sheetName val="FORM 3A"/>
      <sheetName val="Analisa 2"/>
      <sheetName val="Equipment_Database"/>
      <sheetName val="Cost Calc"/>
      <sheetName val="BLDG4"/>
      <sheetName val="EAST TOWER"/>
      <sheetName val="BOW"/>
      <sheetName val="analysis"/>
      <sheetName val="Reinforcements"/>
      <sheetName val="Parameters"/>
      <sheetName val="Sheet3"/>
      <sheetName val="5_Digit"/>
      <sheetName val="Instrument"/>
      <sheetName val="HSEQP"/>
      <sheetName val="HSPIPING"/>
      <sheetName val="EQCOST"/>
      <sheetName val="IBC(2006)DATA"/>
      <sheetName val="RMHS"/>
      <sheetName val="[Civil.xls][Civil.xls][Civil.xl"/>
      <sheetName val="[Civil.xls][Civil.xls]roject\Bu"/>
      <sheetName val="[Civil.xls][Civil.xls]\_x0000__x0000_à_x0000_C:\D"/>
      <sheetName val="[Civil.xls]roject\Budget Files\"/>
      <sheetName val="[Civil.xls]\_x0000__x0000_à_x0000_C:\Documents an"/>
      <sheetName val="Rate Analysis"/>
      <sheetName val="KP1590_E"/>
      <sheetName val="Code"/>
      <sheetName val="HOOK UP ITEM"/>
      <sheetName val="PMS"/>
      <sheetName val="PAGE NO"/>
      <sheetName val="PART with CODE"/>
      <sheetName val="재료비"/>
      <sheetName val="INS-Equipment"/>
      <sheetName val="INS-Piping"/>
      <sheetName val="간접비(1)"/>
      <sheetName val="DEC"/>
      <sheetName val="Trades"/>
      <sheetName val="SCH5"/>
      <sheetName val="Construction"/>
      <sheetName val="Timesheet"/>
      <sheetName val="Pipe"/>
      <sheetName val="Adimi bldg"/>
      <sheetName val="Pump House"/>
      <sheetName val="Fuel Regu Station"/>
      <sheetName val="insulation"/>
      <sheetName val="LLEGADA"/>
      <sheetName val="DESBAST"/>
      <sheetName val="Summary Sheets"/>
      <sheetName val="tabulation (comparison)"/>
      <sheetName val="B1P2 Cover"/>
      <sheetName val="Book 1 Summary"/>
      <sheetName val="Preliminaries"/>
      <sheetName val="Design"/>
      <sheetName val="Warranties Rate Only"/>
      <sheetName val="masonry works"/>
      <sheetName val="Bin"/>
      <sheetName val="PCSum"/>
      <sheetName val="PH 5"/>
      <sheetName val="CostSked"/>
      <sheetName val="Financing Schemes"/>
      <sheetName val="_Model A costs"/>
      <sheetName val="Model B costs"/>
      <sheetName val="Model C costs"/>
      <sheetName val="Main Bldg."/>
      <sheetName val="細目"/>
      <sheetName val="PL Plumbing"/>
      <sheetName val="DD EST."/>
      <sheetName val="Division 3000"/>
      <sheetName val="STAFFSCHED "/>
      <sheetName val="Consumables"/>
      <sheetName val="Benchmark"/>
      <sheetName val="GAE8'97"/>
      <sheetName val="Analysis Rate"/>
      <sheetName val="Factors-overall"/>
      <sheetName val="ASME B 36.10 M"/>
      <sheetName val="Import"/>
      <sheetName val="imalat_icmal"/>
      <sheetName val="INSTRUMENTATION"/>
      <sheetName val="mal_onay"/>
      <sheetName val="equip"/>
      <sheetName val="Do not delete"/>
      <sheetName val="Drop Down list"/>
      <sheetName val="working load at the btm ft."/>
      <sheetName val="design load"/>
      <sheetName val="coastal"/>
      <sheetName val="견적"/>
      <sheetName val="Vehicles"/>
      <sheetName val="D"/>
      <sheetName val="D.I"/>
      <sheetName val="C1"/>
      <sheetName val="CA"/>
      <sheetName val="3MLKQ"/>
      <sheetName val="T08-2102"/>
      <sheetName val="Tbl 1y 4"/>
      <sheetName val="Graph (LGEN)"/>
      <sheetName val="out_prog"/>
      <sheetName val="선적schedule (2)"/>
      <sheetName val="H2O (air, acid gas)"/>
      <sheetName val="Customer_Databas"/>
      <sheetName val="Piping_Data"/>
      <sheetName val="Piping_Tables"/>
      <sheetName val="FACTORS 1"/>
      <sheetName val="Breakdown Instrument"/>
      <sheetName val="Haulling"/>
      <sheetName val="GPP2(3 of 3)"/>
      <sheetName val="GPP2(2 of 3)"/>
      <sheetName val="Indeks"/>
      <sheetName val="[Civil.xls]roject_Budget_File_2"/>
      <sheetName val="[Civil.xls]_____C__Documents__2"/>
      <sheetName val="[Civil.xls][Civil.xls]_Civil__2"/>
      <sheetName val="[Civil.xls][Civil.xls]_Civil__3"/>
      <sheetName val="[Civil.xls][Civil.xls]roject__2"/>
      <sheetName val="[Civil.xls][Civil.xls]_____C__2"/>
      <sheetName val="Core calculations"/>
      <sheetName val="203 Eqpt r1"/>
      <sheetName val="3BL공동구 수량"/>
      <sheetName val="UCD"/>
      <sheetName val="LABOR"/>
      <sheetName val="PROD.RATE"/>
      <sheetName val="MATERIAL"/>
      <sheetName val="pump flr"/>
      <sheetName val="notes"/>
      <sheetName val="SUBCON"/>
      <sheetName val="2.678M"/>
      <sheetName val="firepro - bpo"/>
      <sheetName val="LIST"/>
      <sheetName val="Summary WG"/>
      <sheetName val="Concrete"/>
      <sheetName val="Background"/>
      <sheetName val="BOQ "/>
      <sheetName val="RSB_RATIO"/>
      <sheetName val="GEN REQ"/>
      <sheetName val="SD and START UP"/>
      <sheetName val="BR -CHINA BANK 2"/>
      <sheetName val="Hac.Lots"/>
      <sheetName val="Res.Lots"/>
      <sheetName val="Sheet7"/>
      <sheetName val="SCV P1A - Shared Cost"/>
      <sheetName val="External_Backlog"/>
      <sheetName val="Cost_Calc"/>
      <sheetName val="EAST_TOWER"/>
      <sheetName val="2_of_2"/>
      <sheetName val="Adimi_bldg"/>
      <sheetName val="Pump_House"/>
      <sheetName val="Fuel_Regu_Station"/>
      <sheetName val="Financing_Schemes"/>
      <sheetName val="_Model_A_costs"/>
      <sheetName val="Model_B_costs"/>
      <sheetName val="Model_C_costs"/>
      <sheetName val="Main_Bldg_"/>
      <sheetName val="masonry_works"/>
      <sheetName val="PH_5"/>
      <sheetName val="CFA"/>
      <sheetName val="FINISHES"/>
      <sheetName val="L(1)"/>
      <sheetName val="L(3)"/>
      <sheetName val="L(4)"/>
      <sheetName val="BOQ-MAPLE(a)"/>
      <sheetName val="공사계획서"/>
      <sheetName val="품셈표"/>
      <sheetName val="PL_Plumbing"/>
      <sheetName val="DD_EST_"/>
      <sheetName val="Division_3000"/>
      <sheetName val="STAFFSCHED_"/>
      <sheetName val="B1P2_Cover"/>
      <sheetName val="Book_1_Summary"/>
      <sheetName val="Warranties_Rate_Only"/>
      <sheetName val="Bill of Qty MEP"/>
      <sheetName val="Elektrikal"/>
      <sheetName val="H-SATUAN"/>
      <sheetName val="PIPING"/>
      <sheetName val="Tabel Ohm LV"/>
      <sheetName val="BREAKDOWN(철거설치)"/>
      <sheetName val="BOM_00 (현지견적)"/>
      <sheetName val="CAL."/>
      <sheetName val="Masterfile "/>
      <sheetName val="Termination Manpower"/>
      <sheetName val="Setting"/>
      <sheetName val="YH-Attendance "/>
      <sheetName val="Summary-2"/>
      <sheetName val="January"/>
      <sheetName val="CALCULATION"/>
      <sheetName val="123"/>
      <sheetName val="EE-PROP"/>
      <sheetName val="Overall"/>
      <sheetName val="Scatter"/>
      <sheetName val="RXDATA"/>
      <sheetName val=" ratings"/>
      <sheetName val="[Civil.xls]roject_Budget_File_3"/>
      <sheetName val="[Civil.xls]_____C__Documents__3"/>
      <sheetName val="[Civil.xls][Civil.xls]_Civil__4"/>
      <sheetName val="[Civil.xls][Civil.xls]_Civil__5"/>
      <sheetName val="[Civil.xls][Civil.xls]roject__3"/>
      <sheetName val="[Civil.xls][Civil.xls]_____C__3"/>
      <sheetName val="[Civil.xls]roject_Budget_File_4"/>
      <sheetName val="[Civil.xls]_____C__Documents__4"/>
      <sheetName val="[Civil.xls][Civil.xls]_Civil__6"/>
      <sheetName val="[Civil.xls][Civil.xls]_Civil__7"/>
      <sheetName val="[Civil.xls][Civil.xls]roject__4"/>
      <sheetName val="[Civil.xls][Civil.xls]_____C__4"/>
      <sheetName val="간접비 총괄표"/>
      <sheetName val="Codes,..."/>
      <sheetName val="MTO"/>
      <sheetName val="INNER TANK"/>
      <sheetName val="IPE"/>
      <sheetName val="VOWD Basis"/>
      <sheetName val="B"/>
      <sheetName val="BID"/>
      <sheetName val="\"/>
      <sheetName val="단면치수"/>
      <sheetName val="選択肢"/>
      <sheetName val="Break"/>
      <sheetName val="roject_Budget Files_Final_CIVIL"/>
      <sheetName val="_"/>
      <sheetName val=" ｹ-ﾌﾞﾙ"/>
      <sheetName val="산근"/>
      <sheetName val="HVAC"/>
      <sheetName val="[Civil.xls][Civil.xls]\"/>
      <sheetName val="[Civil.xls]\"/>
      <sheetName val="Bill.3 -Piling"/>
      <sheetName val="Bill 8.FS-A"/>
      <sheetName val="건설중인자산(기타)"/>
      <sheetName val="ZEZSH2007"/>
      <sheetName val="WT-LIST"/>
      <sheetName val="方案1表二"/>
      <sheetName val="1800管道"/>
      <sheetName val="Statement"/>
      <sheetName val="DEZSH"/>
      <sheetName val="非标价格库"/>
      <sheetName val="Piping Design Data"/>
      <sheetName val="[Civil.xls]roject_Budget_File_5"/>
      <sheetName val="[Civil.xls]_____C__Documents__5"/>
      <sheetName val="[Civil.xls][Civil.xls]_Civil__8"/>
      <sheetName val="[Civil.xls][Civil.xls]_Civil__9"/>
      <sheetName val="[Civil.xls][Civil.xls]roject__5"/>
      <sheetName val="[Civil.xls][Civil.xls]_____C__5"/>
      <sheetName val="투입실적"/>
      <sheetName val="Cash2"/>
      <sheetName val="FORM X COST"/>
      <sheetName val="vlookup - do not print"/>
      <sheetName val="Concrete-UPA"/>
      <sheetName val=" Preliminaries"/>
      <sheetName val="TOWER 3&amp;4"/>
      <sheetName val="pwr"/>
      <sheetName val="Masterlist"/>
      <sheetName val="feeder"/>
      <sheetName val="ltg (3)"/>
      <sheetName val="para"/>
      <sheetName val="PA BGM"/>
      <sheetName val="CCTV"/>
      <sheetName val="CATV"/>
      <sheetName val="TEL"/>
      <sheetName val="_Civil.xls__Civil.xls__Civil.xl"/>
      <sheetName val="QTO"/>
      <sheetName val="Forecasts_VDF"/>
      <sheetName val="NSC"/>
      <sheetName val="CORRECTED"/>
      <sheetName val="SUMMARY (2)"/>
      <sheetName val="SUMDIV"/>
      <sheetName val="Bill 1"/>
      <sheetName val="Bill 2A"/>
      <sheetName val="Bill 2B"/>
      <sheetName val="Bill 2C"/>
      <sheetName val="Bill 2C.1"/>
      <sheetName val="Bill 2D"/>
      <sheetName val="Bill 2E"/>
      <sheetName val="Bill 2F"/>
      <sheetName val="SUNDRIES - 2A"/>
      <sheetName val="Base_Data"/>
      <sheetName val="王曲600MWBQ"/>
      <sheetName val="LOADS"/>
      <sheetName val="FINAL NEGO"/>
      <sheetName val="DISCUSSION"/>
      <sheetName val="SIGN-OFF"/>
      <sheetName val="Manpower costs + data"/>
      <sheetName val="FX"/>
      <sheetName val="DATABASE"/>
      <sheetName val="Labor Rate"/>
      <sheetName val="gencon_9_18"/>
      <sheetName val="Land Dev't. Ph-1"/>
      <sheetName val="subcon sched"/>
      <sheetName val="MechIndex"/>
      <sheetName val="SITE DEV,T"/>
      <sheetName val="FINANCIAL (FLR)"/>
      <sheetName val="Ind.MP Sch."/>
      <sheetName val="Material Price"/>
      <sheetName val="Navigation Page"/>
      <sheetName val="MU1"/>
      <sheetName val="03"/>
      <sheetName val="0200 Siteworks"/>
      <sheetName val="bar chart-rev"/>
      <sheetName val="Bill 3 -BPO1"/>
      <sheetName val="Bill 3 -BPO2"/>
      <sheetName val="Schedule S-Curve (new scheme)"/>
      <sheetName val="Bill 2 -RETAIL"/>
      <sheetName val="S-Curve"/>
      <sheetName val="UPG BEAM"/>
      <sheetName val="UPGB"/>
      <sheetName val="OPT1"/>
      <sheetName val="COST-EST LTI P5C"/>
      <sheetName val="f-pm-04-12-03B-LTI-PH5c"/>
      <sheetName val="SPI"/>
      <sheetName val="Config"/>
      <sheetName val="MIS"/>
      <sheetName val="Calendar"/>
      <sheetName val="Cost_Sum5"/>
      <sheetName val="General_Notes5"/>
      <sheetName val="EF___AC5"/>
      <sheetName val="Total_Summary5"/>
      <sheetName val="Deluge_System5"/>
      <sheetName val="Large_Bore_Star_Rate5"/>
      <sheetName val="Small_Bore_Star_Rate5"/>
      <sheetName val="Summary_1FA_1GA5"/>
      <sheetName val="TOTAL_SUMMARY_(2)5"/>
      <sheetName val="Engg_45"/>
      <sheetName val="Engg_35"/>
      <sheetName val="Engg_25"/>
      <sheetName val="Engg_15"/>
      <sheetName val="Equip_Install5"/>
      <sheetName val="DS_Detl5"/>
      <sheetName val="DS_Breakdown5"/>
      <sheetName val="Furnace_Tube_Welding5"/>
      <sheetName val="Furnace_Installation5"/>
      <sheetName val="INDIRECT_COST-PART_l4"/>
      <sheetName val="242-3_summaryOPC4"/>
      <sheetName val="Elec_Codes4"/>
      <sheetName val="Schedule_S-Curve_Revision#34"/>
      <sheetName val="Break_Down4"/>
      <sheetName val="Boiler_Norms4"/>
      <sheetName val="Data_-_Codes4"/>
      <sheetName val="BS_final4"/>
      <sheetName val="OCT_FDN4"/>
      <sheetName val="MP_MOB4"/>
      <sheetName val="HRSG_PRINT4"/>
      <sheetName val="Code_024"/>
      <sheetName val="Code_034"/>
      <sheetName val="Code_044"/>
      <sheetName val="Code_054"/>
      <sheetName val="Code_064"/>
      <sheetName val="Code_074"/>
      <sheetName val="Code_094"/>
      <sheetName val="Final_Summary4"/>
      <sheetName val="Generic_Type_1-24"/>
      <sheetName val="Main_Works4"/>
      <sheetName val="SYSTEM_945_Air&amp;Nitrogen4"/>
      <sheetName val="Stability_Check4"/>
      <sheetName val="Plant_Areas4"/>
      <sheetName val="Item_Codes4"/>
      <sheetName val="Sch_64"/>
      <sheetName val="4300_UTILITY_BLDG_(2)4"/>
      <sheetName val="OTROS_MO2"/>
      <sheetName val="BILLING_SUMMARY2"/>
      <sheetName val="_Summary3"/>
      <sheetName val="INPUT_DATA_HERE2"/>
      <sheetName val="공사비_내역_(가)3"/>
      <sheetName val="ITB_COST3"/>
      <sheetName val="Process_Piping3"/>
      <sheetName val="3_현장배치3"/>
      <sheetName val="co-no_22"/>
      <sheetName val="ring_wall_thickness2"/>
      <sheetName val="wage_Cal2"/>
      <sheetName val="운송비_및_보험료(991221)2"/>
      <sheetName val="plan&amp;section_of_foundation2"/>
      <sheetName val="MH_RATE2"/>
      <sheetName val="Cost_Per_Unit2"/>
      <sheetName val="Billing_Curve2"/>
      <sheetName val="GP_BOX2"/>
      <sheetName val="HRSG_-_Summary2"/>
      <sheetName val="Area_Lookup2"/>
      <sheetName val="Pl_OP-others2"/>
      <sheetName val="HORI__VESSEL"/>
      <sheetName val="2_설계제원"/>
      <sheetName val="roject\Budget_Files\Final\CIVIL"/>
      <sheetName val="\àC:\Documents_and_Settings\"/>
      <sheetName val="Cash_Flow"/>
      <sheetName val="Plate_Welding_Table"/>
      <sheetName val="Inst_"/>
      <sheetName val="tabulation_(comparison)"/>
      <sheetName val="Summary_Sheets"/>
      <sheetName val="FORM_3A"/>
      <sheetName val="Analisa_2"/>
      <sheetName val="[Civil_xls][Civil_xls][Civil_xl"/>
      <sheetName val="Do_not_delete"/>
      <sheetName val="Drop_Down_list"/>
      <sheetName val="PROD_RATE"/>
      <sheetName val="pump_flr"/>
      <sheetName val="2_678M"/>
      <sheetName val="BR_-CHINA_BANK_2"/>
      <sheetName val="Summary_WG"/>
      <sheetName val="BOQ_"/>
      <sheetName val="GEN_REQ"/>
      <sheetName val="SD_and_START_UP"/>
      <sheetName val="BQ-E20-02(Rp)"/>
      <sheetName val="External_Backlog1"/>
      <sheetName val="Adimi_bldg1"/>
      <sheetName val="Pump_House1"/>
      <sheetName val="Fuel_Regu_Station1"/>
      <sheetName val="masonry_works1"/>
      <sheetName val="PH_51"/>
      <sheetName val="Cost_Calc1"/>
      <sheetName val="EAST_TOWER1"/>
      <sheetName val="2_of_21"/>
      <sheetName val="Financing_Schemes1"/>
      <sheetName val="_Model_A_costs1"/>
      <sheetName val="Model_B_costs1"/>
      <sheetName val="Model_C_costs1"/>
      <sheetName val="Main_Bldg_1"/>
      <sheetName val="firepro_-_bpo"/>
      <sheetName val="subcon_sched"/>
      <sheetName val="공통가설"/>
      <sheetName val="방배동내역(리라)"/>
      <sheetName val="부대공사총괄"/>
      <sheetName val="현장경비"/>
      <sheetName val="건축공사집계표"/>
      <sheetName val="방배동내역 (총괄)"/>
      <sheetName val="Arch"/>
      <sheetName val="Summary (overall)"/>
      <sheetName val="retail"/>
      <sheetName val="MU"/>
      <sheetName val="RISK ASSESSMENT"/>
      <sheetName val="DataStore"/>
      <sheetName val="ID"/>
      <sheetName val="WELDER"/>
      <sheetName val="W.NO"/>
      <sheetName val="Alternator"/>
      <sheetName val="Vendors"/>
      <sheetName val="[Civil.xls][Civil.xls]_Civil_10"/>
      <sheetName val="[Civil.xls]roject_Budget_File_6"/>
      <sheetName val="[Civil.xls]_____C__Documents__6"/>
      <sheetName val="[Civil.xls][Civil.xls]_Civil_11"/>
      <sheetName val="[Civil.xls][Civil.xls]_Civil_12"/>
      <sheetName val="[Civil.xls][Civil.xls]roject__6"/>
      <sheetName val="[Civil.xls][Civil.xls]_____C__6"/>
      <sheetName val="[Civil.xls]roject_Budget_File_7"/>
      <sheetName val="[Civil.xls]__C__Documents_and_2"/>
      <sheetName val="[Civil.xls][Civil.xls]_Civil_13"/>
      <sheetName val="FACTORS"/>
      <sheetName val="[Civil.xls]roject_Budget_File_8"/>
      <sheetName val="[Civil.xls]_____C__Documents__7"/>
      <sheetName val="[Civil.xls][Civil.xls]_Civil_14"/>
      <sheetName val="[Civil.xls][Civil.xls]_Civil_15"/>
      <sheetName val="[Civil.xls][Civil.xls]roject__7"/>
      <sheetName val="[Civil.xls][Civil.xls]_____C__7"/>
      <sheetName val="[Civil.xls][Civil.xls]_Civil_16"/>
      <sheetName val="[Civil.xls]roject_Budget_File_9"/>
      <sheetName val="[Civil.xls]__C__Documents_and_3"/>
      <sheetName val="[Civil.xls]roject_Budget_Fil_10"/>
      <sheetName val="[Civil.xls]_____C__Documents__8"/>
      <sheetName val="[Civil.xls][Civil.xls]_Civil_17"/>
      <sheetName val="[Civil.xls][Civil.xls]_Civil_18"/>
      <sheetName val="[Civil.xls][Civil.xls]roject__8"/>
      <sheetName val="[Civil.xls][Civil.xls]_____C__8"/>
      <sheetName val="[Civil.xls][Civil.xls]_Civil_19"/>
      <sheetName val="[Civil.xls]roject_Budget_Fil_11"/>
      <sheetName val="[Civil.xls]__C__Documents_and_4"/>
      <sheetName val="16NM"/>
      <sheetName val="[Civil.xls]_____C__Documents__9"/>
      <sheetName val="[Civil.xls][Civil.xls]roject__9"/>
      <sheetName val="[Civil.xls][Civil.xls]_____C__9"/>
      <sheetName val="[Civil.xls]roject_Budget_Fil_14"/>
      <sheetName val="[Civil.xls]_____C__Documents_10"/>
      <sheetName val="[Civil.xls][Civil.xls]_Civil_23"/>
      <sheetName val="[Civil.xls][Civil.xls]_Civil_24"/>
      <sheetName val="[Civil.xls][Civil.xls]roject_10"/>
      <sheetName val="[Civil.xls][Civil.xls]_____C_10"/>
      <sheetName val="[Civil.xls][Civil.xls]_Civil_29"/>
      <sheetName val="[Civil.xls][Civil.xls]_Civil_26"/>
      <sheetName val="[Civil.xls][Civil.xls]_Civil_25"/>
      <sheetName val="[Civil.xls]roject_Budget_Fil_15"/>
      <sheetName val="[Civil.xls]__C__Documents_and_6"/>
      <sheetName val="CD_LC"/>
      <sheetName val="QMS F301-02"/>
      <sheetName val="2ND PAYMENT"/>
      <sheetName val="(2)"/>
      <sheetName val="1ST PAYMENT"/>
      <sheetName val="(1)"/>
      <sheetName val="SKED_UG&amp;RW"/>
      <sheetName val="excav"/>
      <sheetName val="sheeet2"/>
      <sheetName val="DESBASTE"/>
      <sheetName val="경비2내역"/>
      <sheetName val="SEX"/>
      <sheetName val="[Civil.xls]roject_Budget_Fil_12"/>
      <sheetName val="[Civil.xls][Civil.xls]_Civil_20"/>
      <sheetName val="[Civil.xls][Civil.xls]_Civil_21"/>
      <sheetName val="[Civil.xls][Civil.xls]_Civil_22"/>
      <sheetName val="[Civil.xls]roject_Budget_Fil_13"/>
      <sheetName val="[Civil.xls]__C__Documents_and_5"/>
      <sheetName val="[Civil.xls]roject_Budget_Fil_16"/>
      <sheetName val="[Civil.xls]_____C__Documents_11"/>
      <sheetName val="[Civil.xls][Civil.xls]_Civil_27"/>
      <sheetName val="[Civil.xls][Civil.xls]_Civil_28"/>
      <sheetName val="[Civil.xls][Civil.xls]roject_11"/>
      <sheetName val="[Civil.xls][Civil.xls]_____C_11"/>
      <sheetName val="[Civil.xls]roject_Budget_Fil_17"/>
      <sheetName val="[Civil.xls]__C__Documents_and_7"/>
      <sheetName val="[Civil.xls]roject_Budget_Fil_18"/>
      <sheetName val="[Civil.xls]_____C__Documents_12"/>
      <sheetName val="[Civil.xls][Civil.xls]_Civil_30"/>
      <sheetName val="[Civil.xls][Civil.xls]_Civil_31"/>
      <sheetName val="[Civil.xls][Civil.xls]roject_12"/>
      <sheetName val="[Civil.xls][Civil.xls]_____C_12"/>
      <sheetName val="[Civil.xls]roject_Budget_Fil_19"/>
      <sheetName val="[Civil.xls]_____C__Documents_13"/>
      <sheetName val="[Civil.xls][Civil.xls]_Civil_32"/>
      <sheetName val="[Civil.xls][Civil.xls]_Civil_33"/>
      <sheetName val="[Civil.xls][Civil.xls]roject_13"/>
      <sheetName val="[Civil.xls][Civil.xls]_____C_13"/>
      <sheetName val="[Civil.xls][Civil.xls]_Civil_34"/>
      <sheetName val="[Civil.xls]roject_Budget_Fil_20"/>
      <sheetName val="[Civil.xls]__C__Documents_and_8"/>
      <sheetName val="Functional"/>
      <sheetName val="SOR"/>
      <sheetName val="Cal_DM"/>
      <sheetName val="Cal_IDM"/>
      <sheetName val="Prelims"/>
      <sheetName val="Planned"/>
      <sheetName val="RP Mar"/>
      <sheetName val="Codes"/>
      <sheetName val="THVT"/>
      <sheetName val="PTDM"/>
      <sheetName val="6MONTHS"/>
      <sheetName val="HDR-NAME"/>
      <sheetName val="적용환율"/>
      <sheetName val="[Civil.xls]roject_Budget_Fil_27"/>
      <sheetName val="[Civil.xls]_____C__Documents_18"/>
      <sheetName val="[Civil.xls][Civil.xls]_Civil_48"/>
      <sheetName val="[Civil.xls][Civil.xls]_Civil_49"/>
      <sheetName val="[Civil.xls][Civil.xls]roject_18"/>
      <sheetName val="[Civil.xls][Civil.xls]_____C_18"/>
      <sheetName val="[Civil.xls][Civil.xls]_Civil_50"/>
      <sheetName val="[Civil.xls]roject_Budget_Fil_28"/>
      <sheetName val="[Civil.xls]__C__Documents_an_12"/>
      <sheetName val="[Civil.xls][Civil.xls]_Civil_35"/>
      <sheetName val="[Civil.xls]_____C__Documents_14"/>
      <sheetName val="[Civil.xls][Civil.xls]_Civil_36"/>
      <sheetName val="[Civil.xls][Civil.xls]_Civil_37"/>
      <sheetName val="[Civil.xls][Civil.xls]roject_14"/>
      <sheetName val="[Civil.xls][Civil.xls]_____C_14"/>
      <sheetName val="[Civil.xls][Civil.xls]_Civil_38"/>
      <sheetName val="[Civil.xls]roject_Budget_Fil_21"/>
      <sheetName val="[Civil.xls]_____C__Documents_15"/>
      <sheetName val="[Civil.xls][Civil.xls]_Civil_39"/>
      <sheetName val="[Civil.xls][Civil.xls]_Civil_40"/>
      <sheetName val="[Civil.xls][Civil.xls]roject_15"/>
      <sheetName val="[Civil.xls][Civil.xls]_____C_15"/>
      <sheetName val="[Civil.xls][Civil.xls]_Civil_41"/>
      <sheetName val="[Civil.xls]roject_Budget_Fil_22"/>
      <sheetName val="[Civil.xls]__C__Documents_and_9"/>
      <sheetName val="[Civil.xls]roject_Budget_Fil_23"/>
      <sheetName val="[Civil.xls]_____C__Documents_16"/>
      <sheetName val="[Civil.xls][Civil.xls]_Civil_42"/>
      <sheetName val="[Civil.xls][Civil.xls]_Civil_43"/>
      <sheetName val="[Civil.xls][Civil.xls]roject_16"/>
      <sheetName val="[Civil.xls][Civil.xls]_____C_16"/>
      <sheetName val="[Civil.xls][Civil.xls]_Civil_44"/>
      <sheetName val="[Civil.xls]roject_Budget_Fil_24"/>
      <sheetName val="[Civil.xls]__C__Documents_an_10"/>
      <sheetName val="[Civil.xls]roject_Budget_Fil_25"/>
      <sheetName val="[Civil.xls]_____C__Documents_17"/>
      <sheetName val="[Civil.xls][Civil.xls]_Civil_45"/>
      <sheetName val="[Civil.xls][Civil.xls]_Civil_46"/>
      <sheetName val="[Civil.xls][Civil.xls]roject_17"/>
      <sheetName val="[Civil.xls][Civil.xls]_____C_17"/>
      <sheetName val="[Civil.xls][Civil.xls]_Civil_47"/>
      <sheetName val="[Civil.xls]roject_Budget_Fil_26"/>
      <sheetName val="[Civil.xls]__C__Documents_an_11"/>
      <sheetName val="[Civil.xls][Civil.xls]_Civil_51"/>
      <sheetName val="[Civil.xls]roject_Budget_Fil_29"/>
      <sheetName val="[Civil.xls]_____C__Documents_19"/>
      <sheetName val="[Civil.xls][Civil.xls]_Civil_52"/>
      <sheetName val="[Civil.xls][Civil.xls]_Civil_53"/>
      <sheetName val="[Civil.xls][Civil.xls]roject_19"/>
      <sheetName val="[Civil.xls][Civil.xls]_____C_19"/>
      <sheetName val="[Civil.xls]roject_Budget_Fil_30"/>
      <sheetName val="[Civil.xls]__C__Documents_an_13"/>
      <sheetName val="[Civil.xls]roject_Budget_Fil_31"/>
      <sheetName val="[Civil.xls]_____C__Documents_20"/>
      <sheetName val="[Civil.xls][Civil.xls]_Civil_54"/>
      <sheetName val="[Civil.xls][Civil.xls]_Civil_55"/>
      <sheetName val="[Civil.xls][Civil.xls]roject_20"/>
      <sheetName val="[Civil.xls][Civil.xls]_____C_20"/>
      <sheetName val="[Civil.xls][Civil.xls]_Civil_56"/>
      <sheetName val="[Civil.xls]roject_Budget_Fil_32"/>
      <sheetName val="[Civil.xls]__C__Documents_an_14"/>
      <sheetName val="[Civil.xls][Civil.xls]_Civil_57"/>
      <sheetName val="[Civil.xls]roject_Budget_Fil_33"/>
      <sheetName val="[Civil.xls]_____C__Documents_21"/>
      <sheetName val="[Civil.xls][Civil.xls]_Civil_58"/>
      <sheetName val="[Civil.xls][Civil.xls]_Civil_59"/>
      <sheetName val="[Civil.xls][Civil.xls]roject_21"/>
      <sheetName val="[Civil.xls][Civil.xls]_____C_21"/>
      <sheetName val="[Civil.xls]roject_Budget_Fil_34"/>
      <sheetName val="[Civil.xls]__C__Documents_an_15"/>
      <sheetName val="[Civil.xls][Civil.xls]_Civil_60"/>
      <sheetName val="[Civil.xls]roject_Budget_Fil_35"/>
      <sheetName val="[Civil.xls]_____C__Documents_22"/>
      <sheetName val="[Civil.xls][Civil.xls]_Civil_61"/>
      <sheetName val="[Civil.xls][Civil.xls]_Civil_62"/>
      <sheetName val="[Civil.xls][Civil.xls]roject_22"/>
      <sheetName val="[Civil.xls][Civil.xls]_____C_22"/>
      <sheetName val="[Civil.xls]roject_Budget_Fil_36"/>
      <sheetName val="[Civil.xls]__C__Documents_an_16"/>
      <sheetName val="[Civil.xls]roject_Budget_Fil_37"/>
      <sheetName val="[Civil.xls]_____C__Documents_23"/>
      <sheetName val="[Civil.xls][Civil.xls]_Civil_63"/>
      <sheetName val="[Civil.xls][Civil.xls]_Civil_64"/>
      <sheetName val="[Civil.xls][Civil.xls]roject_23"/>
      <sheetName val="[Civil.xls][Civil.xls]_____C_23"/>
      <sheetName val="[Civil.xls][Civil.xls]_Civil_65"/>
      <sheetName val="[Civil.xls]roject_Budget_Fil_38"/>
      <sheetName val="[Civil.xls]__C__Documents_an_17"/>
      <sheetName val="[Civil.xls][Civil.xls]_Civil_66"/>
      <sheetName val="[Civil.xls]roject_Budget_Fil_39"/>
      <sheetName val="[Civil.xls]_____C__Documents_24"/>
      <sheetName val="[Civil.xls][Civil.xls]_Civil_67"/>
      <sheetName val="[Civil.xls][Civil.xls]_Civil_68"/>
      <sheetName val="[Civil.xls][Civil.xls]roject_24"/>
      <sheetName val="[Civil.xls][Civil.xls]_____C_24"/>
      <sheetName val="[Civil.xls]roject_Budget_Fil_40"/>
      <sheetName val="[Civil.xls]__C__Documents_an_18"/>
      <sheetName val="[Civil.xls][Civil.xls]_Civil_69"/>
      <sheetName val="[Civil.xls]roject_Budget_Fil_41"/>
      <sheetName val="[Civil.xls]_____C__Documents_25"/>
      <sheetName val="[Civil.xls][Civil.xls]_Civil_70"/>
      <sheetName val="[Civil.xls][Civil.xls]_Civil_71"/>
      <sheetName val="[Civil.xls][Civil.xls]roject_25"/>
      <sheetName val="[Civil.xls][Civil.xls]_____C_25"/>
      <sheetName val="[Civil.xls]roject_Budget_Fil_42"/>
      <sheetName val="[Civil.xls]__C__Documents_an_19"/>
      <sheetName val="[Civil.xls][Civil.xls]_Civil_72"/>
      <sheetName val="[Civil.xls]roject_Budget_Fil_43"/>
      <sheetName val="[Civil.xls]_____C__Documents_26"/>
      <sheetName val="[Civil.xls][Civil.xls]_Civil_73"/>
      <sheetName val="[Civil.xls][Civil.xls]_Civil_74"/>
      <sheetName val="[Civil.xls][Civil.xls]roject_26"/>
      <sheetName val="[Civil.xls][Civil.xls]_____C_26"/>
      <sheetName val="[Civil.xls]roject_Budget_Fil_44"/>
      <sheetName val="[Civil.xls]__C__Documents_an_20"/>
      <sheetName val="[Civil.xls]roject_Budget_Fil_45"/>
      <sheetName val="[Civil.xls]_____C__Documents_27"/>
      <sheetName val="[Civil.xls][Civil.xls]_Civil_75"/>
      <sheetName val="[Civil.xls][Civil.xls]_Civil_76"/>
      <sheetName val="[Civil.xls][Civil.xls]roject_27"/>
      <sheetName val="[Civil.xls][Civil.xls]_____C_27"/>
      <sheetName val="[Civil.xls][Civil.xls]_Civil_77"/>
      <sheetName val="[Civil.xls]roject_Budget_Fil_46"/>
      <sheetName val="[Civil.xls]__C__Documents_an_21"/>
      <sheetName val="[Civil.xls][Civil.xls]_Civil_78"/>
      <sheetName val="[Civil.xls]roject_Budget_Fil_47"/>
      <sheetName val="[Civil.xls]_____C__Documents_28"/>
      <sheetName val="[Civil.xls][Civil.xls]_Civil_79"/>
      <sheetName val="[Civil.xls][Civil.xls]_Civil_80"/>
      <sheetName val="[Civil.xls][Civil.xls]roject_28"/>
      <sheetName val="[Civil.xls][Civil.xls]_____C_28"/>
      <sheetName val="[Civil.xls]roject_Budget_Fil_48"/>
      <sheetName val="[Civil.xls]__C__Documents_an_22"/>
      <sheetName val="Uls"/>
      <sheetName val="info"/>
      <sheetName val="Quantity"/>
      <sheetName val="F.I(BYPASS)"/>
      <sheetName val="L.I(TUBU)"/>
      <sheetName val="P.I(BOU)"/>
      <sheetName val="P.I(DIA)"/>
      <sheetName val="Customer_Databas1"/>
      <sheetName val="Piping_Data1"/>
      <sheetName val="Piping_Tables1"/>
      <sheetName val="[Civil_xls][Civil_xls]roject\Bu"/>
      <sheetName val="[Civil_xls][Civil_xls]\àC:\D"/>
      <sheetName val="[Civil_xls]roject\Budget_Files\"/>
      <sheetName val="[Civil_xls]\àC:\Documents_an"/>
      <sheetName val="Analysis_Rate"/>
      <sheetName val="Rate_Analysis"/>
      <sheetName val="HOOK_UP_ITEM"/>
      <sheetName val="PAGE_NO"/>
      <sheetName val="PART_with_CODE"/>
      <sheetName val="H2O_(air,_acid_gas)"/>
      <sheetName val="ASME_B_36_10_M"/>
      <sheetName val="Tbl_1y_4"/>
      <sheetName val="Graph_(LGEN)"/>
      <sheetName val="선적schedule_(2)"/>
      <sheetName val="working_load_at_the_btm_ft_"/>
      <sheetName val="design_load"/>
      <sheetName val="Cost_Sum6"/>
      <sheetName val="General_Notes6"/>
      <sheetName val="EF___AC6"/>
      <sheetName val="INDIRECT_COST-PART_l5"/>
      <sheetName val="Total_Summary6"/>
      <sheetName val="Deluge_System6"/>
      <sheetName val="Large_Bore_Star_Rate6"/>
      <sheetName val="Small_Bore_Star_Rate6"/>
      <sheetName val="Summary_1FA_1GA6"/>
      <sheetName val="TOTAL_SUMMARY_(2)6"/>
      <sheetName val="Engg_46"/>
      <sheetName val="Engg_36"/>
      <sheetName val="Engg_26"/>
      <sheetName val="Engg_16"/>
      <sheetName val="Equip_Install6"/>
      <sheetName val="DS_Detl6"/>
      <sheetName val="DS_Breakdown6"/>
      <sheetName val="Furnace_Tube_Welding6"/>
      <sheetName val="Furnace_Installation6"/>
      <sheetName val="OCT_FDN5"/>
      <sheetName val="BS_final5"/>
      <sheetName val="MP_MOB5"/>
      <sheetName val="Boiler_Norms5"/>
      <sheetName val="공사비_내역_(가)4"/>
      <sheetName val="Code_025"/>
      <sheetName val="Code_035"/>
      <sheetName val="Code_045"/>
      <sheetName val="Code_055"/>
      <sheetName val="Code_065"/>
      <sheetName val="Code_075"/>
      <sheetName val="Code_095"/>
      <sheetName val="242-3_summaryOPC5"/>
      <sheetName val="Elec_Codes5"/>
      <sheetName val="ITB_COST4"/>
      <sheetName val="HRSG_PRINT5"/>
      <sheetName val="GP_BOX3"/>
      <sheetName val="HRSG_-_Summary3"/>
      <sheetName val="Area_Lookup3"/>
      <sheetName val="SYSTEM_945_Air&amp;Nitrogen5"/>
      <sheetName val="Stability_Check5"/>
      <sheetName val="Plant_Areas5"/>
      <sheetName val="Item_Codes5"/>
      <sheetName val="Break_Down5"/>
      <sheetName val="Data_-_Codes5"/>
      <sheetName val="Schedule_S-Curve_Revision#35"/>
      <sheetName val="4300_UTILITY_BLDG_(2)5"/>
      <sheetName val="Final_Summary5"/>
      <sheetName val="Generic_Type_1-25"/>
      <sheetName val="Sch_65"/>
      <sheetName val="Main_Works5"/>
      <sheetName val="Process_Piping4"/>
      <sheetName val="_Summary4"/>
      <sheetName val="3_현장배치4"/>
      <sheetName val="wage_Cal3"/>
      <sheetName val="plan&amp;section_of_foundation3"/>
      <sheetName val="운송비_및_보험료(991221)3"/>
      <sheetName val="co-no_23"/>
      <sheetName val="OTROS_MO3"/>
      <sheetName val="BILLING_SUMMARY3"/>
      <sheetName val="ring_wall_thickness3"/>
      <sheetName val="Customer_Databas2"/>
      <sheetName val="Piping_Data2"/>
      <sheetName val="Piping_Tables2"/>
      <sheetName val="Cost_Per_Unit3"/>
      <sheetName val="Billing_Curve3"/>
      <sheetName val="MH_RATE3"/>
      <sheetName val="INPUT_DATA_HERE3"/>
      <sheetName val="Pl_OP-others3"/>
      <sheetName val="HORI__VESSEL1"/>
      <sheetName val="2_설계제원1"/>
      <sheetName val="roject\Budget_Files\Final\CIVI1"/>
      <sheetName val="Cash_Flow1"/>
      <sheetName val="Plate_Welding_Table1"/>
      <sheetName val="Inst_1"/>
      <sheetName val="[Civil_xls][Civil_xls][Civil_x1"/>
      <sheetName val="[Civil_xls][Civil_xls]roject\B1"/>
      <sheetName val="[Civil_xls]roject\Budget_Files1"/>
      <sheetName val="FORM_3A1"/>
      <sheetName val="Analisa_21"/>
      <sheetName val="Summary_Sheets1"/>
      <sheetName val="tabulation_(comparison)1"/>
      <sheetName val="B1P2_Cover1"/>
      <sheetName val="Book_1_Summary1"/>
      <sheetName val="Warranties_Rate_Only1"/>
      <sheetName val="PL_Plumbing1"/>
      <sheetName val="DD_EST_1"/>
      <sheetName val="Division_30001"/>
      <sheetName val="STAFFSCHED_1"/>
      <sheetName val="Analysis_Rate1"/>
      <sheetName val="Rate_Analysis1"/>
      <sheetName val="HOOK_UP_ITEM1"/>
      <sheetName val="PAGE_NO1"/>
      <sheetName val="PART_with_CODE1"/>
      <sheetName val="H2O_(air,_acid_gas)1"/>
      <sheetName val="ASME_B_36_10_M1"/>
      <sheetName val="Tbl_1y_41"/>
      <sheetName val="Graph_(LGEN)1"/>
      <sheetName val="선적schedule_(2)1"/>
      <sheetName val="Do_not_delete1"/>
      <sheetName val="Drop_Down_list1"/>
      <sheetName val="working_load_at_the_btm_ft_1"/>
      <sheetName val="design_load1"/>
      <sheetName val="BOM_00_(현지견적)"/>
      <sheetName val="Cost_Sum7"/>
      <sheetName val="General_Notes7"/>
      <sheetName val="EF___AC7"/>
      <sheetName val="INDIRECT_COST-PART_l6"/>
      <sheetName val="Total_Summary7"/>
      <sheetName val="Deluge_System7"/>
      <sheetName val="Large_Bore_Star_Rate7"/>
      <sheetName val="Small_Bore_Star_Rate7"/>
      <sheetName val="Summary_1FA_1GA7"/>
      <sheetName val="TOTAL_SUMMARY_(2)7"/>
      <sheetName val="Engg_47"/>
      <sheetName val="Engg_37"/>
      <sheetName val="Engg_27"/>
      <sheetName val="Engg_17"/>
      <sheetName val="Equip_Install7"/>
      <sheetName val="DS_Detl7"/>
      <sheetName val="DS_Breakdown7"/>
      <sheetName val="Furnace_Tube_Welding7"/>
      <sheetName val="Furnace_Installation7"/>
      <sheetName val="OCT_FDN6"/>
      <sheetName val="BS_final6"/>
      <sheetName val="MP_MOB6"/>
      <sheetName val="Boiler_Norms6"/>
      <sheetName val="공사비_내역_(가)5"/>
      <sheetName val="Code_026"/>
      <sheetName val="Code_036"/>
      <sheetName val="Code_046"/>
      <sheetName val="Code_056"/>
      <sheetName val="Code_066"/>
      <sheetName val="Code_076"/>
      <sheetName val="Code_096"/>
      <sheetName val="242-3_summaryOPC6"/>
      <sheetName val="Elec_Codes6"/>
      <sheetName val="ITB_COST5"/>
      <sheetName val="HRSG_PRINT6"/>
      <sheetName val="GP_BOX4"/>
      <sheetName val="HRSG_-_Summary4"/>
      <sheetName val="Area_Lookup4"/>
      <sheetName val="SYSTEM_945_Air&amp;Nitrogen6"/>
      <sheetName val="Stability_Check6"/>
      <sheetName val="Plant_Areas6"/>
      <sheetName val="Item_Codes6"/>
      <sheetName val="Break_Down6"/>
      <sheetName val="Data_-_Codes6"/>
      <sheetName val="Schedule_S-Curve_Revision#36"/>
      <sheetName val="4300_UTILITY_BLDG_(2)6"/>
      <sheetName val="Final_Summary6"/>
      <sheetName val="Generic_Type_1-26"/>
      <sheetName val="Sch_66"/>
      <sheetName val="Main_Works6"/>
      <sheetName val="Process_Piping5"/>
      <sheetName val="_Summary5"/>
      <sheetName val="3_현장배치5"/>
      <sheetName val="wage_Cal4"/>
      <sheetName val="plan&amp;section_of_foundation4"/>
      <sheetName val="운송비_및_보험료(991221)4"/>
      <sheetName val="co-no_24"/>
      <sheetName val="OTROS_MO4"/>
      <sheetName val="BILLING_SUMMARY4"/>
      <sheetName val="ring_wall_thickness4"/>
      <sheetName val="Customer_Databas3"/>
      <sheetName val="Piping_Data3"/>
      <sheetName val="Piping_Tables3"/>
      <sheetName val="Cost_Per_Unit4"/>
      <sheetName val="Billing_Curve4"/>
      <sheetName val="MH_RATE4"/>
      <sheetName val="INPUT_DATA_HERE4"/>
      <sheetName val="Pl_OP-others4"/>
      <sheetName val="External_Backlog2"/>
      <sheetName val="HORI__VESSEL2"/>
      <sheetName val="2_설계제원2"/>
      <sheetName val="roject\Budget_Files\Final\CIVI2"/>
      <sheetName val="Cash_Flow2"/>
      <sheetName val="Plate_Welding_Table2"/>
      <sheetName val="Inst_2"/>
      <sheetName val="2_of_22"/>
      <sheetName val="[Civil_xls][Civil_xls][Civil_x2"/>
      <sheetName val="[Civil_xls][Civil_xls]roject\B2"/>
      <sheetName val="[Civil_xls]roject\Budget_Files2"/>
      <sheetName val="Cost_Calc2"/>
      <sheetName val="EAST_TOWER2"/>
      <sheetName val="FORM_3A2"/>
      <sheetName val="Analisa_22"/>
      <sheetName val="Adimi_bldg2"/>
      <sheetName val="Pump_House2"/>
      <sheetName val="Fuel_Regu_Station2"/>
      <sheetName val="Summary_Sheets2"/>
      <sheetName val="tabulation_(comparison)2"/>
      <sheetName val="B1P2_Cover2"/>
      <sheetName val="Book_1_Summary2"/>
      <sheetName val="Warranties_Rate_Only2"/>
      <sheetName val="masonry_works2"/>
      <sheetName val="PH_52"/>
      <sheetName val="Financing_Schemes2"/>
      <sheetName val="_Model_A_costs2"/>
      <sheetName val="Model_B_costs2"/>
      <sheetName val="Model_C_costs2"/>
      <sheetName val="Main_Bldg_2"/>
      <sheetName val="PL_Plumbing2"/>
      <sheetName val="DD_EST_2"/>
      <sheetName val="Division_30002"/>
      <sheetName val="STAFFSCHED_2"/>
      <sheetName val="Analysis_Rate2"/>
      <sheetName val="Rate_Analysis2"/>
      <sheetName val="HOOK_UP_ITEM2"/>
      <sheetName val="PAGE_NO2"/>
      <sheetName val="PART_with_CODE2"/>
      <sheetName val="H2O_(air,_acid_gas)2"/>
      <sheetName val="ASME_B_36_10_M2"/>
      <sheetName val="Tbl_1y_42"/>
      <sheetName val="Graph_(LGEN)2"/>
      <sheetName val="선적schedule_(2)2"/>
      <sheetName val="Do_not_delete2"/>
      <sheetName val="Drop_Down_list2"/>
      <sheetName val="working_load_at_the_btm_ft_2"/>
      <sheetName val="design_load2"/>
      <sheetName val="BOM_00_(현지견적)1"/>
      <sheetName val="Breakdown_Instrument"/>
      <sheetName val="GPP2(3_of_3)"/>
      <sheetName val="GPP2(2_of_3)"/>
      <sheetName val="Core_calculations"/>
      <sheetName val="203_Eqpt_r1"/>
      <sheetName val="3BL공동구_수량"/>
      <sheetName val="Hac_Lots"/>
      <sheetName val="Res_Lots"/>
      <sheetName val="SCV_P1A_-_Shared_Cost"/>
      <sheetName val="Bill_of_Qty_MEP"/>
      <sheetName val="Tabel_Ohm_LV"/>
      <sheetName val="CAL_"/>
      <sheetName val="Masterfile_"/>
      <sheetName val="Termination_Manpower"/>
      <sheetName val="YH-Attendance_"/>
      <sheetName val="Codes,___"/>
      <sheetName val="INNER_TANK"/>
      <sheetName val="VOWD_Basis"/>
      <sheetName val="[Civil_xls][Civil_xls]\"/>
      <sheetName val="[Civil_xls]\"/>
      <sheetName val="roject_Budget_Files_Final_CIVIL"/>
      <sheetName val="BSR"/>
      <sheetName val="FWBS1100"/>
      <sheetName val="Rates"/>
      <sheetName val="Form MF - 2"/>
      <sheetName val="Titel"/>
      <sheetName val="ANALISA"/>
      <sheetName val="Bill_3_-Piling"/>
      <sheetName val="Bill_8_FS-A"/>
      <sheetName val="Breakdown_Instrument1"/>
      <sheetName val="CAL_1"/>
      <sheetName val="Masterfile_1"/>
      <sheetName val="Termination_Manpower1"/>
      <sheetName val="YH-Attendance_1"/>
      <sheetName val="GPP2(3_of_3)1"/>
      <sheetName val="GPP2(2_of_3)1"/>
      <sheetName val="Bill_of_Qty_MEP1"/>
      <sheetName val="Tabel_Ohm_LV1"/>
      <sheetName val="Core_calculations1"/>
      <sheetName val="203_Eqpt_r11"/>
      <sheetName val="Codes,___1"/>
      <sheetName val="INNER_TANK1"/>
      <sheetName val="VOWD_Basis1"/>
      <sheetName val="Bill_3_-Piling1"/>
      <sheetName val="Bill_8_FS-A1"/>
      <sheetName val="roject_Budget_Files_Final_CIVI1"/>
      <sheetName val="BOM_00_(현지견적)2"/>
      <sheetName val="Breakdown_Instrument2"/>
      <sheetName val="CAL_2"/>
      <sheetName val="Masterfile_2"/>
      <sheetName val="Termination_Manpower2"/>
      <sheetName val="YH-Attendance_2"/>
      <sheetName val="GPP2(3_of_3)2"/>
      <sheetName val="GPP2(2_of_3)2"/>
      <sheetName val="Bill_of_Qty_MEP2"/>
      <sheetName val="Tabel_Ohm_LV2"/>
      <sheetName val="Core_calculations2"/>
      <sheetName val="203_Eqpt_r12"/>
      <sheetName val="Codes,___2"/>
      <sheetName val="INNER_TANK2"/>
      <sheetName val="VOWD_Basis2"/>
      <sheetName val="Bill_3_-Piling2"/>
      <sheetName val="Bill_8_FS-A2"/>
      <sheetName val="roject_Budget_Files_Final_CIVI2"/>
      <sheetName val="FORM_X_COST"/>
      <sheetName val="vlookup_-_do_not_print"/>
      <sheetName val="_ｹ-ﾌﾞﾙ"/>
      <sheetName val="PROD_RATE1"/>
      <sheetName val="pump_flr1"/>
      <sheetName val="2_678M1"/>
      <sheetName val="Summary_WG1"/>
      <sheetName val="BOQ_1"/>
      <sheetName val="GEN_REQ1"/>
      <sheetName val="SD_and_START_UP1"/>
      <sheetName val="BR_-CHINA_BANK_21"/>
      <sheetName val="_Preliminaries"/>
      <sheetName val="TOWER_3&amp;4"/>
      <sheetName val="ltg_(3)"/>
      <sheetName val="PA_BGM"/>
      <sheetName val="_Civil_xls__Civil_xls__Civil_xl"/>
      <sheetName val="SUMMARY_(2)"/>
      <sheetName val="Bill_1"/>
      <sheetName val="Bill_2A"/>
      <sheetName val="Bill_2B"/>
      <sheetName val="Bill_2C"/>
      <sheetName val="Bill_2C_1"/>
      <sheetName val="Bill_2D"/>
      <sheetName val="Bill_2E"/>
      <sheetName val="Bill_2F"/>
      <sheetName val="SUNDRIES_-_2A"/>
      <sheetName val="FINAL_NEGO"/>
      <sheetName val="Manpower_costs_+_data"/>
      <sheetName val="Labor_Rate"/>
      <sheetName val="Land_Dev't__Ph-1"/>
      <sheetName val="SITE_DEV,T"/>
      <sheetName val="FINANCIAL_(FLR)"/>
      <sheetName val="Ind_MP_Sch_"/>
      <sheetName val="Material_Price"/>
      <sheetName val="Navigation_Page"/>
      <sheetName val="0200_Siteworks"/>
      <sheetName val="bar_chart-rev"/>
      <sheetName val="Bill_3_-BPO1"/>
      <sheetName val="Bill_3_-BPO2"/>
      <sheetName val="Schedule_S-Curve_(new_scheme)"/>
      <sheetName val="Bill_2_-RETAIL"/>
      <sheetName val="UPG_BEAM"/>
      <sheetName val="COST-EST_LTI_P5C"/>
      <sheetName val="Cost_Sum8"/>
      <sheetName val="General_Notes8"/>
      <sheetName val="EF___AC8"/>
      <sheetName val="INDIRECT_COST-PART_l7"/>
      <sheetName val="Total_Summary8"/>
      <sheetName val="Deluge_System8"/>
      <sheetName val="Large_Bore_Star_Rate8"/>
      <sheetName val="Small_Bore_Star_Rate8"/>
      <sheetName val="Summary_1FA_1GA8"/>
      <sheetName val="TOTAL_SUMMARY_(2)8"/>
      <sheetName val="Engg_48"/>
      <sheetName val="Engg_38"/>
      <sheetName val="Engg_28"/>
      <sheetName val="Engg_18"/>
      <sheetName val="Equip_Install8"/>
      <sheetName val="DS_Detl8"/>
      <sheetName val="DS_Breakdown8"/>
      <sheetName val="Furnace_Tube_Welding8"/>
      <sheetName val="Furnace_Installation8"/>
      <sheetName val="OCT_FDN7"/>
      <sheetName val="BS_final7"/>
      <sheetName val="MP_MOB7"/>
      <sheetName val="Boiler_Norms7"/>
      <sheetName val="공사비_내역_(가)6"/>
      <sheetName val="Code_027"/>
      <sheetName val="Code_037"/>
      <sheetName val="Code_047"/>
      <sheetName val="Code_057"/>
      <sheetName val="Code_067"/>
      <sheetName val="Code_077"/>
      <sheetName val="Code_097"/>
      <sheetName val="242-3_summaryOPC7"/>
      <sheetName val="Elec_Codes7"/>
      <sheetName val="ITB_COST6"/>
      <sheetName val="HRSG_PRINT7"/>
      <sheetName val="GP_BOX5"/>
      <sheetName val="HRSG_-_Summary5"/>
      <sheetName val="Area_Lookup5"/>
      <sheetName val="SYSTEM_945_Air&amp;Nitrogen7"/>
      <sheetName val="Stability_Check7"/>
      <sheetName val="Plant_Areas7"/>
      <sheetName val="Item_Codes7"/>
      <sheetName val="Break_Down7"/>
      <sheetName val="Data_-_Codes7"/>
      <sheetName val="Schedule_S-Curve_Revision#37"/>
      <sheetName val="4300_UTILITY_BLDG_(2)7"/>
      <sheetName val="Final_Summary7"/>
      <sheetName val="Generic_Type_1-27"/>
      <sheetName val="Sch_67"/>
      <sheetName val="Main_Works7"/>
      <sheetName val="Process_Piping6"/>
      <sheetName val="_Summary6"/>
      <sheetName val="3_현장배치6"/>
      <sheetName val="wage_Cal5"/>
      <sheetName val="plan&amp;section_of_foundation5"/>
      <sheetName val="운송비_및_보험료(991221)5"/>
      <sheetName val="co-no_25"/>
      <sheetName val="OTROS_MO5"/>
      <sheetName val="BILLING_SUMMARY5"/>
      <sheetName val="ring_wall_thickness5"/>
      <sheetName val="Customer_Databas4"/>
      <sheetName val="Piping_Data4"/>
      <sheetName val="Piping_Tables4"/>
      <sheetName val="Cost_Per_Unit5"/>
      <sheetName val="Billing_Curve5"/>
      <sheetName val="MH_RATE5"/>
      <sheetName val="INPUT_DATA_HERE5"/>
      <sheetName val="Pl_OP-others5"/>
      <sheetName val="External_Backlog3"/>
      <sheetName val="HORI__VESSEL3"/>
      <sheetName val="2_설계제원3"/>
      <sheetName val="roject\Budget_Files\Final\CIVI3"/>
      <sheetName val="Cash_Flow3"/>
      <sheetName val="Plate_Welding_Table3"/>
      <sheetName val="Inst_3"/>
      <sheetName val="2_of_23"/>
      <sheetName val="[Civil_xls][Civil_xls][Civil_x3"/>
      <sheetName val="[Civil_xls][Civil_xls]roject\B3"/>
      <sheetName val="[Civil_xls]roject\Budget_Files3"/>
      <sheetName val="Cost_Calc3"/>
      <sheetName val="EAST_TOWER3"/>
      <sheetName val="FORM_3A3"/>
      <sheetName val="Analisa_23"/>
      <sheetName val="Adimi_bldg3"/>
      <sheetName val="Pump_House3"/>
      <sheetName val="Fuel_Regu_Station3"/>
      <sheetName val="Summary_Sheets3"/>
      <sheetName val="tabulation_(comparison)3"/>
      <sheetName val="B1P2_Cover3"/>
      <sheetName val="Book_1_Summary3"/>
      <sheetName val="Warranties_Rate_Only3"/>
      <sheetName val="masonry_works3"/>
      <sheetName val="PH_53"/>
      <sheetName val="Financing_Schemes3"/>
      <sheetName val="_Model_A_costs3"/>
      <sheetName val="Model_B_costs3"/>
      <sheetName val="Model_C_costs3"/>
      <sheetName val="Main_Bldg_3"/>
      <sheetName val="PL_Plumbing3"/>
      <sheetName val="DD_EST_3"/>
      <sheetName val="Division_30003"/>
      <sheetName val="STAFFSCHED_3"/>
      <sheetName val="Analysis_Rate3"/>
      <sheetName val="Rate_Analysis3"/>
      <sheetName val="HOOK_UP_ITEM3"/>
      <sheetName val="PAGE_NO3"/>
      <sheetName val="PART_with_CODE3"/>
      <sheetName val="H2O_(air,_acid_gas)3"/>
      <sheetName val="ASME_B_36_10_M3"/>
      <sheetName val="Tbl_1y_43"/>
      <sheetName val="Graph_(LGEN)3"/>
      <sheetName val="선적schedule_(2)3"/>
      <sheetName val="Do_not_delete3"/>
      <sheetName val="Drop_Down_list3"/>
      <sheetName val="working_load_at_the_btm_ft_3"/>
      <sheetName val="design_load3"/>
      <sheetName val="3BL공동구_수량1"/>
      <sheetName val="firepro_-_bpo1"/>
      <sheetName val="Hac_Lots1"/>
      <sheetName val="Res_Lots1"/>
      <sheetName val="SCV_P1A_-_Shared_Cost1"/>
      <sheetName val="[Civil_xls][Civil_xls]\1"/>
      <sheetName val="[Civil_xls]\1"/>
      <sheetName val="D_I"/>
      <sheetName val="FACTORS_1"/>
      <sheetName val="[Civil_xls]roject_Budget_File_4"/>
      <sheetName val="[Civil_xls]_____C__Documents__4"/>
      <sheetName val="[Civil_xls][Civil_xls]_Civil__6"/>
      <sheetName val="[Civil_xls][Civil_xls]_Civil__7"/>
      <sheetName val="[Civil_xls][Civil_xls]roject__4"/>
      <sheetName val="[Civil_xls][Civil_xls]_____C__4"/>
      <sheetName val="[Civil_xls]roject_Budget_File_2"/>
      <sheetName val="[Civil_xls]_____C__Documents__2"/>
      <sheetName val="[Civil_xls][Civil_xls]_Civil__2"/>
      <sheetName val="[Civil_xls][Civil_xls]_Civil__3"/>
      <sheetName val="[Civil_xls][Civil_xls]roject__2"/>
      <sheetName val="[Civil_xls][Civil_xls]_____C__2"/>
      <sheetName val="[Civil_xls]roject_Budget_File_3"/>
      <sheetName val="[Civil_xls]_____C__Documents__3"/>
      <sheetName val="[Civil_xls][Civil_xls]_Civil__4"/>
      <sheetName val="[Civil_xls][Civil_xls]_Civil__5"/>
      <sheetName val="[Civil_xls][Civil_xls]roject__3"/>
      <sheetName val="[Civil_xls][Civil_xls]_____C__3"/>
      <sheetName val="간접비_총괄표"/>
      <sheetName val="_ratings"/>
      <sheetName val="Cost_Sum9"/>
      <sheetName val="General_Notes9"/>
      <sheetName val="EF___AC9"/>
      <sheetName val="INDIRECT_COST-PART_l8"/>
      <sheetName val="Total_Summary9"/>
      <sheetName val="Deluge_System9"/>
      <sheetName val="Large_Bore_Star_Rate9"/>
      <sheetName val="Small_Bore_Star_Rate9"/>
      <sheetName val="Summary_1FA_1GA9"/>
      <sheetName val="TOTAL_SUMMARY_(2)9"/>
      <sheetName val="Engg_49"/>
      <sheetName val="Engg_39"/>
      <sheetName val="Engg_29"/>
      <sheetName val="Engg_19"/>
      <sheetName val="Equip_Install9"/>
      <sheetName val="DS_Detl9"/>
      <sheetName val="DS_Breakdown9"/>
      <sheetName val="Furnace_Tube_Welding9"/>
      <sheetName val="Furnace_Installation9"/>
      <sheetName val="OCT_FDN8"/>
      <sheetName val="BS_final8"/>
      <sheetName val="MP_MOB8"/>
      <sheetName val="Boiler_Norms8"/>
      <sheetName val="공사비_내역_(가)7"/>
      <sheetName val="Code_028"/>
      <sheetName val="Code_038"/>
      <sheetName val="Code_048"/>
      <sheetName val="Code_058"/>
      <sheetName val="Code_068"/>
      <sheetName val="Code_078"/>
      <sheetName val="Code_098"/>
      <sheetName val="242-3_summaryOPC8"/>
      <sheetName val="Elec_Codes8"/>
      <sheetName val="ITB_COST7"/>
      <sheetName val="HRSG_PRINT8"/>
      <sheetName val="GP_BOX6"/>
      <sheetName val="HRSG_-_Summary6"/>
      <sheetName val="Area_Lookup6"/>
      <sheetName val="SYSTEM_945_Air&amp;Nitrogen8"/>
      <sheetName val="Stability_Check8"/>
      <sheetName val="Plant_Areas8"/>
      <sheetName val="Item_Codes8"/>
      <sheetName val="Break_Down8"/>
      <sheetName val="Data_-_Codes8"/>
      <sheetName val="Schedule_S-Curve_Revision#38"/>
      <sheetName val="4300_UTILITY_BLDG_(2)8"/>
      <sheetName val="Final_Summary8"/>
      <sheetName val="Generic_Type_1-28"/>
      <sheetName val="Sch_68"/>
      <sheetName val="Main_Works8"/>
      <sheetName val="Process_Piping7"/>
      <sheetName val="_Summary7"/>
      <sheetName val="3_현장배치7"/>
      <sheetName val="wage_Cal6"/>
      <sheetName val="plan&amp;section_of_foundation6"/>
      <sheetName val="운송비_및_보험료(991221)6"/>
      <sheetName val="co-no_26"/>
      <sheetName val="OTROS_MO6"/>
      <sheetName val="BILLING_SUMMARY6"/>
      <sheetName val="ring_wall_thickness6"/>
      <sheetName val="Customer_Databas5"/>
      <sheetName val="Piping_Data5"/>
      <sheetName val="Piping_Tables5"/>
      <sheetName val="Cost_Per_Unit6"/>
      <sheetName val="Billing_Curve6"/>
      <sheetName val="MH_RATE6"/>
      <sheetName val="INPUT_DATA_HERE6"/>
      <sheetName val="Pl_OP-others6"/>
      <sheetName val="External_Backlog4"/>
      <sheetName val="HORI__VESSEL4"/>
      <sheetName val="2_설계제원4"/>
      <sheetName val="roject\Budget_Files\Final\CIVI4"/>
      <sheetName val="Cash_Flow4"/>
      <sheetName val="Plate_Welding_Table4"/>
      <sheetName val="Inst_4"/>
      <sheetName val="2_of_24"/>
      <sheetName val="[Civil_xls][Civil_xls][Civil_x4"/>
      <sheetName val="[Civil_xls][Civil_xls]roject\B4"/>
      <sheetName val="[Civil_xls]roject\Budget_Files4"/>
      <sheetName val="Cost_Calc4"/>
      <sheetName val="EAST_TOWER4"/>
      <sheetName val="FORM_3A4"/>
      <sheetName val="Analisa_24"/>
      <sheetName val="Adimi_bldg4"/>
      <sheetName val="Pump_House4"/>
      <sheetName val="Fuel_Regu_Station4"/>
      <sheetName val="Summary_Sheets4"/>
      <sheetName val="tabulation_(comparison)4"/>
      <sheetName val="B1P2_Cover4"/>
      <sheetName val="Book_1_Summary4"/>
      <sheetName val="Warranties_Rate_Only4"/>
      <sheetName val="masonry_works4"/>
      <sheetName val="PH_54"/>
      <sheetName val="Financing_Schemes4"/>
      <sheetName val="_Model_A_costs4"/>
      <sheetName val="Model_B_costs4"/>
      <sheetName val="Model_C_costs4"/>
      <sheetName val="Main_Bldg_4"/>
      <sheetName val="PL_Plumbing4"/>
      <sheetName val="DD_EST_4"/>
      <sheetName val="Division_30004"/>
      <sheetName val="STAFFSCHED_4"/>
      <sheetName val="Analysis_Rate4"/>
      <sheetName val="Rate_Analysis4"/>
      <sheetName val="HOOK_UP_ITEM4"/>
      <sheetName val="PAGE_NO4"/>
      <sheetName val="PART_with_CODE4"/>
      <sheetName val="H2O_(air,_acid_gas)4"/>
      <sheetName val="ASME_B_36_10_M4"/>
      <sheetName val="Tbl_1y_44"/>
      <sheetName val="Graph_(LGEN)4"/>
      <sheetName val="선적schedule_(2)4"/>
      <sheetName val="Do_not_delete4"/>
      <sheetName val="Drop_Down_list4"/>
      <sheetName val="working_load_at_the_btm_ft_4"/>
      <sheetName val="design_load4"/>
      <sheetName val="BOM_00_(현지견적)3"/>
      <sheetName val="3BL공동구_수량2"/>
      <sheetName val="PROD_RATE2"/>
      <sheetName val="pump_flr2"/>
      <sheetName val="2_678M2"/>
      <sheetName val="firepro_-_bpo2"/>
      <sheetName val="Summary_WG2"/>
      <sheetName val="BOQ_2"/>
      <sheetName val="GEN_REQ2"/>
      <sheetName val="SD_and_START_UP2"/>
      <sheetName val="BR_-CHINA_BANK_22"/>
      <sheetName val="Hac_Lots2"/>
      <sheetName val="Res_Lots2"/>
      <sheetName val="SCV_P1A_-_Shared_Cost2"/>
      <sheetName val="[Civil_xls][Civil_xls]\2"/>
      <sheetName val="[Civil_xls]\2"/>
      <sheetName val="D_I1"/>
      <sheetName val="FACTORS_11"/>
      <sheetName val="[Civil_xls]roject_Budget_File_1"/>
      <sheetName val="[Civil_xls]_____C__Documents__1"/>
      <sheetName val="[Civil_xls][Civil_xls]_Civil__1"/>
      <sheetName val="[Civil_xls][Civil_xls]_Civil__8"/>
      <sheetName val="[Civil_xls][Civil_xls]roject__1"/>
      <sheetName val="[Civil_xls][Civil_xls]_____C__1"/>
      <sheetName val="[Civil_xls]roject_Budget_File_5"/>
      <sheetName val="[Civil_xls]_____C__Documents__5"/>
      <sheetName val="[Civil_xls][Civil_xls]_Civil__9"/>
      <sheetName val="[Civil_xls][Civil_xls]_Civil_10"/>
      <sheetName val="[Civil_xls][Civil_xls]roject__5"/>
      <sheetName val="[Civil_xls][Civil_xls]_____C__5"/>
      <sheetName val="[Civil_xls]roject_Budget_File_6"/>
      <sheetName val="[Civil_xls]_____C__Documents__6"/>
      <sheetName val="[Civil_xls][Civil_xls]_Civil_11"/>
      <sheetName val="[Civil_xls][Civil_xls]_Civil_12"/>
      <sheetName val="[Civil_xls][Civil_xls]roject__6"/>
      <sheetName val="[Civil_xls][Civil_xls]_____C__6"/>
      <sheetName val="간접비_총괄표1"/>
      <sheetName val="_ｹ-ﾌﾞﾙ1"/>
      <sheetName val="_ratings1"/>
      <sheetName val="BQ_Methanol"/>
      <sheetName val="March"/>
      <sheetName val="Holidays"/>
      <sheetName val="Dico"/>
      <sheetName val="(10) Other Costs5"/>
      <sheetName val="8.PILE  (돌출)"/>
      <sheetName val="날개벽수량표"/>
      <sheetName val="예산작성기준(전기)"/>
      <sheetName val="Eq. Mobilization"/>
      <sheetName val="10.Linkway"/>
      <sheetName val="11.Bus Shelter-Bay"/>
      <sheetName val="バルブ材質選定データ"/>
      <sheetName val="BALAN1"/>
      <sheetName val="Legal Risk Analysis"/>
      <sheetName val="PCDB"/>
      <sheetName val="Floor Level"/>
      <sheetName val="대비"/>
      <sheetName val="hauling"/>
      <sheetName val="TYPE-A"/>
      <sheetName val="costing_ESDV"/>
      <sheetName val="costing_MOV"/>
      <sheetName val="costing_Press"/>
      <sheetName val="GFA"/>
      <sheetName val="UPA-struc"/>
      <sheetName val="Bill3-Basement"/>
      <sheetName val="UTILITIES"/>
      <sheetName val="给排水工程量计算书"/>
      <sheetName val="프랜트면허"/>
      <sheetName val="PEDESB"/>
      <sheetName val="금융비용"/>
      <sheetName val="HARVEST02"/>
      <sheetName val="Plan"/>
      <sheetName val="Pengesahan int-R1"/>
      <sheetName val="BOQ of Dormitory2"/>
      <sheetName val="SBDYA"/>
      <sheetName val="Master 1.0"/>
      <sheetName val="SYMBOL"/>
      <sheetName val="15100"/>
      <sheetName val="O C I"/>
      <sheetName val="現調品関係(概略)"/>
      <sheetName val="Isolasi Luar Dalam"/>
      <sheetName val="Isolasi Luar"/>
      <sheetName val="Schdule(to HSE)"/>
      <sheetName val="Resume INTERNAL &amp; CEK WP7"/>
      <sheetName val="Dwg_List"/>
      <sheetName val="ACTIVITY"/>
      <sheetName val="UNIT 3"/>
      <sheetName val="TRNS-C1"/>
      <sheetName val="XZLC003_PART1"/>
      <sheetName val="NOV,00"/>
      <sheetName val="실행철강하도"/>
      <sheetName val="장비당단가 (1)"/>
      <sheetName val="Z"/>
      <sheetName val="단가"/>
      <sheetName val="prices"/>
      <sheetName val="CREDIT STATS"/>
      <sheetName val="DESC"/>
      <sheetName val="CS "/>
      <sheetName val="bid price schedule"/>
      <sheetName val="PRD투입장비계획"/>
      <sheetName val="_Civil.xls__Civil.xls_roject_Bu"/>
      <sheetName val="_Civil.xls__Civil.xls__"/>
      <sheetName val="_Civil.xls_roject_Budget Files_"/>
      <sheetName val="_Civil.xls__"/>
      <sheetName val="_àC__Documents_and_Settings_"/>
      <sheetName val="_Civil.xls_roject_Budget_File_2"/>
      <sheetName val="_Civil.xls______C__Documents__2"/>
      <sheetName val="_Civil.xls__Civil.xls__Civil__2"/>
      <sheetName val="_Civil.xls__Civil.xls__Civil__3"/>
      <sheetName val="_Civil.xls__Civil.xls_roject__2"/>
      <sheetName val="_Civil.xls__Civil.xls______C__2"/>
      <sheetName val="_Civil.xls_roject_Budget_File_3"/>
      <sheetName val="_Civil.xls___C__Documents_and_2"/>
      <sheetName val="D.Sub&amp;Base"/>
      <sheetName val="F-1.Bridge"/>
      <sheetName val="C.Earthwork"/>
      <sheetName val="B.General Requirements"/>
      <sheetName val="Assumption List"/>
      <sheetName val="Drainage &amp; Slope"/>
      <sheetName val="F-2.Pile"/>
      <sheetName val="E.Surface"/>
      <sheetName val="Mat"/>
      <sheetName val="Lab"/>
      <sheetName val="0.품의서(전체)"/>
      <sheetName val="전기"/>
      <sheetName val="general"/>
      <sheetName val="afis"/>
      <sheetName val="Structural Notes"/>
      <sheetName val="ﾄﾞﾊﾞｲFUEL GAS追見"/>
      <sheetName val="X17-TOTAL"/>
      <sheetName val="DEXEC"/>
      <sheetName val="RFP002"/>
      <sheetName val="입찰내역 발주처 양식"/>
      <sheetName val="Sheet2"/>
      <sheetName val="Bdown_ISBL"/>
      <sheetName val="HaulingLine hardware"/>
      <sheetName val="HaulingLine hardware (2)"/>
      <sheetName val="Account Summary"/>
      <sheetName val="EXTERNAL"/>
      <sheetName val="预算"/>
      <sheetName val="LIST1"/>
      <sheetName val="mat'ls"/>
      <sheetName val="Front Page"/>
      <sheetName val="Legend"/>
      <sheetName val="3"/>
      <sheetName val="7"/>
      <sheetName val="2"/>
      <sheetName val="5"/>
      <sheetName val="8"/>
      <sheetName val="6"/>
      <sheetName val="投标材料清单 "/>
      <sheetName val="面积合计（藏）"/>
      <sheetName val="TB"/>
      <sheetName val="\??à?C:\Documents and Settings\"/>
      <sheetName val="spandrel anchor covers"/>
      <sheetName val="Site Construction"/>
      <sheetName val="QS-03"/>
      <sheetName val="QS-04"/>
      <sheetName val="Bare (2)"/>
      <sheetName val="Bare "/>
      <sheetName val="Selling"/>
      <sheetName val="Ground Covers Schedule"/>
      <sheetName val="101(2)e"/>
      <sheetName val="101(2)f"/>
      <sheetName val="Stl-B"/>
      <sheetName val="derivation"/>
      <sheetName val="sch beam"/>
      <sheetName val="sch wlls"/>
      <sheetName val="derive"/>
      <sheetName val="BOQ-P"/>
      <sheetName val="inf"/>
      <sheetName val="SUMMARY_(2)2"/>
      <sheetName val="Bill_12"/>
      <sheetName val="Bill_2A2"/>
      <sheetName val="Bill_2B2"/>
      <sheetName val="Bill_2C2"/>
      <sheetName val="Bill_2C_12"/>
      <sheetName val="Bill_2D2"/>
      <sheetName val="Bill_2E2"/>
      <sheetName val="Bill_2F2"/>
      <sheetName val="SUNDRIES_-_2A2"/>
      <sheetName val="FINAL_NEGO2"/>
      <sheetName val="_Civil_xls__Civil_xls__Civil_x2"/>
      <sheetName val="SUMMARY_(2)1"/>
      <sheetName val="Bill_11"/>
      <sheetName val="Bill_2A1"/>
      <sheetName val="Bill_2B1"/>
      <sheetName val="Bill_2C1"/>
      <sheetName val="Bill_2C_11"/>
      <sheetName val="Bill_2D1"/>
      <sheetName val="Bill_2E1"/>
      <sheetName val="Bill_2F1"/>
      <sheetName val="SUNDRIES_-_2A1"/>
      <sheetName val="FINAL_NEGO1"/>
      <sheetName val="_Civil_xls__Civil_xls__Civil_x1"/>
      <sheetName val="PROD_RATE3"/>
      <sheetName val="pump_flr3"/>
      <sheetName val="SCV_P1A_-_Shared_Cost3"/>
      <sheetName val="firepro_-_bpo3"/>
      <sheetName val="GEN_REQ3"/>
      <sheetName val="SD_and_START_UP3"/>
      <sheetName val="BR_-CHINA_BANK_23"/>
      <sheetName val="Summary_WG3"/>
      <sheetName val="BOQ_3"/>
      <sheetName val="2_678M3"/>
      <sheetName val="Hac_Lots3"/>
      <sheetName val="Res_Lots3"/>
      <sheetName val="SUMMARY_(2)3"/>
      <sheetName val="Bill_13"/>
      <sheetName val="Bill_2A3"/>
      <sheetName val="Bill_2B3"/>
      <sheetName val="Bill_2C3"/>
      <sheetName val="Bill_2C_13"/>
      <sheetName val="Bill_2D3"/>
      <sheetName val="Bill_2E3"/>
      <sheetName val="Bill_2F3"/>
      <sheetName val="SUNDRIES_-_2A3"/>
      <sheetName val="roject_Budget_Files_Final_CIVI3"/>
      <sheetName val="FINAL_NEGO3"/>
      <sheetName val="_Civil_xls__Civil_xls__Civil_x3"/>
      <sheetName val="subcon_sched1"/>
      <sheetName val="방배동내역_(총괄)"/>
      <sheetName val="Summary_(overall)"/>
      <sheetName val="final prelims ebloc3 REV"/>
      <sheetName val="ref"/>
      <sheetName val="lookups"/>
      <sheetName val="structural"/>
      <sheetName val="D&amp;W"/>
      <sheetName val="CapitalMetrics"/>
      <sheetName val="Resource"/>
      <sheetName val="Project Brief"/>
      <sheetName val="FERTIL"/>
      <sheetName val="Ind"/>
      <sheetName val="TOSHIBA-Structure"/>
      <sheetName val="beam"/>
      <sheetName val="P&amp;L01-02GR"/>
      <sheetName val="lc 11"/>
      <sheetName val="lc 21"/>
      <sheetName val="loadcal"/>
      <sheetName val="Summary  "/>
      <sheetName val="Dec-18 (HSD)"/>
      <sheetName val="SEW4"/>
      <sheetName val="horizontal"/>
      <sheetName val="BHANDUP"/>
      <sheetName val="PROG_DATA"/>
      <sheetName val="beam-reinft"/>
      <sheetName val="LOCAL RATES"/>
      <sheetName val="Trade Summary"/>
      <sheetName val="Doc Pages (2)"/>
      <sheetName val="p.mgmt"/>
      <sheetName val="IMPEADENCE MAP 취수장"/>
      <sheetName val="SORCE1"/>
      <sheetName val="가시설단위수량"/>
      <sheetName val="단위수량"/>
      <sheetName val="N賃率-職"/>
      <sheetName val="Bang TH PHAN HT"/>
      <sheetName val="BC.THKK"/>
      <sheetName val="Sensitivities"/>
      <sheetName val="Sheet8"/>
      <sheetName val="주행"/>
      <sheetName val="IND MP"/>
      <sheetName val="제출계산서"/>
      <sheetName val="Sec10"/>
      <sheetName val="Ext.Boq-1"/>
      <sheetName val="SILICATE"/>
      <sheetName val="B.O.Q"/>
      <sheetName val="SLS"/>
      <sheetName val="BQ INSUL"/>
      <sheetName val="BQ PIPE"/>
      <sheetName val="CALENDAR ANNUAL"/>
      <sheetName val="Design Data"/>
      <sheetName val="Price Sheet TP AD"/>
      <sheetName val="Works"/>
      <sheetName val="KLHT"/>
      <sheetName val="050 Plat-equip."/>
      <sheetName val="090 Cladding"/>
      <sheetName val="109 Eng.hours-Detail"/>
      <sheetName val="SUMMARY SHEET INDIRECT (2)"/>
      <sheetName val="PBS"/>
      <sheetName val="调价系数"/>
      <sheetName val="RA"/>
      <sheetName val="rATE LIST"/>
      <sheetName val="Dist"/>
      <sheetName val="B.O.Q &amp; Material"/>
      <sheetName val="RateList"/>
      <sheetName val="본지점중"/>
      <sheetName val="Budget"/>
      <sheetName val="BS-Notes"/>
      <sheetName val="Total"/>
      <sheetName val="LTM"/>
      <sheetName val="DropZone"/>
      <sheetName val="اعمال محطات الرفع"/>
      <sheetName val="Daily Wages"/>
      <sheetName val="Valves Breakdown"/>
      <sheetName val="Plant &amp; Equipment"/>
      <sheetName val="HDPE MANHOLE"/>
      <sheetName val="Dimension"/>
      <sheetName val="Buried Valves"/>
      <sheetName val="Well Point System"/>
      <sheetName val="Breakdown analysis"/>
      <sheetName val="بالوعة صرف الامطار"/>
      <sheetName val="مطبق مربع2(8.5-10.5)"/>
      <sheetName val="مطبق مربع2(7.5-8.5)"/>
      <sheetName val="مطبق مربع2(6.5-7.5)"/>
      <sheetName val="مطبق مربع2(5.5-6.5)"/>
      <sheetName val="مطبق مربع2(4.5-5.5)"/>
      <sheetName val="مطبق مربع2(3.5-4.5)"/>
      <sheetName val="مطبق مربع2(2.5-3.5)"/>
      <sheetName val="مطبق مربع2(1.5-2.5)"/>
      <sheetName val="مطبق مربع1.75(8.5-10.5)"/>
      <sheetName val="مطبق مربع1.75(6.5-7.5)"/>
      <sheetName val="مطبق مربع1.75(5.5-6.5)"/>
      <sheetName val="مطبق مربع1.75(4.5-5.5)"/>
      <sheetName val="مطبق مربع1.75(3.5-4.5)"/>
      <sheetName val="مطبق مربع1.75(2.5-3.5)"/>
      <sheetName val="مطبق مربع1.75(1.5-2.5)"/>
      <sheetName val="مطبق مربع1.5(3.5-4.5)"/>
      <sheetName val="مطبق مربع1.5(2.5-3.5)"/>
      <sheetName val="مطبق دائرى 5.5-6.5"/>
      <sheetName val="مطبق دائرى 4.5-5.5"/>
      <sheetName val="مطبق دائرى 3.5-4.5"/>
      <sheetName val="مطبق دائرى 2.5-3.5"/>
      <sheetName val="مطبق دائرى 1.5-2.5"/>
      <sheetName val="حصر قطع الاتصال"/>
      <sheetName val=" شبكة مياه الصرف الصحي"/>
      <sheetName val="حصرالمطابق (2)"/>
      <sheetName val="حصرالمطابق"/>
      <sheetName val="مطبق دائرى 1.5"/>
      <sheetName val="Storm D 1500 H 3.5 TANK"/>
      <sheetName val="Storm D 1500 H 2.5"/>
      <sheetName val="Storm D 1500 H 3.5"/>
      <sheetName val="Storm 1000mm 16kn upto 3.5m"/>
      <sheetName val="Storm 900mm 16kn upto 3.5m"/>
      <sheetName val="Storm 800mm 16kn upto 3.5m"/>
      <sheetName val="Storm 700mm 16kn upto 3.5m"/>
      <sheetName val="Storm 700mm 8kn upto 2.5m"/>
      <sheetName val="D 1500 H 4.5 Drop"/>
      <sheetName val="D 1500 H 4.5"/>
      <sheetName val="D 1200 H 3.5 Drop"/>
      <sheetName val="D 1200 H 3.5"/>
      <sheetName val="D 1200 H 2.5 Drop"/>
      <sheetName val="D 1200 H 2.5"/>
      <sheetName val="D 1200 H 1.5"/>
      <sheetName val="D 600 H 0.6"/>
      <sheetName val="500mm upto 4.5m"/>
      <sheetName val="500mm upto 3.5m"/>
      <sheetName val="300mm upto 4.5m"/>
      <sheetName val="300mm upto 3.5m"/>
      <sheetName val="300mm upto 2.5m"/>
      <sheetName val="250mm upto 4.5m"/>
      <sheetName val="250mm upto 3.5m"/>
      <sheetName val="250mm upto 2.5m"/>
      <sheetName val="250mm upto 1.5m"/>
      <sheetName val="200mm upto 4.5m"/>
      <sheetName val="200mm upto 3.5m"/>
      <sheetName val="200mm upto 2.5m"/>
      <sheetName val="180mm upto 1.0m"/>
      <sheetName val="200mm upto 1.5m"/>
      <sheetName val="Test Block"/>
      <sheetName val="Thrust Blocks"/>
      <sheetName val="Manhole"/>
      <sheetName val="New Equipment"/>
      <sheetName val="Productive Labors"/>
      <sheetName val="Unit Cost"/>
      <sheetName val="XREF"/>
      <sheetName val="rc01"/>
      <sheetName val="Invoice-1"/>
      <sheetName val="268"/>
      <sheetName val="566"/>
      <sheetName val="577_1"/>
      <sheetName val="577_2"/>
      <sheetName val="577_3"/>
      <sheetName val="577_4"/>
      <sheetName val="577_5"/>
      <sheetName val="603_A"/>
      <sheetName val="603_B1"/>
      <sheetName val="603_B2"/>
      <sheetName val="603_B3"/>
      <sheetName val="603_C"/>
      <sheetName val="610"/>
      <sheetName val="IPO Model"/>
      <sheetName val="Internal Proj"/>
      <sheetName val="Other Proj"/>
      <sheetName val="Assumption"/>
      <sheetName val="집계표(OPTION)"/>
      <sheetName val="대비표"/>
      <sheetName val="DATA for Bill"/>
      <sheetName val="견적환율"/>
      <sheetName val="Cost_Sum10"/>
      <sheetName val="General_Notes10"/>
      <sheetName val="EF___AC10"/>
      <sheetName val="INDIRECT_COST-PART_l9"/>
      <sheetName val="Total_Summary10"/>
      <sheetName val="Deluge_System10"/>
      <sheetName val="Large_Bore_Star_Rate10"/>
      <sheetName val="Small_Bore_Star_Rate10"/>
      <sheetName val="Summary_1FA_1GA10"/>
      <sheetName val="TOTAL_SUMMARY_(2)10"/>
      <sheetName val="Engg_410"/>
      <sheetName val="Engg_310"/>
      <sheetName val="Engg_210"/>
      <sheetName val="Engg_110"/>
      <sheetName val="Equip_Install10"/>
      <sheetName val="DS_Detl10"/>
      <sheetName val="DS_Breakdown10"/>
      <sheetName val="Furnace_Tube_Welding10"/>
      <sheetName val="Furnace_Installation10"/>
      <sheetName val="OCT_FDN9"/>
      <sheetName val="BS_final9"/>
      <sheetName val="MP_MOB9"/>
      <sheetName val="Boiler_Norms9"/>
      <sheetName val="공사비_내역_(가)8"/>
      <sheetName val="Code_029"/>
      <sheetName val="Code_039"/>
      <sheetName val="Code_049"/>
      <sheetName val="Code_059"/>
      <sheetName val="Code_069"/>
      <sheetName val="Code_079"/>
      <sheetName val="Code_099"/>
      <sheetName val="242-3_summaryOPC9"/>
      <sheetName val="Elec_Codes9"/>
      <sheetName val="ITB_COST8"/>
      <sheetName val="HRSG_PRINT9"/>
      <sheetName val="GP_BOX7"/>
      <sheetName val="HRSG_-_Summary7"/>
      <sheetName val="Area_Lookup7"/>
      <sheetName val="SYSTEM_945_Air&amp;Nitrogen9"/>
      <sheetName val="Stability_Check9"/>
      <sheetName val="Plant_Areas9"/>
      <sheetName val="Item_Codes9"/>
      <sheetName val="Break_Down9"/>
      <sheetName val="Data_-_Codes9"/>
      <sheetName val="Schedule_S-Curve_Revision#39"/>
      <sheetName val="4300_UTILITY_BLDG_(2)9"/>
      <sheetName val="Final_Summary9"/>
      <sheetName val="Generic_Type_1-29"/>
      <sheetName val="Sch_69"/>
      <sheetName val="Main_Works9"/>
      <sheetName val="Process_Piping8"/>
      <sheetName val="_Summary8"/>
      <sheetName val="3_현장배치8"/>
      <sheetName val="wage_Cal7"/>
      <sheetName val="plan&amp;section_of_foundation7"/>
      <sheetName val="운송비_및_보험료(991221)7"/>
      <sheetName val="co-no_27"/>
      <sheetName val="OTROS_MO7"/>
      <sheetName val="BILLING_SUMMARY7"/>
      <sheetName val="ring_wall_thickness7"/>
      <sheetName val="Customer_Databas6"/>
      <sheetName val="Piping_Data6"/>
      <sheetName val="Piping_Tables6"/>
      <sheetName val="Cost_Per_Unit7"/>
      <sheetName val="Billing_Curve7"/>
      <sheetName val="MH_RATE7"/>
      <sheetName val="INPUT_DATA_HERE7"/>
      <sheetName val="Pl_OP-others7"/>
      <sheetName val="External_Backlog5"/>
      <sheetName val="HORI__VESSEL5"/>
      <sheetName val="2_설계제원5"/>
      <sheetName val="roject\Budget_Files\Final\CIVI5"/>
      <sheetName val="Cash_Flow5"/>
      <sheetName val="Plate_Welding_Table5"/>
      <sheetName val="Inst_5"/>
      <sheetName val="2_of_25"/>
      <sheetName val="[Civil_xls][Civil_xls][Civil_x5"/>
      <sheetName val="[Civil_xls][Civil_xls]roject\B5"/>
      <sheetName val="[Civil_xls]roject\Budget_Files5"/>
      <sheetName val="Cost_Calc5"/>
      <sheetName val="EAST_TOWER5"/>
      <sheetName val="FORM_3A5"/>
      <sheetName val="Analisa_25"/>
      <sheetName val="Adimi_bldg5"/>
      <sheetName val="Pump_House5"/>
      <sheetName val="Fuel_Regu_Station5"/>
      <sheetName val="Summary_Sheets5"/>
      <sheetName val="tabulation_(comparison)5"/>
      <sheetName val="B1P2_Cover5"/>
      <sheetName val="Book_1_Summary5"/>
      <sheetName val="Warranties_Rate_Only5"/>
      <sheetName val="masonry_works5"/>
      <sheetName val="PH_55"/>
      <sheetName val="Financing_Schemes5"/>
      <sheetName val="_Model_A_costs5"/>
      <sheetName val="Model_B_costs5"/>
      <sheetName val="Model_C_costs5"/>
      <sheetName val="Main_Bldg_5"/>
      <sheetName val="PL_Plumbing5"/>
      <sheetName val="DD_EST_5"/>
      <sheetName val="Division_30005"/>
      <sheetName val="STAFFSCHED_5"/>
      <sheetName val="Analysis_Rate5"/>
      <sheetName val="Rate_Analysis5"/>
      <sheetName val="HOOK_UP_ITEM5"/>
      <sheetName val="PAGE_NO5"/>
      <sheetName val="PART_with_CODE5"/>
      <sheetName val="H2O_(air,_acid_gas)5"/>
      <sheetName val="ASME_B_36_10_M5"/>
      <sheetName val="Tbl_1y_45"/>
      <sheetName val="Graph_(LGEN)5"/>
      <sheetName val="선적schedule_(2)5"/>
      <sheetName val="Do_not_delete5"/>
      <sheetName val="Drop_Down_list5"/>
      <sheetName val="working_load_at_the_btm_ft_5"/>
      <sheetName val="design_load5"/>
      <sheetName val="BOM_00_(현지견적)4"/>
      <sheetName val="Breakdown_Instrument3"/>
      <sheetName val="GPP2(3_of_3)3"/>
      <sheetName val="GPP2(2_of_3)3"/>
      <sheetName val="Core_calculations3"/>
      <sheetName val="203_Eqpt_r13"/>
      <sheetName val="3BL공동구_수량3"/>
      <sheetName val="Bill_of_Qty_MEP3"/>
      <sheetName val="Tabel_Ohm_LV3"/>
      <sheetName val="CAL_3"/>
      <sheetName val="Masterfile_3"/>
      <sheetName val="Termination_Manpower3"/>
      <sheetName val="YH-Attendance_3"/>
      <sheetName val="Codes,___3"/>
      <sheetName val="INNER_TANK3"/>
      <sheetName val="VOWD_Basis3"/>
      <sheetName val="[Civil_xls][Civil_xls]\3"/>
      <sheetName val="[Civil_xls]\3"/>
      <sheetName val="D_I2"/>
      <sheetName val="FACTORS_12"/>
      <sheetName val="[Civil_xls]roject_Budget_File_7"/>
      <sheetName val="[Civil_xls]_____C__Documents__7"/>
      <sheetName val="[Civil_xls][Civil_xls]_Civil_13"/>
      <sheetName val="[Civil_xls][Civil_xls]_Civil_14"/>
      <sheetName val="[Civil_xls][Civil_xls]roject__7"/>
      <sheetName val="[Civil_xls][Civil_xls]_____C__7"/>
      <sheetName val="[Civil_xls]roject_Budget_File_8"/>
      <sheetName val="[Civil_xls]_____C__Documents__8"/>
      <sheetName val="[Civil_xls][Civil_xls]_Civil_15"/>
      <sheetName val="[Civil_xls][Civil_xls]_Civil_16"/>
      <sheetName val="[Civil_xls][Civil_xls]roject__8"/>
      <sheetName val="[Civil_xls][Civil_xls]_____C__8"/>
      <sheetName val="[Civil_xls]roject_Budget_File_9"/>
      <sheetName val="[Civil_xls]_____C__Documents__9"/>
      <sheetName val="[Civil_xls][Civil_xls]_Civil_17"/>
      <sheetName val="[Civil_xls][Civil_xls]_Civil_18"/>
      <sheetName val="[Civil_xls][Civil_xls]roject__9"/>
      <sheetName val="[Civil_xls][Civil_xls]_____C__9"/>
      <sheetName val="간접비_총괄표2"/>
      <sheetName val="_ｹ-ﾌﾞﾙ2"/>
      <sheetName val="_ratings2"/>
      <sheetName val="Bill_3_-Piling3"/>
      <sheetName val="Bill_8_FS-A3"/>
      <sheetName val="vlookup_-_do_not_print1"/>
      <sheetName val="_Preliminaries1"/>
      <sheetName val="TOWER_3&amp;41"/>
      <sheetName val="ltg_(3)1"/>
      <sheetName val="PA_BGM1"/>
      <sheetName val="Manpower_costs_+_data1"/>
      <sheetName val="Labor_Rate1"/>
      <sheetName val="Land_Dev't__Ph-11"/>
      <sheetName val="SITE_DEV,T1"/>
      <sheetName val="FINANCIAL_(FLR)1"/>
      <sheetName val="Ind_MP_Sch_1"/>
      <sheetName val="Material_Price1"/>
      <sheetName val="Navigation_Page1"/>
      <sheetName val="0200_Siteworks1"/>
      <sheetName val="bar_chart-rev1"/>
      <sheetName val="Bill_3_-BPO11"/>
      <sheetName val="Bill_3_-BPO21"/>
      <sheetName val="Schedule_S-Curve_(new_scheme)1"/>
      <sheetName val="Bill_2_-RETAIL1"/>
      <sheetName val="UPG_BEAM1"/>
      <sheetName val="COST-EST_LTI_P5C1"/>
      <sheetName val="FORM_X_COST1"/>
      <sheetName val="RISK_ASSESSMENT"/>
      <sheetName val="W_NO"/>
      <sheetName val="Piping_Design_Data"/>
      <sheetName val="[Civil_xls]roject_Budget_File10"/>
      <sheetName val="[Civil_xls]_____C__Documents_10"/>
      <sheetName val="[Civil_xls][Civil_xls]_Civil_19"/>
      <sheetName val="[Civil_xls][Civil_xls]_Civil_20"/>
      <sheetName val="[Civil_xls][Civil_xls]roject_10"/>
      <sheetName val="[Civil_xls][Civil_xls]_____C_10"/>
      <sheetName val="[Civil_xls][Civil_xls]_Civil_21"/>
      <sheetName val="[Civil_xls]roject_Budget_File11"/>
      <sheetName val="[Civil_xls]_____C__Documents_11"/>
      <sheetName val="[Civil_xls][Civil_xls]_Civil_22"/>
      <sheetName val="[Civil_xls][Civil_xls]_Civil_23"/>
      <sheetName val="[Civil_xls][Civil_xls]roject_11"/>
      <sheetName val="[Civil_xls][Civil_xls]_____C_11"/>
      <sheetName val="[Civil_xls]roject_Budget_File12"/>
      <sheetName val="[Civil_xls]__C__Documents_and_2"/>
      <sheetName val="[Civil_xls][Civil_xls]_Civil_24"/>
      <sheetName val="[Civil_xls]roject_Budget_File13"/>
      <sheetName val="[Civil_xls]_____C__Documents_12"/>
      <sheetName val="[Civil_xls][Civil_xls]_Civil_25"/>
      <sheetName val="[Civil_xls][Civil_xls]_Civil_26"/>
      <sheetName val="[Civil_xls][Civil_xls]roject_12"/>
      <sheetName val="[Civil_xls][Civil_xls]_____C_12"/>
      <sheetName val="[Civil_xls][Civil_xls]_Civil_27"/>
      <sheetName val="[Civil_xls]roject_Budget_File14"/>
      <sheetName val="[Civil_xls]__C__Documents_and_3"/>
      <sheetName val="QMS_F301-02"/>
      <sheetName val="2ND_PAYMENT"/>
      <sheetName val="1ST_PAYMENT"/>
      <sheetName val="RP_Mar"/>
      <sheetName val="F_I(BYPASS)"/>
      <sheetName val="L_I(TUBU)"/>
      <sheetName val="P_I(BOU)"/>
      <sheetName val="P_I(DIA)"/>
      <sheetName val="Cost_Sum11"/>
      <sheetName val="General_Notes11"/>
      <sheetName val="EF___AC11"/>
      <sheetName val="INDIRECT_COST-PART_l10"/>
      <sheetName val="Total_Summary11"/>
      <sheetName val="Deluge_System11"/>
      <sheetName val="Large_Bore_Star_Rate11"/>
      <sheetName val="Small_Bore_Star_Rate11"/>
      <sheetName val="Summary_1FA_1GA11"/>
      <sheetName val="TOTAL_SUMMARY_(2)11"/>
      <sheetName val="Engg_411"/>
      <sheetName val="Engg_311"/>
      <sheetName val="Engg_211"/>
      <sheetName val="Engg_111"/>
      <sheetName val="Equip_Install11"/>
      <sheetName val="DS_Detl11"/>
      <sheetName val="DS_Breakdown11"/>
      <sheetName val="Furnace_Tube_Welding11"/>
      <sheetName val="Furnace_Installation11"/>
      <sheetName val="OCT_FDN10"/>
      <sheetName val="BS_final10"/>
      <sheetName val="MP_MOB10"/>
      <sheetName val="Boiler_Norms10"/>
      <sheetName val="공사비_내역_(가)9"/>
      <sheetName val="Code_0210"/>
      <sheetName val="Code_0310"/>
      <sheetName val="Code_0410"/>
      <sheetName val="Code_0510"/>
      <sheetName val="Code_0610"/>
      <sheetName val="Code_0710"/>
      <sheetName val="Code_0910"/>
      <sheetName val="242-3_summaryOPC10"/>
      <sheetName val="Elec_Codes10"/>
      <sheetName val="ITB_COST9"/>
      <sheetName val="HRSG_PRINT10"/>
      <sheetName val="GP_BOX8"/>
      <sheetName val="HRSG_-_Summary8"/>
      <sheetName val="Area_Lookup8"/>
      <sheetName val="SYSTEM_945_Air&amp;Nitrogen10"/>
      <sheetName val="Stability_Check10"/>
      <sheetName val="Plant_Areas10"/>
      <sheetName val="Item_Codes10"/>
      <sheetName val="Break_Down10"/>
      <sheetName val="Data_-_Codes10"/>
      <sheetName val="Schedule_S-Curve_Revision#310"/>
      <sheetName val="4300_UTILITY_BLDG_(2)10"/>
      <sheetName val="Final_Summary10"/>
      <sheetName val="Generic_Type_1-210"/>
      <sheetName val="Sch_610"/>
      <sheetName val="Main_Works10"/>
      <sheetName val="Process_Piping9"/>
      <sheetName val="_Summary9"/>
      <sheetName val="3_현장배치9"/>
      <sheetName val="wage_Cal8"/>
      <sheetName val="plan&amp;section_of_foundation8"/>
      <sheetName val="운송비_및_보험료(991221)8"/>
      <sheetName val="co-no_28"/>
      <sheetName val="OTROS_MO8"/>
      <sheetName val="BILLING_SUMMARY8"/>
      <sheetName val="ring_wall_thickness8"/>
      <sheetName val="Customer_Databas7"/>
      <sheetName val="Piping_Data7"/>
      <sheetName val="Piping_Tables7"/>
      <sheetName val="Cost_Per_Unit8"/>
      <sheetName val="Billing_Curve8"/>
      <sheetName val="MH_RATE8"/>
      <sheetName val="INPUT_DATA_HERE8"/>
      <sheetName val="Pl_OP-others8"/>
      <sheetName val="External_Backlog6"/>
      <sheetName val="HORI__VESSEL6"/>
      <sheetName val="2_설계제원6"/>
      <sheetName val="roject\Budget_Files\Final\CIVI6"/>
      <sheetName val="Cash_Flow6"/>
      <sheetName val="Plate_Welding_Table6"/>
      <sheetName val="Inst_6"/>
      <sheetName val="2_of_26"/>
      <sheetName val="[Civil_xls][Civil_xls][Civil_x6"/>
      <sheetName val="[Civil_xls][Civil_xls]roject\B6"/>
      <sheetName val="[Civil_xls]roject\Budget_Files6"/>
      <sheetName val="Cost_Calc6"/>
      <sheetName val="EAST_TOWER6"/>
      <sheetName val="FORM_3A6"/>
      <sheetName val="Analisa_26"/>
      <sheetName val="Adimi_bldg6"/>
      <sheetName val="Pump_House6"/>
      <sheetName val="Fuel_Regu_Station6"/>
      <sheetName val="Summary_Sheets6"/>
      <sheetName val="tabulation_(comparison)6"/>
      <sheetName val="B1P2_Cover6"/>
      <sheetName val="Book_1_Summary6"/>
      <sheetName val="Warranties_Rate_Only6"/>
      <sheetName val="masonry_works6"/>
      <sheetName val="PH_56"/>
      <sheetName val="Financing_Schemes6"/>
      <sheetName val="_Model_A_costs6"/>
      <sheetName val="Model_B_costs6"/>
      <sheetName val="Model_C_costs6"/>
      <sheetName val="Main_Bldg_6"/>
      <sheetName val="PL_Plumbing6"/>
      <sheetName val="DD_EST_6"/>
      <sheetName val="Division_30006"/>
      <sheetName val="STAFFSCHED_6"/>
      <sheetName val="Analysis_Rate6"/>
      <sheetName val="Rate_Analysis6"/>
      <sheetName val="HOOK_UP_ITEM6"/>
      <sheetName val="PAGE_NO6"/>
      <sheetName val="PART_with_CODE6"/>
      <sheetName val="H2O_(air,_acid_gas)6"/>
      <sheetName val="ASME_B_36_10_M6"/>
      <sheetName val="Tbl_1y_46"/>
      <sheetName val="Graph_(LGEN)6"/>
      <sheetName val="선적schedule_(2)6"/>
      <sheetName val="Do_not_delete6"/>
      <sheetName val="Drop_Down_list6"/>
      <sheetName val="working_load_at_the_btm_ft_6"/>
      <sheetName val="design_load6"/>
      <sheetName val="BOM_00_(현지견적)5"/>
      <sheetName val="Breakdown_Instrument4"/>
      <sheetName val="GPP2(3_of_3)4"/>
      <sheetName val="GPP2(2_of_3)4"/>
      <sheetName val="Core_calculations4"/>
      <sheetName val="203_Eqpt_r14"/>
      <sheetName val="3BL공동구_수량4"/>
      <sheetName val="PROD_RATE4"/>
      <sheetName val="pump_flr4"/>
      <sheetName val="2_678M4"/>
      <sheetName val="firepro_-_bpo4"/>
      <sheetName val="Summary_WG4"/>
      <sheetName val="BOQ_4"/>
      <sheetName val="GEN_REQ4"/>
      <sheetName val="SD_and_START_UP4"/>
      <sheetName val="BR_-CHINA_BANK_24"/>
      <sheetName val="Hac_Lots4"/>
      <sheetName val="Res_Lots4"/>
      <sheetName val="SCV_P1A_-_Shared_Cost4"/>
      <sheetName val="Bill_of_Qty_MEP4"/>
      <sheetName val="Tabel_Ohm_LV4"/>
      <sheetName val="CAL_4"/>
      <sheetName val="Masterfile_4"/>
      <sheetName val="Termination_Manpower4"/>
      <sheetName val="YH-Attendance_4"/>
      <sheetName val="Codes,___4"/>
      <sheetName val="INNER_TANK4"/>
      <sheetName val="VOWD_Basis4"/>
      <sheetName val="[Civil_xls][Civil_xls]\4"/>
      <sheetName val="[Civil_xls]\4"/>
      <sheetName val="roject_Budget_Files_Final_CIVI4"/>
      <sheetName val="D_I3"/>
      <sheetName val="FACTORS_13"/>
      <sheetName val="[Civil_xls]roject_Budget_File15"/>
      <sheetName val="[Civil_xls]_____C__Documents_13"/>
      <sheetName val="[Civil_xls][Civil_xls]_Civil_28"/>
      <sheetName val="[Civil_xls][Civil_xls]_Civil_29"/>
      <sheetName val="[Civil_xls][Civil_xls]roject_13"/>
      <sheetName val="[Civil_xls][Civil_xls]_____C_13"/>
      <sheetName val="[Civil_xls]roject_Budget_File16"/>
      <sheetName val="[Civil_xls]_____C__Documents_14"/>
      <sheetName val="[Civil_xls][Civil_xls]_Civil_30"/>
      <sheetName val="[Civil_xls][Civil_xls]_Civil_31"/>
      <sheetName val="[Civil_xls][Civil_xls]roject_14"/>
      <sheetName val="[Civil_xls][Civil_xls]_____C_14"/>
      <sheetName val="[Civil_xls]roject_Budget_File17"/>
      <sheetName val="[Civil_xls]_____C__Documents_15"/>
      <sheetName val="[Civil_xls][Civil_xls]_Civil_32"/>
      <sheetName val="[Civil_xls][Civil_xls]_Civil_33"/>
      <sheetName val="[Civil_xls][Civil_xls]roject_15"/>
      <sheetName val="[Civil_xls][Civil_xls]_____C_15"/>
      <sheetName val="간접비_총괄표3"/>
      <sheetName val="_ｹ-ﾌﾞﾙ3"/>
      <sheetName val="_ratings3"/>
      <sheetName val="Bill_3_-Piling4"/>
      <sheetName val="Bill_8_FS-A4"/>
      <sheetName val="vlookup_-_do_not_print2"/>
      <sheetName val="_Preliminaries2"/>
      <sheetName val="TOWER_3&amp;42"/>
      <sheetName val="ltg_(3)2"/>
      <sheetName val="PA_BGM2"/>
      <sheetName val="Manpower_costs_+_data2"/>
      <sheetName val="Labor_Rate2"/>
      <sheetName val="Land_Dev't__Ph-12"/>
      <sheetName val="subcon_sched2"/>
      <sheetName val="SITE_DEV,T2"/>
      <sheetName val="FINANCIAL_(FLR)2"/>
      <sheetName val="Ind_MP_Sch_2"/>
      <sheetName val="Material_Price2"/>
      <sheetName val="Navigation_Page2"/>
      <sheetName val="0200_Siteworks2"/>
      <sheetName val="bar_chart-rev2"/>
      <sheetName val="Bill_3_-BPO12"/>
      <sheetName val="Bill_3_-BPO22"/>
      <sheetName val="Schedule_S-Curve_(new_scheme)2"/>
      <sheetName val="Bill_2_-RETAIL2"/>
      <sheetName val="UPG_BEAM2"/>
      <sheetName val="COST-EST_LTI_P5C2"/>
      <sheetName val="FORM_X_COST2"/>
      <sheetName val="방배동내역_(총괄)1"/>
      <sheetName val="Summary_(overall)1"/>
      <sheetName val="RISK_ASSESSMENT1"/>
      <sheetName val="W_NO1"/>
      <sheetName val="Piping_Design_Data1"/>
      <sheetName val="[Civil_xls]roject_Budget_File18"/>
      <sheetName val="[Civil_xls]_____C__Documents_16"/>
      <sheetName val="[Civil_xls][Civil_xls]_Civil_34"/>
      <sheetName val="[Civil_xls][Civil_xls]_Civil_35"/>
      <sheetName val="[Civil_xls][Civil_xls]roject_16"/>
      <sheetName val="[Civil_xls][Civil_xls]_____C_16"/>
      <sheetName val="[Civil_xls][Civil_xls]_Civil_36"/>
      <sheetName val="[Civil_xls]roject_Budget_File19"/>
      <sheetName val="[Civil_xls]_____C__Documents_17"/>
      <sheetName val="[Civil_xls][Civil_xls]_Civil_37"/>
      <sheetName val="[Civil_xls][Civil_xls]_Civil_38"/>
      <sheetName val="[Civil_xls][Civil_xls]roject_17"/>
      <sheetName val="[Civil_xls][Civil_xls]_____C_17"/>
      <sheetName val="[Civil_xls]roject_Budget_File20"/>
      <sheetName val="[Civil_xls]__C__Documents_and_1"/>
      <sheetName val="[Civil_xls][Civil_xls]_Civil_39"/>
      <sheetName val="[Civil_xls]roject_Budget_File21"/>
      <sheetName val="[Civil_xls]_____C__Documents_18"/>
      <sheetName val="[Civil_xls][Civil_xls]_Civil_40"/>
      <sheetName val="[Civil_xls][Civil_xls]_Civil_41"/>
      <sheetName val="[Civil_xls][Civil_xls]roject_18"/>
      <sheetName val="[Civil_xls][Civil_xls]_____C_18"/>
      <sheetName val="[Civil_xls][Civil_xls]_Civil_42"/>
      <sheetName val="[Civil_xls]roject_Budget_File22"/>
      <sheetName val="[Civil_xls]__C__Documents_and_4"/>
      <sheetName val="QMS_F301-021"/>
      <sheetName val="2ND_PAYMENT1"/>
      <sheetName val="1ST_PAYMENT1"/>
      <sheetName val="RP_Mar1"/>
      <sheetName val="F_I(BYPASS)1"/>
      <sheetName val="L_I(TUBU)1"/>
      <sheetName val="P_I(BOU)1"/>
      <sheetName val="P_I(DIA)1"/>
      <sheetName val="NEW-PANEL"/>
      <sheetName val="REQDELTA"/>
      <sheetName val="splinkler"/>
      <sheetName val="H.Satuan"/>
      <sheetName val="Foglio dati"/>
      <sheetName val="HRIS"/>
      <sheetName val="Bill summary of cost"/>
      <sheetName val="Detail"/>
      <sheetName val="품셈TABLE"/>
      <sheetName val="평3"/>
      <sheetName val="Indices"/>
      <sheetName val="___à_C__Documents and Settings_"/>
      <sheetName val="_Civil_xls__Civil_xls_roject_Bu"/>
      <sheetName val="_Civil_xls__Civil_xls__àC__D"/>
      <sheetName val="_Civil_xls_roject_Budget_Files_"/>
      <sheetName val="_Civil_xls__àC__Documents_an"/>
      <sheetName val="_Civil.xls_roject_Budget_File_4"/>
      <sheetName val="_Civil.xls______C__Documents__3"/>
      <sheetName val="_Civil.xls__Civil.xls__Civil__4"/>
      <sheetName val="_Civil.xls__Civil.xls__Civil__5"/>
      <sheetName val="_Civil.xls__Civil.xls_roject__3"/>
      <sheetName val="_Civil.xls__Civil.xls______C__3"/>
      <sheetName val="_Civil.xls_roject_Budget_File_5"/>
      <sheetName val="_Civil.xls___C__Documents_and_3"/>
      <sheetName val="_Civil.xls__Civil.xls__Civil__6"/>
      <sheetName val="_Civil.xls_roject_Budget_File_8"/>
      <sheetName val="_Civil.xls______C__Documents__5"/>
      <sheetName val="_Civil.xls__Civil.xls__Civil_10"/>
      <sheetName val="_Civil.xls__Civil.xls__Civil_11"/>
      <sheetName val="_Civil.xls__Civil.xls_roject__5"/>
      <sheetName val="_Civil.xls__Civil.xls______C__5"/>
      <sheetName val="_Civil.xls_roject_Budget_File_9"/>
      <sheetName val="_Civil.xls___C__Documents_and_5"/>
      <sheetName val="_Civil.xls__Civil.xls__Civil_12"/>
      <sheetName val="_Civil.xls_roject_Budget_File_6"/>
      <sheetName val="_Civil.xls______C__Documents__4"/>
      <sheetName val="_Civil.xls__Civil.xls__Civil__7"/>
      <sheetName val="_Civil.xls__Civil.xls__Civil__8"/>
      <sheetName val="_Civil.xls__Civil.xls_roject__4"/>
      <sheetName val="_Civil.xls__Civil.xls______C__4"/>
      <sheetName val="_Civil.xls_roject_Budget_File_7"/>
      <sheetName val="_Civil.xls___C__Documents_and_4"/>
      <sheetName val="_Civil.xls__Civil.xls__Civil__9"/>
      <sheetName val="SHOP"/>
      <sheetName val="WEIGHT"/>
      <sheetName val="D &amp; W sizes"/>
      <sheetName val="_àC__Docum"/>
      <sheetName val="elevation"/>
      <sheetName val="100"/>
      <sheetName val="104(1)a"/>
      <sheetName val="Disc breakdown"/>
      <sheetName val="Fire Pro"/>
      <sheetName val="condominium"/>
      <sheetName val="revised#1"/>
      <sheetName val="sc PhI ok"/>
      <sheetName val="IBS"/>
      <sheetName val="(10)_Other_Costs5"/>
      <sheetName val="8_PILE__(돌출)"/>
      <sheetName val="Eq__Mobilization"/>
      <sheetName val="10_Linkway"/>
      <sheetName val="11_Bus_Shelter-Bay"/>
      <sheetName val="Legal_Risk_Analysis"/>
      <sheetName val="Floor_Level"/>
      <sheetName val="CREDIT_STATS"/>
      <sheetName val="CS_"/>
      <sheetName val="Structural_Notes"/>
      <sheetName val="\??à?C:\Documents_and_Settings\"/>
      <sheetName val="bid_price_schedule"/>
      <sheetName val="장비당단가_(1)"/>
      <sheetName val="0_품의서(전체)"/>
      <sheetName val="spandrel_anchor_covers"/>
      <sheetName val="投标材料清单_"/>
      <sheetName val="Site_Construction"/>
      <sheetName val="Bare_(2)"/>
      <sheetName val="Bare_"/>
      <sheetName val="final_prelims_ebloc3_REV"/>
      <sheetName val="8-31-98"/>
      <sheetName val="plumbing"/>
      <sheetName val="conditions"/>
      <sheetName val="openings"/>
      <sheetName val="Lookup Table"/>
      <sheetName val="Rev1.5est082597"/>
      <sheetName val="FINAL_NEGO4"/>
      <sheetName val="SUMMARY_(2)4"/>
      <sheetName val="Bill_14"/>
      <sheetName val="Bill_2A4"/>
      <sheetName val="Bill_2B4"/>
      <sheetName val="Bill_2C4"/>
      <sheetName val="Bill_2C_14"/>
      <sheetName val="Bill_2D4"/>
      <sheetName val="Bill_2E4"/>
      <sheetName val="Bill_2F4"/>
      <sheetName val="SUNDRIES_-_2A4"/>
      <sheetName val="_Civil_xls__Civil_xls__Civil_x4"/>
      <sheetName val="Strstl"/>
      <sheetName val="주식"/>
      <sheetName val="2002"/>
      <sheetName val="WIRE CODE"/>
      <sheetName val="금액내역서"/>
      <sheetName val="CA Sheet"/>
      <sheetName val="P1802_BOQ"/>
      <sheetName val="P1802_BOQ (%)"/>
      <sheetName val="Manpower"/>
      <sheetName val="P&amp;E"/>
      <sheetName val="P1802_CF"/>
      <sheetName val="P1602_CF"/>
      <sheetName val="Combined"/>
      <sheetName val="FB_R.0"/>
      <sheetName val="Theiss period 4"/>
      <sheetName val="Projection"/>
      <sheetName val="Variance"/>
      <sheetName val="Sheet6"/>
      <sheetName val="Rebars"/>
      <sheetName val="BCulSch"/>
      <sheetName val="bill qty"/>
      <sheetName val="dtt0301"/>
      <sheetName val="PHU 05"/>
      <sheetName val="PRO_A"/>
      <sheetName val="ELEC_MCI"/>
      <sheetName val="INST_MCI"/>
      <sheetName val="MECH_MCI"/>
      <sheetName val="PRO"/>
      <sheetName val="RT13526 CPI"/>
      <sheetName val="Mech BQ"/>
      <sheetName val="EI BQ"/>
      <sheetName val="BOQ RESUME"/>
      <sheetName val="Pengesahan RAB"/>
      <sheetName val="e4-6-%"/>
      <sheetName val="main summary"/>
      <sheetName val="Vietnamese"/>
      <sheetName val="boq-final"/>
      <sheetName val="misc"/>
      <sheetName val="LEVEL 2"/>
      <sheetName val="LEVEL 4"/>
      <sheetName val="markup"/>
      <sheetName val="Bid Evaluation"/>
      <sheetName val="입찰안"/>
      <sheetName val="eqpmt"/>
      <sheetName val="Definitions"/>
      <sheetName val="Workbook Inputs"/>
      <sheetName val="business hotel"/>
      <sheetName val="CP"/>
      <sheetName val="Derv"/>
      <sheetName val="RAB AR&amp;STR"/>
      <sheetName val="종합"/>
      <sheetName val="RRAA"/>
      <sheetName val="Electrical Pricelist"/>
      <sheetName val="Customize Your Invoice"/>
      <sheetName val="worksheet inchican"/>
      <sheetName val="combined 9-30"/>
      <sheetName val="crude.SLAB RE-bar"/>
      <sheetName val="materials"/>
      <sheetName val="Template for itemized price"/>
      <sheetName val="Scope of Works (2)"/>
      <sheetName val="Menu"/>
      <sheetName val="Qty Calculation"/>
      <sheetName val="Scope of Works"/>
      <sheetName val="VBA_Wrapper"/>
      <sheetName val="LP"/>
      <sheetName val="Bill Summary of Costs"/>
      <sheetName val="exterior"/>
      <sheetName val="interior"/>
      <sheetName val="DERIV"/>
      <sheetName val="[Civil.xls][Civil_xls]_Civil__4"/>
      <sheetName val="[Civil.xls][Civil_xls]_Civil__5"/>
      <sheetName val="[Civil.xls][Civil_xls]roject__3"/>
      <sheetName val="[Civil.xls][Civil_xls]__C__Do_3"/>
      <sheetName val="[Civil.xls][Civil_xls]_Civil__6"/>
      <sheetName val="[Civil.xls][Civil_xls]roject__4"/>
      <sheetName val="[Civil.xls][Civil_xls]_Civil__7"/>
      <sheetName val="[Civil.xls][Civil_xls]roject__5"/>
      <sheetName val="[Civil.xls][Civil_xls]_Civil__8"/>
      <sheetName val="[Civil.xls][Civil_xls]\"/>
      <sheetName val="[Civil.xls][Civil_xls]_Civil__2"/>
      <sheetName val="[Civil.xls][Civil_xls]_Civil__3"/>
      <sheetName val="[Civil.xls][Civil_xls]roject__2"/>
      <sheetName val="[Civil.xls][Civil_xls]__C__Do_2"/>
      <sheetName val="CSI DIVNO"/>
      <sheetName val="bridge # 1"/>
      <sheetName val="Changelogs"/>
      <sheetName val="Bid Form A-2"/>
      <sheetName val="orig contract"/>
      <sheetName val="TABLO-3"/>
      <sheetName val="Revised Cost"/>
      <sheetName val="define"/>
      <sheetName val="Assumptions"/>
      <sheetName val="MAT_N048"/>
      <sheetName val="f-pm-04-12-03A-AWPH6-LD"/>
      <sheetName val="PWL T5.REV (2)"/>
      <sheetName val="Civilwks.Deriv"/>
      <sheetName val="Str.Deriv"/>
      <sheetName val="A &amp; B (2)"/>
      <sheetName val="Data Validation"/>
      <sheetName val="CIM"/>
      <sheetName val="Emergency"/>
      <sheetName val="Distrib"/>
      <sheetName val="2.151M_due to dist cooling"/>
      <sheetName val="Civil Works"/>
      <sheetName val="Currency Rates"/>
      <sheetName val="Country Totals"/>
      <sheetName val="NH &amp; NHP Spes."/>
      <sheetName val="PR-BF"/>
      <sheetName val="CP_TU_AD"/>
      <sheetName val="RFP Codes"/>
      <sheetName val="EX_STRBQ"/>
      <sheetName val="TICI Indirects"/>
      <sheetName val="PROD_RATE5"/>
      <sheetName val="pump_flr5"/>
      <sheetName val="SCV_P1A_-_Shared_Cost5"/>
      <sheetName val="firepro_-_bpo5"/>
      <sheetName val="GEN_REQ5"/>
      <sheetName val="SD_and_START_UP5"/>
      <sheetName val="BR_-CHINA_BANK_25"/>
      <sheetName val="Summary_WG5"/>
      <sheetName val="BOQ_5"/>
      <sheetName val="2_678M5"/>
      <sheetName val="Hac_Lots5"/>
      <sheetName val="Res_Lots5"/>
      <sheetName val="SUMMARY_(2)5"/>
      <sheetName val="Bill_15"/>
      <sheetName val="Bill_2A5"/>
      <sheetName val="Bill_2B5"/>
      <sheetName val="Bill_2C5"/>
      <sheetName val="Bill_2C_15"/>
      <sheetName val="Bill_2D5"/>
      <sheetName val="Bill_2E5"/>
      <sheetName val="Bill_2F5"/>
      <sheetName val="SUNDRIES_-_2A5"/>
      <sheetName val="roject_Budget_Files_Final_CIVI5"/>
      <sheetName val="FINAL_NEGO5"/>
      <sheetName val="_Civil_xls__Civil_xls__Civil_x5"/>
      <sheetName val="subcon_sched3"/>
      <sheetName val="방배동내역_(총괄)2"/>
      <sheetName val="Summary_(overall)2"/>
      <sheetName val="CS_1"/>
      <sheetName val="Site_Construction1"/>
      <sheetName val="CREDIT_STATS1"/>
      <sheetName val="\??à?C:\Documents_and_Settings1"/>
      <sheetName val="(10)_Other_Costs51"/>
      <sheetName val="8_PILE__(돌출)1"/>
      <sheetName val="Eq__Mobilization1"/>
      <sheetName val="10_Linkway1"/>
      <sheetName val="11_Bus_Shelter-Bay1"/>
      <sheetName val="Legal_Risk_Analysis1"/>
      <sheetName val="Floor_Level1"/>
      <sheetName val="sch_beam"/>
      <sheetName val="sch_wlls"/>
      <sheetName val="Ground_Covers_Schedule"/>
      <sheetName val="Lighting"/>
      <sheetName val="원가"/>
      <sheetName val="WORKER"/>
      <sheetName val="Tension"/>
      <sheetName val="fixwater"/>
      <sheetName val="Staff Chart"/>
      <sheetName val="4-Lane bridge"/>
      <sheetName val="Spine Road"/>
      <sheetName val="LabCost"/>
      <sheetName val="tabulation of deductions"/>
      <sheetName val="sumoflaborates"/>
      <sheetName val="design criteria"/>
      <sheetName val="REINF."/>
      <sheetName val="SKETCH"/>
      <sheetName val="Furnitures"/>
      <sheetName val="VO-MC"/>
      <sheetName val="VO-Curtain Wall"/>
      <sheetName val="VO-M&amp;E"/>
      <sheetName val="EXTERNAL(BOQ)"/>
      <sheetName val="GTG TR PIT"/>
      <sheetName val="직간접비 집계표"/>
      <sheetName val="Equpt"/>
      <sheetName val="SKED"/>
      <sheetName val="Stairs"/>
      <sheetName val="GenReq"/>
      <sheetName val="door"/>
      <sheetName val="window"/>
      <sheetName val="간접비총괄"/>
      <sheetName val="UPA-form 10A"/>
      <sheetName val="LABTOTAL"/>
      <sheetName val="Equipt Rental"/>
      <sheetName val="labrates"/>
      <sheetName val="INTERIOR WALLS"/>
      <sheetName val="03-13 Anticipated"/>
      <sheetName val="03-13 Approved"/>
      <sheetName val="EXRATE"/>
      <sheetName val="EQ USED (CORRECTED)"/>
      <sheetName val="DATE"/>
      <sheetName val="Door &amp; Window Sched"/>
      <sheetName val="Elevations"/>
      <sheetName val="EquipList"/>
      <sheetName val="CWDerivation"/>
      <sheetName val="Room Sched"/>
      <sheetName val="Bank Loan BOQ"/>
      <sheetName val="ﾄﾞﾊﾞｲFUEL_GAS追見"/>
      <sheetName val="D_Sub&amp;Base"/>
      <sheetName val="F-1_Bridge"/>
      <sheetName val="C_Earthwork"/>
      <sheetName val="B_General_Requirements"/>
      <sheetName val="Assumption_List"/>
      <sheetName val="Drainage_&amp;_Slope"/>
      <sheetName val="F-2_Pile"/>
      <sheetName val="E_Surface"/>
      <sheetName val="[Civil_xls]__C__Documents_and_5"/>
      <sheetName val="_Civil_xls__Civil_xls_roject_B1"/>
      <sheetName val="_Civil_xls__Civil_xls__"/>
      <sheetName val="_Civil_xls_roject_Budget_Files1"/>
      <sheetName val="_Civil_xls__"/>
      <sheetName val="_Civil_xls_roject_Budget_File_2"/>
      <sheetName val="_Civil_xls______C__Documents__2"/>
      <sheetName val="_Civil_xls__Civil_xls__Civil__2"/>
      <sheetName val="_Civil_xls__Civil_xls__Civil__3"/>
      <sheetName val="_Civil_xls__Civil_xls_roject__2"/>
      <sheetName val="_Civil_xls__Civil_xls______C__2"/>
      <sheetName val="_Civil_xls_roject_Budget_File_3"/>
      <sheetName val="_Civil_xls___C__Documents_and_2"/>
      <sheetName val="Account_Summary"/>
      <sheetName val="Front_Page"/>
      <sheetName val="Bill_summary_of_cost"/>
      <sheetName val="___à_C__Documents_and_Settings_"/>
      <sheetName val="_Civil_xls_roject_Budget_File_4"/>
      <sheetName val="_Civil_xls______C__Documents__3"/>
      <sheetName val="_Civil_xls__Civil_xls__Civil__4"/>
      <sheetName val="_Civil_xls__Civil_xls__Civil__5"/>
      <sheetName val="_Civil_xls__Civil_xls_roject__3"/>
      <sheetName val="_Civil_xls__Civil_xls______C__3"/>
      <sheetName val="_Civil_xls_roject_Budget_File_5"/>
      <sheetName val="_Civil_xls___C__Documents_and_3"/>
      <sheetName val="_Civil_xls__Civil_xls__Civil__6"/>
      <sheetName val="_Civil_xls_roject_Budget_File_8"/>
      <sheetName val="_Civil_xls______C__Documents__5"/>
      <sheetName val="_Civil_xls__Civil_xls__Civil_10"/>
      <sheetName val="_Civil_xls__Civil_xls__Civil_11"/>
      <sheetName val="_Civil_xls__Civil_xls_roject__5"/>
      <sheetName val="_Civil_xls__Civil_xls______C__5"/>
      <sheetName val="_Civil_xls_roject_Budget_File_9"/>
      <sheetName val="_Civil_xls___C__Documents_and_5"/>
      <sheetName val="_Civil_xls__Civil_xls__Civil_12"/>
      <sheetName val="_Civil_xls_roject_Budget_File_6"/>
      <sheetName val="_Civil_xls______C__Documents__4"/>
      <sheetName val="_Civil_xls__Civil_xls__Civil__7"/>
      <sheetName val="_Civil_xls__Civil_xls__Civil__8"/>
      <sheetName val="_Civil_xls__Civil_xls_roject__4"/>
      <sheetName val="_Civil_xls__Civil_xls______C__4"/>
      <sheetName val="_Civil_xls_roject_Budget_File_7"/>
      <sheetName val="_Civil_xls___C__Documents_and_4"/>
      <sheetName val="_Civil_xls__Civil_xls__Civil__9"/>
      <sheetName val="InstCableSched"/>
      <sheetName val="ENTRY SHEET_LOCAL"/>
      <sheetName val="I Labour"/>
      <sheetName val="원가내역"/>
      <sheetName val="Generalofact"/>
      <sheetName val="Cover "/>
      <sheetName val="Electrical"/>
      <sheetName val="old Electrical"/>
      <sheetName val="old Building Summary"/>
      <sheetName val="UPA"/>
      <sheetName val="Material_Database"/>
      <sheetName val="Equipment_V1x"/>
      <sheetName val="SLDA+SLBK2004+SLBK2009"/>
      <sheetName val="w't table"/>
      <sheetName val="B.DOWN"/>
      <sheetName val="[Civil.xls][Civil_xls]\1"/>
      <sheetName val="[Civil.xls][Civil_xls]_Civil__9"/>
      <sheetName val="[Civil.xls][Civil_xls]roject__6"/>
      <sheetName val="[Civil.xls][Civil_xls]_Civil_10"/>
      <sheetName val="[Civil.xls][Civil_xls]\2"/>
      <sheetName val="[Civil.xls][Civil_xls]_Civil_11"/>
      <sheetName val="[Civil.xls][Civil_xls]_Civil_12"/>
      <sheetName val="[Civil.xls][Civil_xls]roject__7"/>
      <sheetName val="[Civil.xls][Civil_xls]_Civil_13"/>
      <sheetName val="[Civil.xls][Civil_xls]roject__8"/>
      <sheetName val="[Civil.xls][Civil_xls]_Civil_14"/>
      <sheetName val="[Civil.xls][Civil_xls]roject__9"/>
      <sheetName val="[Civil.xls][Civil_xls]_Civil_15"/>
      <sheetName val="[Civil.xls]roject_Budget_Fil_49"/>
      <sheetName val="[Civil.xls][Civil_xls]_Civil_16"/>
      <sheetName val="[Civil.xls][Civil_xls]roject_10"/>
      <sheetName val="[Civil.xls][Civil_xls]_Civil_17"/>
      <sheetName val="[Civil.xls]roject_Budget_Fil_50"/>
      <sheetName val="[Civil.xls][Civil_xls]_Civil_18"/>
      <sheetName val="[Civil.xls][Civil_xls]roject_11"/>
      <sheetName val="[Civil.xls][Civil_xls]_Civil_19"/>
      <sheetName val="덕전리"/>
      <sheetName val="TIE-INS"/>
      <sheetName val="purpose&amp;input"/>
      <sheetName val="PropSum"/>
      <sheetName val="进度表"/>
      <sheetName val="조명시설"/>
      <sheetName val="HYDROTEST DIAGRAM"/>
      <sheetName val="SO-P&amp;L"/>
      <sheetName val="px civil"/>
      <sheetName val="CIVIL UP"/>
      <sheetName val="aa piping"/>
      <sheetName val="brkd"/>
      <sheetName val="Costsum"/>
      <sheetName val="Staff_cost"/>
      <sheetName val="Direct_Eqpt"/>
      <sheetName val="Com_Eqpt"/>
      <sheetName val="Mob_demob"/>
      <sheetName val="Temfacil"/>
      <sheetName val="Cons_Schd"/>
      <sheetName val="TM_Cost"/>
      <sheetName val="Sheet5"/>
      <sheetName val="Sheet9"/>
      <sheetName val="Sheet10"/>
      <sheetName val="4100"/>
      <sheetName val="4200"/>
      <sheetName val="4300 "/>
      <sheetName val="BEND LOSS"/>
      <sheetName val="[Civil.xls][Civil.xls]\??à?C:\D"/>
      <sheetName val="[Civil.xls]\??à?C:\Documents an"/>
      <sheetName val="단위세대"/>
      <sheetName val="Bill of Quantity"/>
      <sheetName val="[Civil.xls]roject_Budget_Fil_51"/>
      <sheetName val="[Civil.xls]_____C__Documents_29"/>
      <sheetName val="[Civil.xls][Civil.xls]_Civil_81"/>
      <sheetName val="[Civil.xls][Civil.xls]_Civil_82"/>
      <sheetName val="[Civil.xls][Civil.xls]roject_29"/>
      <sheetName val="[Civil.xls][Civil.xls]_____C_29"/>
      <sheetName val="[Civil.xls][Civil.xls]_Civil_83"/>
      <sheetName val="[Civil.xls]roject_Budget_Fil_52"/>
      <sheetName val="[Civil.xls]__C__Documents_an_23"/>
      <sheetName val="[Civil.xls][Civil_xls]_Civil_20"/>
      <sheetName val="[Civil.xls][Civil_xls]_Civil_21"/>
      <sheetName val="[Civil.xls][Civil_xls]roject_12"/>
      <sheetName val="[Civil.xls][Civil_xls]__C__Do_4"/>
      <sheetName val="[Civil.xls]roject_Budget_Fil_53"/>
      <sheetName val="[Civil.xls][Civil_xls]_Civil_22"/>
      <sheetName val="[Civil.xls][Civil_xls]roject_13"/>
      <sheetName val="[Civil.xls]roject_Budget_Fil_54"/>
      <sheetName val="[Civil.xls][Civil_xls]_Civil_23"/>
      <sheetName val="[Civil.xls][Civil_xls]roject_14"/>
      <sheetName val="[Civil.xls][Civil_xls]_Civil_24"/>
      <sheetName val="[Civil.xls]roject_Budget_Fil_55"/>
      <sheetName val="[Civil.xls][Civil_xls]_Civil_25"/>
      <sheetName val="[Civil.xls][Civil_xls]roject_15"/>
      <sheetName val="[Civil.xls][Civil_xls]_Civil_26"/>
      <sheetName val="[Civil.xls]roject_Budget_Fil_56"/>
      <sheetName val="[Civil.xls][Civil_xls]_Civil_27"/>
      <sheetName val="[Civil.xls][Civil_xls]roject_16"/>
      <sheetName val="[Civil.xls][Civil_xls]_Civil_28"/>
      <sheetName val="[Civil.xls]_____C__Documents_30"/>
      <sheetName val="[Civil.xls]roject_Budget_Fil_57"/>
      <sheetName val="[Civil.xls][Civil_xls]_Civil_29"/>
      <sheetName val="[Civil.xls][Civil_xls]roject_17"/>
      <sheetName val="[Civil.xls][Civil_xls]_Civil_30"/>
      <sheetName val="[Civil.xls][Civil_xls]\3"/>
      <sheetName val="[Civil.xls]roject_Budget_Fil_58"/>
      <sheetName val="[Civil.xls][Civil_xls]_Civil_31"/>
      <sheetName val="[Civil.xls][Civil_xls]roject_18"/>
      <sheetName val="[Civil.xls][Civil_xls]_Civil_32"/>
      <sheetName val="[Civil.xls][Civil_xls]\4"/>
      <sheetName val="[Civil.xls]_____C__Documents_31"/>
      <sheetName val="[Civil.xls][Civil.xls]_Civil_84"/>
      <sheetName val="[Civil.xls]_____C__Documents_32"/>
      <sheetName val="[Civil.xls][Civil.xls]_Civil_85"/>
      <sheetName val="[Civil.xls][Civil.xls]_Civil_86"/>
      <sheetName val="[Civil.xls][Civil.xls]_Civil_87"/>
      <sheetName val="[Civil.xls][Civil.xls]_____C_30"/>
      <sheetName val="[Civil.xls]roject_Budget_Fil_59"/>
      <sheetName val="[Civil.xls][Civil_xls]__C__Do_5"/>
      <sheetName val="[Civil.xls]roject_Budget_Fil_60"/>
      <sheetName val="[Civil.xls]roject_Budget_Fil_61"/>
      <sheetName val="[Civil.xls][Civil_xls]roject_19"/>
      <sheetName val="[Civil.xls][Civil_xls]_Civil_33"/>
      <sheetName val="[Civil.xls]roject_Budget_Fil_62"/>
      <sheetName val="[Civil.xls][Civil_xls]_Civil_34"/>
      <sheetName val="[Civil.xls][Civil_xls]roject_20"/>
      <sheetName val="[Civil.xls][Civil_xls]_Civil_35"/>
      <sheetName val="[Civil.xls]roject_Budget_Fil_63"/>
      <sheetName val="[Civil.xls][Civil_xls]_Civil_36"/>
      <sheetName val="[Civil.xls][Civil_xls]roject_21"/>
      <sheetName val="[Civil.xls][Civil_xls]_Civil_3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refreshError="1"/>
      <sheetData sheetId="209" refreshError="1"/>
      <sheetData sheetId="210" refreshError="1"/>
      <sheetData sheetId="211" refreshError="1"/>
      <sheetData sheetId="212"/>
      <sheetData sheetId="213"/>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sheetData sheetId="226"/>
      <sheetData sheetId="227"/>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sheetData sheetId="302"/>
      <sheetData sheetId="303"/>
      <sheetData sheetId="304"/>
      <sheetData sheetId="305"/>
      <sheetData sheetId="306">
        <row r="2">
          <cell r="A2" t="str">
            <v>DMCI</v>
          </cell>
        </row>
      </sheetData>
      <sheetData sheetId="307">
        <row r="2">
          <cell r="A2" t="str">
            <v>DMCI</v>
          </cell>
        </row>
      </sheetData>
      <sheetData sheetId="308">
        <row r="2">
          <cell r="A2" t="str">
            <v>DMCI</v>
          </cell>
        </row>
      </sheetData>
      <sheetData sheetId="309">
        <row r="2">
          <cell r="A2" t="str">
            <v>DMCI</v>
          </cell>
        </row>
      </sheetData>
      <sheetData sheetId="310">
        <row r="2">
          <cell r="A2" t="str">
            <v>DMCI</v>
          </cell>
        </row>
      </sheetData>
      <sheetData sheetId="311">
        <row r="2">
          <cell r="A2" t="str">
            <v>DMCI</v>
          </cell>
        </row>
      </sheetData>
      <sheetData sheetId="312">
        <row r="2">
          <cell r="A2" t="str">
            <v>DMCI</v>
          </cell>
        </row>
      </sheetData>
      <sheetData sheetId="313">
        <row r="2">
          <cell r="A2" t="str">
            <v>DMCI</v>
          </cell>
        </row>
      </sheetData>
      <sheetData sheetId="314">
        <row r="2">
          <cell r="A2" t="str">
            <v>DMCI</v>
          </cell>
        </row>
      </sheetData>
      <sheetData sheetId="315">
        <row r="2">
          <cell r="A2" t="str">
            <v>DMCI</v>
          </cell>
        </row>
      </sheetData>
      <sheetData sheetId="316">
        <row r="2">
          <cell r="A2" t="str">
            <v>DMCI</v>
          </cell>
        </row>
      </sheetData>
      <sheetData sheetId="317">
        <row r="2">
          <cell r="A2" t="str">
            <v>DMCI</v>
          </cell>
        </row>
      </sheetData>
      <sheetData sheetId="318">
        <row r="2">
          <cell r="A2" t="str">
            <v>DMCI</v>
          </cell>
        </row>
      </sheetData>
      <sheetData sheetId="319">
        <row r="2">
          <cell r="A2" t="str">
            <v>DMCI</v>
          </cell>
        </row>
      </sheetData>
      <sheetData sheetId="320">
        <row r="2">
          <cell r="A2" t="str">
            <v>DMCI</v>
          </cell>
        </row>
      </sheetData>
      <sheetData sheetId="321">
        <row r="2">
          <cell r="A2" t="str">
            <v>DMCI</v>
          </cell>
        </row>
      </sheetData>
      <sheetData sheetId="322">
        <row r="2">
          <cell r="A2" t="str">
            <v>DMCI</v>
          </cell>
        </row>
      </sheetData>
      <sheetData sheetId="323">
        <row r="2">
          <cell r="A2" t="str">
            <v>DMCI</v>
          </cell>
        </row>
      </sheetData>
      <sheetData sheetId="324">
        <row r="2">
          <cell r="A2" t="str">
            <v>DMCI</v>
          </cell>
        </row>
      </sheetData>
      <sheetData sheetId="325">
        <row r="2">
          <cell r="A2" t="str">
            <v>DMCI</v>
          </cell>
        </row>
      </sheetData>
      <sheetData sheetId="326">
        <row r="2">
          <cell r="A2" t="str">
            <v>DMCI</v>
          </cell>
        </row>
      </sheetData>
      <sheetData sheetId="327">
        <row r="2">
          <cell r="A2" t="str">
            <v>DMCI</v>
          </cell>
        </row>
      </sheetData>
      <sheetData sheetId="328">
        <row r="2">
          <cell r="A2" t="str">
            <v>DMCI</v>
          </cell>
        </row>
      </sheetData>
      <sheetData sheetId="329">
        <row r="2">
          <cell r="A2" t="str">
            <v>DMCI</v>
          </cell>
        </row>
      </sheetData>
      <sheetData sheetId="330">
        <row r="2">
          <cell r="A2" t="str">
            <v>DMCI</v>
          </cell>
        </row>
      </sheetData>
      <sheetData sheetId="331">
        <row r="2">
          <cell r="A2" t="str">
            <v>DMCI</v>
          </cell>
        </row>
      </sheetData>
      <sheetData sheetId="332">
        <row r="2">
          <cell r="A2" t="str">
            <v>DMCI</v>
          </cell>
        </row>
      </sheetData>
      <sheetData sheetId="333">
        <row r="2">
          <cell r="A2" t="str">
            <v>DMCI</v>
          </cell>
        </row>
      </sheetData>
      <sheetData sheetId="334">
        <row r="2">
          <cell r="A2" t="str">
            <v>DMCI</v>
          </cell>
        </row>
      </sheetData>
      <sheetData sheetId="335">
        <row r="2">
          <cell r="A2" t="str">
            <v>DMCI</v>
          </cell>
        </row>
      </sheetData>
      <sheetData sheetId="336">
        <row r="2">
          <cell r="A2" t="str">
            <v>DMCI</v>
          </cell>
        </row>
      </sheetData>
      <sheetData sheetId="337">
        <row r="2">
          <cell r="A2" t="str">
            <v>DMCI</v>
          </cell>
        </row>
      </sheetData>
      <sheetData sheetId="338">
        <row r="2">
          <cell r="A2" t="str">
            <v>DMCI</v>
          </cell>
        </row>
      </sheetData>
      <sheetData sheetId="339">
        <row r="2">
          <cell r="A2" t="str">
            <v>DMCI</v>
          </cell>
        </row>
      </sheetData>
      <sheetData sheetId="340">
        <row r="2">
          <cell r="A2" t="str">
            <v>DMCI</v>
          </cell>
        </row>
      </sheetData>
      <sheetData sheetId="341">
        <row r="2">
          <cell r="A2" t="str">
            <v>DMCI</v>
          </cell>
        </row>
      </sheetData>
      <sheetData sheetId="342">
        <row r="2">
          <cell r="A2" t="str">
            <v>DMCI</v>
          </cell>
        </row>
      </sheetData>
      <sheetData sheetId="343">
        <row r="2">
          <cell r="A2" t="str">
            <v>DMCI</v>
          </cell>
        </row>
      </sheetData>
      <sheetData sheetId="344">
        <row r="2">
          <cell r="A2" t="str">
            <v>DMCI</v>
          </cell>
        </row>
      </sheetData>
      <sheetData sheetId="345">
        <row r="2">
          <cell r="A2" t="str">
            <v>DMCI</v>
          </cell>
        </row>
      </sheetData>
      <sheetData sheetId="346">
        <row r="2">
          <cell r="A2" t="str">
            <v>DMCI</v>
          </cell>
        </row>
      </sheetData>
      <sheetData sheetId="347">
        <row r="2">
          <cell r="A2" t="str">
            <v>DMCI</v>
          </cell>
        </row>
      </sheetData>
      <sheetData sheetId="348">
        <row r="2">
          <cell r="A2" t="str">
            <v>DMCI</v>
          </cell>
        </row>
      </sheetData>
      <sheetData sheetId="349">
        <row r="2">
          <cell r="A2" t="str">
            <v>DMCI</v>
          </cell>
        </row>
      </sheetData>
      <sheetData sheetId="350">
        <row r="2">
          <cell r="A2" t="str">
            <v>DMCI</v>
          </cell>
        </row>
      </sheetData>
      <sheetData sheetId="351">
        <row r="2">
          <cell r="A2" t="str">
            <v>DMCI</v>
          </cell>
        </row>
      </sheetData>
      <sheetData sheetId="352">
        <row r="2">
          <cell r="A2" t="str">
            <v>DMCI</v>
          </cell>
        </row>
      </sheetData>
      <sheetData sheetId="353">
        <row r="2">
          <cell r="A2" t="str">
            <v>DMCI</v>
          </cell>
        </row>
      </sheetData>
      <sheetData sheetId="354">
        <row r="2">
          <cell r="A2" t="str">
            <v>DMCI</v>
          </cell>
        </row>
      </sheetData>
      <sheetData sheetId="355">
        <row r="2">
          <cell r="A2" t="str">
            <v>DMCI</v>
          </cell>
        </row>
      </sheetData>
      <sheetData sheetId="356">
        <row r="2">
          <cell r="A2" t="str">
            <v>DMCI</v>
          </cell>
        </row>
      </sheetData>
      <sheetData sheetId="357">
        <row r="2">
          <cell r="A2" t="str">
            <v>DMCI</v>
          </cell>
        </row>
      </sheetData>
      <sheetData sheetId="358">
        <row r="2">
          <cell r="A2" t="str">
            <v>DMCI</v>
          </cell>
        </row>
      </sheetData>
      <sheetData sheetId="359">
        <row r="2">
          <cell r="A2" t="str">
            <v>DMCI</v>
          </cell>
        </row>
      </sheetData>
      <sheetData sheetId="360">
        <row r="2">
          <cell r="A2" t="str">
            <v>DMCI</v>
          </cell>
        </row>
      </sheetData>
      <sheetData sheetId="361">
        <row r="2">
          <cell r="A2" t="str">
            <v>DMCI</v>
          </cell>
        </row>
      </sheetData>
      <sheetData sheetId="362">
        <row r="2">
          <cell r="A2" t="str">
            <v>DMCI</v>
          </cell>
        </row>
      </sheetData>
      <sheetData sheetId="363">
        <row r="2">
          <cell r="A2" t="str">
            <v>DMCI</v>
          </cell>
        </row>
      </sheetData>
      <sheetData sheetId="364">
        <row r="2">
          <cell r="A2" t="str">
            <v>DMCI</v>
          </cell>
        </row>
      </sheetData>
      <sheetData sheetId="365">
        <row r="2">
          <cell r="A2" t="str">
            <v>DMCI</v>
          </cell>
        </row>
      </sheetData>
      <sheetData sheetId="366">
        <row r="2">
          <cell r="A2" t="str">
            <v>DMCI</v>
          </cell>
        </row>
      </sheetData>
      <sheetData sheetId="367">
        <row r="2">
          <cell r="A2" t="str">
            <v>DMCI</v>
          </cell>
        </row>
      </sheetData>
      <sheetData sheetId="368">
        <row r="2">
          <cell r="A2" t="str">
            <v>DMCI</v>
          </cell>
        </row>
      </sheetData>
      <sheetData sheetId="369">
        <row r="2">
          <cell r="A2" t="str">
            <v>DMCI</v>
          </cell>
        </row>
      </sheetData>
      <sheetData sheetId="370">
        <row r="2">
          <cell r="A2" t="str">
            <v>DMCI</v>
          </cell>
        </row>
      </sheetData>
      <sheetData sheetId="371">
        <row r="2">
          <cell r="A2" t="str">
            <v>DMCI</v>
          </cell>
        </row>
      </sheetData>
      <sheetData sheetId="372">
        <row r="2">
          <cell r="A2" t="str">
            <v>DMCI</v>
          </cell>
        </row>
      </sheetData>
      <sheetData sheetId="373">
        <row r="2">
          <cell r="A2" t="str">
            <v>DMCI</v>
          </cell>
        </row>
      </sheetData>
      <sheetData sheetId="374">
        <row r="2">
          <cell r="A2" t="str">
            <v>DMCI</v>
          </cell>
        </row>
      </sheetData>
      <sheetData sheetId="375">
        <row r="2">
          <cell r="A2" t="str">
            <v>DMCI</v>
          </cell>
        </row>
      </sheetData>
      <sheetData sheetId="376">
        <row r="2">
          <cell r="A2" t="str">
            <v>DMCI</v>
          </cell>
        </row>
      </sheetData>
      <sheetData sheetId="377">
        <row r="2">
          <cell r="A2" t="str">
            <v>DMCI</v>
          </cell>
        </row>
      </sheetData>
      <sheetData sheetId="378">
        <row r="2">
          <cell r="A2" t="str">
            <v>DMCI</v>
          </cell>
        </row>
      </sheetData>
      <sheetData sheetId="379">
        <row r="2">
          <cell r="A2" t="str">
            <v>DMCI</v>
          </cell>
        </row>
      </sheetData>
      <sheetData sheetId="380">
        <row r="2">
          <cell r="A2" t="str">
            <v>DMCI</v>
          </cell>
        </row>
      </sheetData>
      <sheetData sheetId="381">
        <row r="2">
          <cell r="A2" t="str">
            <v>DMCI</v>
          </cell>
        </row>
      </sheetData>
      <sheetData sheetId="382">
        <row r="2">
          <cell r="A2" t="str">
            <v>DMCI</v>
          </cell>
        </row>
      </sheetData>
      <sheetData sheetId="383">
        <row r="2">
          <cell r="A2" t="str">
            <v>DMCI</v>
          </cell>
        </row>
      </sheetData>
      <sheetData sheetId="384">
        <row r="2">
          <cell r="A2" t="str">
            <v>DMCI</v>
          </cell>
        </row>
      </sheetData>
      <sheetData sheetId="385">
        <row r="2">
          <cell r="A2" t="str">
            <v>DMCI</v>
          </cell>
        </row>
      </sheetData>
      <sheetData sheetId="386">
        <row r="2">
          <cell r="A2" t="str">
            <v>DMCI</v>
          </cell>
        </row>
      </sheetData>
      <sheetData sheetId="387">
        <row r="2">
          <cell r="A2" t="str">
            <v>DMCI</v>
          </cell>
        </row>
      </sheetData>
      <sheetData sheetId="388">
        <row r="2">
          <cell r="A2" t="str">
            <v>DMCI</v>
          </cell>
        </row>
      </sheetData>
      <sheetData sheetId="389">
        <row r="2">
          <cell r="A2" t="str">
            <v>DMCI</v>
          </cell>
        </row>
      </sheetData>
      <sheetData sheetId="390">
        <row r="2">
          <cell r="A2" t="str">
            <v>DMCI</v>
          </cell>
        </row>
      </sheetData>
      <sheetData sheetId="391">
        <row r="2">
          <cell r="A2" t="str">
            <v>DMCI</v>
          </cell>
        </row>
      </sheetData>
      <sheetData sheetId="392">
        <row r="2">
          <cell r="A2" t="str">
            <v>DMCI</v>
          </cell>
        </row>
      </sheetData>
      <sheetData sheetId="393">
        <row r="2">
          <cell r="A2" t="str">
            <v>DMCI</v>
          </cell>
        </row>
      </sheetData>
      <sheetData sheetId="394">
        <row r="2">
          <cell r="A2" t="str">
            <v>DMCI</v>
          </cell>
        </row>
      </sheetData>
      <sheetData sheetId="395">
        <row r="2">
          <cell r="A2" t="str">
            <v>DMCI</v>
          </cell>
        </row>
      </sheetData>
      <sheetData sheetId="396">
        <row r="2">
          <cell r="A2" t="str">
            <v>DMCI</v>
          </cell>
        </row>
      </sheetData>
      <sheetData sheetId="397">
        <row r="2">
          <cell r="A2" t="str">
            <v>DMCI</v>
          </cell>
        </row>
      </sheetData>
      <sheetData sheetId="398">
        <row r="2">
          <cell r="A2" t="str">
            <v>DMCI</v>
          </cell>
        </row>
      </sheetData>
      <sheetData sheetId="399">
        <row r="2">
          <cell r="A2" t="str">
            <v>DMCI</v>
          </cell>
        </row>
      </sheetData>
      <sheetData sheetId="400">
        <row r="2">
          <cell r="A2" t="str">
            <v>DMCI</v>
          </cell>
        </row>
      </sheetData>
      <sheetData sheetId="401">
        <row r="2">
          <cell r="A2" t="str">
            <v>DMCI</v>
          </cell>
        </row>
      </sheetData>
      <sheetData sheetId="402">
        <row r="2">
          <cell r="A2" t="str">
            <v>DMCI</v>
          </cell>
        </row>
      </sheetData>
      <sheetData sheetId="403">
        <row r="2">
          <cell r="A2" t="str">
            <v>DMCI</v>
          </cell>
        </row>
      </sheetData>
      <sheetData sheetId="404">
        <row r="2">
          <cell r="A2" t="str">
            <v>DMCI</v>
          </cell>
        </row>
      </sheetData>
      <sheetData sheetId="405">
        <row r="2">
          <cell r="A2" t="str">
            <v>DMCI</v>
          </cell>
        </row>
      </sheetData>
      <sheetData sheetId="406">
        <row r="2">
          <cell r="A2" t="str">
            <v>DMCI</v>
          </cell>
        </row>
      </sheetData>
      <sheetData sheetId="407">
        <row r="2">
          <cell r="A2" t="str">
            <v>DMCI</v>
          </cell>
        </row>
      </sheetData>
      <sheetData sheetId="408">
        <row r="2">
          <cell r="A2" t="str">
            <v>DMCI</v>
          </cell>
        </row>
      </sheetData>
      <sheetData sheetId="409">
        <row r="2">
          <cell r="A2" t="str">
            <v>DMCI</v>
          </cell>
        </row>
      </sheetData>
      <sheetData sheetId="410">
        <row r="2">
          <cell r="A2" t="str">
            <v>DMCI</v>
          </cell>
        </row>
      </sheetData>
      <sheetData sheetId="411">
        <row r="2">
          <cell r="A2" t="str">
            <v>DMCI</v>
          </cell>
        </row>
      </sheetData>
      <sheetData sheetId="412" refreshError="1"/>
      <sheetData sheetId="413" refreshError="1"/>
      <sheetData sheetId="414" refreshError="1"/>
      <sheetData sheetId="415">
        <row r="2">
          <cell r="A2" t="str">
            <v>DMCI</v>
          </cell>
        </row>
      </sheetData>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ow r="2">
          <cell r="A2" t="str">
            <v>DMCI</v>
          </cell>
        </row>
      </sheetData>
      <sheetData sheetId="543">
        <row r="2">
          <cell r="A2" t="str">
            <v>DMCI</v>
          </cell>
        </row>
      </sheetData>
      <sheetData sheetId="544">
        <row r="2">
          <cell r="A2" t="str">
            <v>DMCI</v>
          </cell>
        </row>
      </sheetData>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row r="2">
          <cell r="A2" t="str">
            <v>DMCI</v>
          </cell>
        </row>
      </sheetData>
      <sheetData sheetId="569"/>
      <sheetData sheetId="570"/>
      <sheetData sheetId="571"/>
      <sheetData sheetId="572"/>
      <sheetData sheetId="573"/>
      <sheetData sheetId="574">
        <row r="2">
          <cell r="A2" t="str">
            <v>DMCI</v>
          </cell>
        </row>
      </sheetData>
      <sheetData sheetId="575"/>
      <sheetData sheetId="576"/>
      <sheetData sheetId="577"/>
      <sheetData sheetId="578"/>
      <sheetData sheetId="579"/>
      <sheetData sheetId="580"/>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ow r="2">
          <cell r="A2" t="str">
            <v>DMCI</v>
          </cell>
        </row>
      </sheetData>
      <sheetData sheetId="590">
        <row r="2">
          <cell r="A2" t="str">
            <v>DMCI</v>
          </cell>
        </row>
      </sheetData>
      <sheetData sheetId="591">
        <row r="2">
          <cell r="A2" t="str">
            <v>DMCI</v>
          </cell>
        </row>
      </sheetData>
      <sheetData sheetId="592">
        <row r="2">
          <cell r="A2" t="str">
            <v>DMCI</v>
          </cell>
        </row>
      </sheetData>
      <sheetData sheetId="593">
        <row r="2">
          <cell r="A2" t="str">
            <v>DMCI</v>
          </cell>
        </row>
      </sheetData>
      <sheetData sheetId="594">
        <row r="2">
          <cell r="A2" t="str">
            <v>DMCI</v>
          </cell>
        </row>
      </sheetData>
      <sheetData sheetId="595">
        <row r="2">
          <cell r="A2" t="str">
            <v>DMCI</v>
          </cell>
        </row>
      </sheetData>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ow r="2">
          <cell r="A2" t="str">
            <v>DMCI</v>
          </cell>
        </row>
      </sheetData>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ow r="2">
          <cell r="A2" t="str">
            <v>DMCI</v>
          </cell>
        </row>
      </sheetData>
      <sheetData sheetId="686">
        <row r="2">
          <cell r="A2" t="str">
            <v>DMCI</v>
          </cell>
        </row>
      </sheetData>
      <sheetData sheetId="687">
        <row r="2">
          <cell r="A2" t="str">
            <v>DMCI</v>
          </cell>
        </row>
      </sheetData>
      <sheetData sheetId="688">
        <row r="2">
          <cell r="A2" t="str">
            <v>DMCI</v>
          </cell>
        </row>
      </sheetData>
      <sheetData sheetId="689">
        <row r="2">
          <cell r="A2" t="str">
            <v>DMCI</v>
          </cell>
        </row>
      </sheetData>
      <sheetData sheetId="690">
        <row r="2">
          <cell r="A2" t="str">
            <v>DMCI</v>
          </cell>
        </row>
      </sheetData>
      <sheetData sheetId="691">
        <row r="2">
          <cell r="A2" t="str">
            <v>DMCI</v>
          </cell>
        </row>
      </sheetData>
      <sheetData sheetId="692">
        <row r="2">
          <cell r="A2" t="str">
            <v>DMCI</v>
          </cell>
        </row>
      </sheetData>
      <sheetData sheetId="693">
        <row r="2">
          <cell r="A2" t="str">
            <v>DMCI</v>
          </cell>
        </row>
      </sheetData>
      <sheetData sheetId="694">
        <row r="2">
          <cell r="A2" t="str">
            <v>DMCI</v>
          </cell>
        </row>
      </sheetData>
      <sheetData sheetId="695">
        <row r="2">
          <cell r="A2" t="str">
            <v>DMCI</v>
          </cell>
        </row>
      </sheetData>
      <sheetData sheetId="696" refreshError="1"/>
      <sheetData sheetId="697" refreshError="1"/>
      <sheetData sheetId="698" refreshError="1"/>
      <sheetData sheetId="699" refreshError="1"/>
      <sheetData sheetId="700">
        <row r="2">
          <cell r="A2" t="str">
            <v>DMCI</v>
          </cell>
        </row>
      </sheetData>
      <sheetData sheetId="701">
        <row r="2">
          <cell r="A2" t="str">
            <v>DMCI</v>
          </cell>
        </row>
      </sheetData>
      <sheetData sheetId="702">
        <row r="2">
          <cell r="A2" t="str">
            <v>DMCI</v>
          </cell>
        </row>
      </sheetData>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ow r="2">
          <cell r="A2" t="str">
            <v>DMCI</v>
          </cell>
        </row>
      </sheetData>
      <sheetData sheetId="716">
        <row r="2">
          <cell r="A2" t="str">
            <v>DMCI</v>
          </cell>
        </row>
      </sheetData>
      <sheetData sheetId="717">
        <row r="2">
          <cell r="A2" t="str">
            <v>DMCI</v>
          </cell>
        </row>
      </sheetData>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ow r="2">
          <cell r="A2" t="str">
            <v>DMCI</v>
          </cell>
        </row>
      </sheetData>
      <sheetData sheetId="750">
        <row r="2">
          <cell r="A2" t="str">
            <v>DMCI</v>
          </cell>
        </row>
      </sheetData>
      <sheetData sheetId="751">
        <row r="2">
          <cell r="A2" t="str">
            <v>DMCI</v>
          </cell>
        </row>
      </sheetData>
      <sheetData sheetId="752">
        <row r="2">
          <cell r="A2" t="str">
            <v>DMCI</v>
          </cell>
        </row>
      </sheetData>
      <sheetData sheetId="753">
        <row r="2">
          <cell r="A2" t="str">
            <v>DMCI</v>
          </cell>
        </row>
      </sheetData>
      <sheetData sheetId="754">
        <row r="2">
          <cell r="A2" t="str">
            <v>DMCI</v>
          </cell>
        </row>
      </sheetData>
      <sheetData sheetId="755">
        <row r="2">
          <cell r="A2" t="str">
            <v>DMCI</v>
          </cell>
        </row>
      </sheetData>
      <sheetData sheetId="756">
        <row r="2">
          <cell r="A2" t="str">
            <v>DMCI</v>
          </cell>
        </row>
      </sheetData>
      <sheetData sheetId="757">
        <row r="2">
          <cell r="A2" t="str">
            <v>DMCI</v>
          </cell>
        </row>
      </sheetData>
      <sheetData sheetId="758">
        <row r="2">
          <cell r="A2" t="str">
            <v>DMCI</v>
          </cell>
        </row>
      </sheetData>
      <sheetData sheetId="759">
        <row r="2">
          <cell r="A2" t="str">
            <v>DMCI</v>
          </cell>
        </row>
      </sheetData>
      <sheetData sheetId="760">
        <row r="2">
          <cell r="A2" t="str">
            <v>DMCI</v>
          </cell>
        </row>
      </sheetData>
      <sheetData sheetId="761">
        <row r="2">
          <cell r="A2" t="str">
            <v>DMCI</v>
          </cell>
        </row>
      </sheetData>
      <sheetData sheetId="762">
        <row r="2">
          <cell r="A2" t="str">
            <v>DMCI</v>
          </cell>
        </row>
      </sheetData>
      <sheetData sheetId="763">
        <row r="2">
          <cell r="A2" t="str">
            <v>DMCI</v>
          </cell>
        </row>
      </sheetData>
      <sheetData sheetId="764">
        <row r="2">
          <cell r="A2" t="str">
            <v>DMCI</v>
          </cell>
        </row>
      </sheetData>
      <sheetData sheetId="765">
        <row r="2">
          <cell r="A2" t="str">
            <v>DMCI</v>
          </cell>
        </row>
      </sheetData>
      <sheetData sheetId="766">
        <row r="2">
          <cell r="A2" t="str">
            <v>DMCI</v>
          </cell>
        </row>
      </sheetData>
      <sheetData sheetId="767">
        <row r="2">
          <cell r="A2" t="str">
            <v>DMCI</v>
          </cell>
        </row>
      </sheetData>
      <sheetData sheetId="768">
        <row r="2">
          <cell r="A2" t="str">
            <v>DMCI</v>
          </cell>
        </row>
      </sheetData>
      <sheetData sheetId="769">
        <row r="2">
          <cell r="A2" t="str">
            <v>DMCI</v>
          </cell>
        </row>
      </sheetData>
      <sheetData sheetId="770">
        <row r="2">
          <cell r="A2" t="str">
            <v>DMCI</v>
          </cell>
        </row>
      </sheetData>
      <sheetData sheetId="771">
        <row r="2">
          <cell r="A2" t="str">
            <v>DMCI</v>
          </cell>
        </row>
      </sheetData>
      <sheetData sheetId="772">
        <row r="2">
          <cell r="A2" t="str">
            <v>DMCI</v>
          </cell>
        </row>
      </sheetData>
      <sheetData sheetId="773">
        <row r="2">
          <cell r="A2" t="str">
            <v>DMCI</v>
          </cell>
        </row>
      </sheetData>
      <sheetData sheetId="774">
        <row r="2">
          <cell r="A2" t="str">
            <v>DMCI</v>
          </cell>
        </row>
      </sheetData>
      <sheetData sheetId="775">
        <row r="2">
          <cell r="A2" t="str">
            <v>DMCI</v>
          </cell>
        </row>
      </sheetData>
      <sheetData sheetId="776">
        <row r="2">
          <cell r="A2" t="str">
            <v>DMCI</v>
          </cell>
        </row>
      </sheetData>
      <sheetData sheetId="777">
        <row r="2">
          <cell r="A2" t="str">
            <v>DMCI</v>
          </cell>
        </row>
      </sheetData>
      <sheetData sheetId="778">
        <row r="2">
          <cell r="A2" t="str">
            <v>DMCI</v>
          </cell>
        </row>
      </sheetData>
      <sheetData sheetId="779">
        <row r="2">
          <cell r="A2" t="str">
            <v>DMCI</v>
          </cell>
        </row>
      </sheetData>
      <sheetData sheetId="780">
        <row r="2">
          <cell r="A2" t="str">
            <v>DMCI</v>
          </cell>
        </row>
      </sheetData>
      <sheetData sheetId="781">
        <row r="2">
          <cell r="A2" t="str">
            <v>DMCI</v>
          </cell>
        </row>
      </sheetData>
      <sheetData sheetId="782">
        <row r="2">
          <cell r="A2" t="str">
            <v>DMCI</v>
          </cell>
        </row>
      </sheetData>
      <sheetData sheetId="783">
        <row r="2">
          <cell r="A2" t="str">
            <v>DMCI</v>
          </cell>
        </row>
      </sheetData>
      <sheetData sheetId="784">
        <row r="2">
          <cell r="A2" t="str">
            <v>DMCI</v>
          </cell>
        </row>
      </sheetData>
      <sheetData sheetId="785">
        <row r="2">
          <cell r="A2" t="str">
            <v>DMCI</v>
          </cell>
        </row>
      </sheetData>
      <sheetData sheetId="786">
        <row r="2">
          <cell r="A2" t="str">
            <v>DMCI</v>
          </cell>
        </row>
      </sheetData>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ow r="2">
          <cell r="A2" t="str">
            <v>DMCI</v>
          </cell>
        </row>
      </sheetData>
      <sheetData sheetId="838">
        <row r="2">
          <cell r="A2" t="str">
            <v>DMCI</v>
          </cell>
        </row>
      </sheetData>
      <sheetData sheetId="839">
        <row r="2">
          <cell r="A2" t="str">
            <v>DMCI</v>
          </cell>
        </row>
      </sheetData>
      <sheetData sheetId="840">
        <row r="2">
          <cell r="A2" t="str">
            <v>DMCI</v>
          </cell>
        </row>
      </sheetData>
      <sheetData sheetId="841">
        <row r="2">
          <cell r="A2" t="str">
            <v>DMCI</v>
          </cell>
        </row>
      </sheetData>
      <sheetData sheetId="842">
        <row r="2">
          <cell r="A2" t="str">
            <v>DMCI</v>
          </cell>
        </row>
      </sheetData>
      <sheetData sheetId="843">
        <row r="2">
          <cell r="A2" t="str">
            <v>DMCI</v>
          </cell>
        </row>
      </sheetData>
      <sheetData sheetId="844">
        <row r="2">
          <cell r="A2" t="str">
            <v>DMCI</v>
          </cell>
        </row>
      </sheetData>
      <sheetData sheetId="845">
        <row r="2">
          <cell r="A2" t="str">
            <v>DMCI</v>
          </cell>
        </row>
      </sheetData>
      <sheetData sheetId="846">
        <row r="2">
          <cell r="A2" t="str">
            <v>DMCI</v>
          </cell>
        </row>
      </sheetData>
      <sheetData sheetId="847">
        <row r="2">
          <cell r="A2" t="str">
            <v>DMCI</v>
          </cell>
        </row>
      </sheetData>
      <sheetData sheetId="848">
        <row r="2">
          <cell r="A2" t="str">
            <v>DMCI</v>
          </cell>
        </row>
      </sheetData>
      <sheetData sheetId="849">
        <row r="2">
          <cell r="A2" t="str">
            <v>DMCI</v>
          </cell>
        </row>
      </sheetData>
      <sheetData sheetId="850">
        <row r="2">
          <cell r="A2" t="str">
            <v>DMCI</v>
          </cell>
        </row>
      </sheetData>
      <sheetData sheetId="851">
        <row r="2">
          <cell r="A2" t="str">
            <v>DMCI</v>
          </cell>
        </row>
      </sheetData>
      <sheetData sheetId="852">
        <row r="2">
          <cell r="A2" t="str">
            <v>DMCI</v>
          </cell>
        </row>
      </sheetData>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ow r="2">
          <cell r="A2" t="str">
            <v>DMCI</v>
          </cell>
        </row>
      </sheetData>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ow r="2">
          <cell r="A2" t="str">
            <v>DMCI</v>
          </cell>
        </row>
      </sheetData>
      <sheetData sheetId="1109">
        <row r="2">
          <cell r="A2" t="str">
            <v>DMCI</v>
          </cell>
        </row>
      </sheetData>
      <sheetData sheetId="1110">
        <row r="2">
          <cell r="A2" t="str">
            <v>DMCI</v>
          </cell>
        </row>
      </sheetData>
      <sheetData sheetId="1111">
        <row r="2">
          <cell r="A2" t="str">
            <v>DMCI</v>
          </cell>
        </row>
      </sheetData>
      <sheetData sheetId="1112">
        <row r="2">
          <cell r="A2" t="str">
            <v>DMCI</v>
          </cell>
        </row>
      </sheetData>
      <sheetData sheetId="1113">
        <row r="2">
          <cell r="A2" t="str">
            <v>DMCI</v>
          </cell>
        </row>
      </sheetData>
      <sheetData sheetId="1114">
        <row r="2">
          <cell r="A2" t="str">
            <v>DMCI</v>
          </cell>
        </row>
      </sheetData>
      <sheetData sheetId="1115">
        <row r="2">
          <cell r="A2" t="str">
            <v>DMCI</v>
          </cell>
        </row>
      </sheetData>
      <sheetData sheetId="1116">
        <row r="2">
          <cell r="A2" t="str">
            <v>DMCI</v>
          </cell>
        </row>
      </sheetData>
      <sheetData sheetId="1117">
        <row r="2">
          <cell r="A2" t="str">
            <v>DMCI</v>
          </cell>
        </row>
      </sheetData>
      <sheetData sheetId="1118">
        <row r="2">
          <cell r="A2" t="str">
            <v>DMCI</v>
          </cell>
        </row>
      </sheetData>
      <sheetData sheetId="1119">
        <row r="2">
          <cell r="A2" t="str">
            <v>DMCI</v>
          </cell>
        </row>
      </sheetData>
      <sheetData sheetId="1120">
        <row r="2">
          <cell r="A2" t="str">
            <v>DMCI</v>
          </cell>
        </row>
      </sheetData>
      <sheetData sheetId="1121">
        <row r="2">
          <cell r="A2" t="str">
            <v>DMCI</v>
          </cell>
        </row>
      </sheetData>
      <sheetData sheetId="1122">
        <row r="2">
          <cell r="A2" t="str">
            <v>DMCI</v>
          </cell>
        </row>
      </sheetData>
      <sheetData sheetId="1123">
        <row r="2">
          <cell r="A2" t="str">
            <v>DMCI</v>
          </cell>
        </row>
      </sheetData>
      <sheetData sheetId="1124">
        <row r="2">
          <cell r="A2" t="str">
            <v>DMCI</v>
          </cell>
        </row>
      </sheetData>
      <sheetData sheetId="1125">
        <row r="2">
          <cell r="A2" t="str">
            <v>DMCI</v>
          </cell>
        </row>
      </sheetData>
      <sheetData sheetId="1126">
        <row r="2">
          <cell r="A2" t="str">
            <v>DMCI</v>
          </cell>
        </row>
      </sheetData>
      <sheetData sheetId="1127">
        <row r="2">
          <cell r="A2" t="str">
            <v>DMCI</v>
          </cell>
        </row>
      </sheetData>
      <sheetData sheetId="1128">
        <row r="2">
          <cell r="A2" t="str">
            <v>DMCI</v>
          </cell>
        </row>
      </sheetData>
      <sheetData sheetId="1129">
        <row r="2">
          <cell r="A2" t="str">
            <v>DMCI</v>
          </cell>
        </row>
      </sheetData>
      <sheetData sheetId="1130">
        <row r="2">
          <cell r="A2" t="str">
            <v>DMCI</v>
          </cell>
        </row>
      </sheetData>
      <sheetData sheetId="1131">
        <row r="2">
          <cell r="A2" t="str">
            <v>DMCI</v>
          </cell>
        </row>
      </sheetData>
      <sheetData sheetId="1132">
        <row r="2">
          <cell r="A2" t="str">
            <v>DMCI</v>
          </cell>
        </row>
      </sheetData>
      <sheetData sheetId="1133">
        <row r="2">
          <cell r="A2" t="str">
            <v>DMCI</v>
          </cell>
        </row>
      </sheetData>
      <sheetData sheetId="1134">
        <row r="2">
          <cell r="A2" t="str">
            <v>DMCI</v>
          </cell>
        </row>
      </sheetData>
      <sheetData sheetId="1135">
        <row r="2">
          <cell r="A2" t="str">
            <v>DMCI</v>
          </cell>
        </row>
      </sheetData>
      <sheetData sheetId="1136">
        <row r="2">
          <cell r="A2" t="str">
            <v>DMCI</v>
          </cell>
        </row>
      </sheetData>
      <sheetData sheetId="1137">
        <row r="2">
          <cell r="A2" t="str">
            <v>DMCI</v>
          </cell>
        </row>
      </sheetData>
      <sheetData sheetId="1138">
        <row r="2">
          <cell r="A2" t="str">
            <v>DMCI</v>
          </cell>
        </row>
      </sheetData>
      <sheetData sheetId="1139">
        <row r="2">
          <cell r="A2" t="str">
            <v>DMCI</v>
          </cell>
        </row>
      </sheetData>
      <sheetData sheetId="1140">
        <row r="2">
          <cell r="A2" t="str">
            <v>DMCI</v>
          </cell>
        </row>
      </sheetData>
      <sheetData sheetId="1141">
        <row r="2">
          <cell r="A2" t="str">
            <v>DMCI</v>
          </cell>
        </row>
      </sheetData>
      <sheetData sheetId="1142">
        <row r="2">
          <cell r="A2" t="str">
            <v>DMCI</v>
          </cell>
        </row>
      </sheetData>
      <sheetData sheetId="1143">
        <row r="2">
          <cell r="A2" t="str">
            <v>DMCI</v>
          </cell>
        </row>
      </sheetData>
      <sheetData sheetId="1144">
        <row r="2">
          <cell r="A2" t="str">
            <v>DMCI</v>
          </cell>
        </row>
      </sheetData>
      <sheetData sheetId="1145">
        <row r="2">
          <cell r="A2" t="str">
            <v>DMCI</v>
          </cell>
        </row>
      </sheetData>
      <sheetData sheetId="1146">
        <row r="2">
          <cell r="A2" t="str">
            <v>DMCI</v>
          </cell>
        </row>
      </sheetData>
      <sheetData sheetId="1147">
        <row r="2">
          <cell r="A2" t="str">
            <v>DMCI</v>
          </cell>
        </row>
      </sheetData>
      <sheetData sheetId="1148">
        <row r="2">
          <cell r="A2" t="str">
            <v>DMCI</v>
          </cell>
        </row>
      </sheetData>
      <sheetData sheetId="1149">
        <row r="2">
          <cell r="A2" t="str">
            <v>DMCI</v>
          </cell>
        </row>
      </sheetData>
      <sheetData sheetId="1150">
        <row r="2">
          <cell r="A2" t="str">
            <v>DMCI</v>
          </cell>
        </row>
      </sheetData>
      <sheetData sheetId="1151">
        <row r="2">
          <cell r="A2" t="str">
            <v>DMCI</v>
          </cell>
        </row>
      </sheetData>
      <sheetData sheetId="1152">
        <row r="2">
          <cell r="A2" t="str">
            <v>DMCI</v>
          </cell>
        </row>
      </sheetData>
      <sheetData sheetId="1153">
        <row r="2">
          <cell r="A2" t="str">
            <v>DMCI</v>
          </cell>
        </row>
      </sheetData>
      <sheetData sheetId="1154">
        <row r="2">
          <cell r="A2" t="str">
            <v>DMCI</v>
          </cell>
        </row>
      </sheetData>
      <sheetData sheetId="1155">
        <row r="2">
          <cell r="A2" t="str">
            <v>DMCI</v>
          </cell>
        </row>
      </sheetData>
      <sheetData sheetId="1156">
        <row r="2">
          <cell r="A2" t="str">
            <v>DMCI</v>
          </cell>
        </row>
      </sheetData>
      <sheetData sheetId="1157">
        <row r="2">
          <cell r="A2" t="str">
            <v>DMCI</v>
          </cell>
        </row>
      </sheetData>
      <sheetData sheetId="1158">
        <row r="2">
          <cell r="A2" t="str">
            <v>DMCI</v>
          </cell>
        </row>
      </sheetData>
      <sheetData sheetId="1159">
        <row r="2">
          <cell r="A2" t="str">
            <v>DMCI</v>
          </cell>
        </row>
      </sheetData>
      <sheetData sheetId="1160">
        <row r="2">
          <cell r="A2" t="str">
            <v>DMCI</v>
          </cell>
        </row>
      </sheetData>
      <sheetData sheetId="1161">
        <row r="2">
          <cell r="A2" t="str">
            <v>DMCI</v>
          </cell>
        </row>
      </sheetData>
      <sheetData sheetId="1162">
        <row r="2">
          <cell r="A2" t="str">
            <v>DMCI</v>
          </cell>
        </row>
      </sheetData>
      <sheetData sheetId="1163">
        <row r="2">
          <cell r="A2" t="str">
            <v>DMCI</v>
          </cell>
        </row>
      </sheetData>
      <sheetData sheetId="1164">
        <row r="2">
          <cell r="A2" t="str">
            <v>DMCI</v>
          </cell>
        </row>
      </sheetData>
      <sheetData sheetId="1165">
        <row r="2">
          <cell r="A2" t="str">
            <v>DMCI</v>
          </cell>
        </row>
      </sheetData>
      <sheetData sheetId="1166">
        <row r="2">
          <cell r="A2" t="str">
            <v>DMCI</v>
          </cell>
        </row>
      </sheetData>
      <sheetData sheetId="1167">
        <row r="2">
          <cell r="A2" t="str">
            <v>DMCI</v>
          </cell>
        </row>
      </sheetData>
      <sheetData sheetId="1168">
        <row r="2">
          <cell r="A2" t="str">
            <v>DMCI</v>
          </cell>
        </row>
      </sheetData>
      <sheetData sheetId="1169">
        <row r="2">
          <cell r="A2" t="str">
            <v>DMCI</v>
          </cell>
        </row>
      </sheetData>
      <sheetData sheetId="1170">
        <row r="2">
          <cell r="A2" t="str">
            <v>DMCI</v>
          </cell>
        </row>
      </sheetData>
      <sheetData sheetId="1171">
        <row r="2">
          <cell r="A2" t="str">
            <v>DMCI</v>
          </cell>
        </row>
      </sheetData>
      <sheetData sheetId="1172">
        <row r="2">
          <cell r="A2" t="str">
            <v>DMCI</v>
          </cell>
        </row>
      </sheetData>
      <sheetData sheetId="1173">
        <row r="2">
          <cell r="A2" t="str">
            <v>DMCI</v>
          </cell>
        </row>
      </sheetData>
      <sheetData sheetId="1174">
        <row r="2">
          <cell r="A2" t="str">
            <v>DMCI</v>
          </cell>
        </row>
      </sheetData>
      <sheetData sheetId="1175">
        <row r="2">
          <cell r="A2" t="str">
            <v>DMCI</v>
          </cell>
        </row>
      </sheetData>
      <sheetData sheetId="1176">
        <row r="2">
          <cell r="A2" t="str">
            <v>DMCI</v>
          </cell>
        </row>
      </sheetData>
      <sheetData sheetId="1177">
        <row r="2">
          <cell r="A2" t="str">
            <v>DMCI</v>
          </cell>
        </row>
      </sheetData>
      <sheetData sheetId="1178">
        <row r="2">
          <cell r="A2" t="str">
            <v>DMCI</v>
          </cell>
        </row>
      </sheetData>
      <sheetData sheetId="1179">
        <row r="2">
          <cell r="A2" t="str">
            <v>DMCI</v>
          </cell>
        </row>
      </sheetData>
      <sheetData sheetId="1180">
        <row r="2">
          <cell r="A2" t="str">
            <v>DMCI</v>
          </cell>
        </row>
      </sheetData>
      <sheetData sheetId="1181">
        <row r="2">
          <cell r="A2" t="str">
            <v>DMCI</v>
          </cell>
        </row>
      </sheetData>
      <sheetData sheetId="1182">
        <row r="2">
          <cell r="A2" t="str">
            <v>DMCI</v>
          </cell>
        </row>
      </sheetData>
      <sheetData sheetId="1183">
        <row r="2">
          <cell r="A2" t="str">
            <v>DMCI</v>
          </cell>
        </row>
      </sheetData>
      <sheetData sheetId="1184">
        <row r="2">
          <cell r="A2" t="str">
            <v>DMCI</v>
          </cell>
        </row>
      </sheetData>
      <sheetData sheetId="1185">
        <row r="2">
          <cell r="A2" t="str">
            <v>DMCI</v>
          </cell>
        </row>
      </sheetData>
      <sheetData sheetId="1186">
        <row r="2">
          <cell r="A2" t="str">
            <v>DMCI</v>
          </cell>
        </row>
      </sheetData>
      <sheetData sheetId="1187">
        <row r="2">
          <cell r="A2" t="str">
            <v>DMCI</v>
          </cell>
        </row>
      </sheetData>
      <sheetData sheetId="1188">
        <row r="2">
          <cell r="A2" t="str">
            <v>DMCI</v>
          </cell>
        </row>
      </sheetData>
      <sheetData sheetId="1189">
        <row r="2">
          <cell r="A2" t="str">
            <v>DMCI</v>
          </cell>
        </row>
      </sheetData>
      <sheetData sheetId="1190">
        <row r="2">
          <cell r="A2" t="str">
            <v>DMCI</v>
          </cell>
        </row>
      </sheetData>
      <sheetData sheetId="1191">
        <row r="2">
          <cell r="A2" t="str">
            <v>DMCI</v>
          </cell>
        </row>
      </sheetData>
      <sheetData sheetId="1192">
        <row r="2">
          <cell r="A2" t="str">
            <v>DMCI</v>
          </cell>
        </row>
      </sheetData>
      <sheetData sheetId="1193">
        <row r="2">
          <cell r="A2" t="str">
            <v>DMCI</v>
          </cell>
        </row>
      </sheetData>
      <sheetData sheetId="1194">
        <row r="2">
          <cell r="A2" t="str">
            <v>DMCI</v>
          </cell>
        </row>
      </sheetData>
      <sheetData sheetId="1195">
        <row r="2">
          <cell r="A2" t="str">
            <v>DMCI</v>
          </cell>
        </row>
      </sheetData>
      <sheetData sheetId="1196">
        <row r="2">
          <cell r="A2" t="str">
            <v>DMCI</v>
          </cell>
        </row>
      </sheetData>
      <sheetData sheetId="1197">
        <row r="2">
          <cell r="A2" t="str">
            <v>DMCI</v>
          </cell>
        </row>
      </sheetData>
      <sheetData sheetId="1198">
        <row r="2">
          <cell r="A2" t="str">
            <v>DMCI</v>
          </cell>
        </row>
      </sheetData>
      <sheetData sheetId="1199">
        <row r="2">
          <cell r="A2" t="str">
            <v>DMCI</v>
          </cell>
        </row>
      </sheetData>
      <sheetData sheetId="1200">
        <row r="2">
          <cell r="A2" t="str">
            <v>DMCI</v>
          </cell>
        </row>
      </sheetData>
      <sheetData sheetId="1201">
        <row r="2">
          <cell r="A2" t="str">
            <v>DMCI</v>
          </cell>
        </row>
      </sheetData>
      <sheetData sheetId="1202">
        <row r="2">
          <cell r="A2" t="str">
            <v>DMCI</v>
          </cell>
        </row>
      </sheetData>
      <sheetData sheetId="1203">
        <row r="2">
          <cell r="A2" t="str">
            <v>DMCI</v>
          </cell>
        </row>
      </sheetData>
      <sheetData sheetId="1204">
        <row r="2">
          <cell r="A2" t="str">
            <v>DMCI</v>
          </cell>
        </row>
      </sheetData>
      <sheetData sheetId="1205">
        <row r="2">
          <cell r="A2" t="str">
            <v>DMCI</v>
          </cell>
        </row>
      </sheetData>
      <sheetData sheetId="1206">
        <row r="2">
          <cell r="A2" t="str">
            <v>DMCI</v>
          </cell>
        </row>
      </sheetData>
      <sheetData sheetId="1207">
        <row r="2">
          <cell r="A2" t="str">
            <v>DMCI</v>
          </cell>
        </row>
      </sheetData>
      <sheetData sheetId="1208">
        <row r="2">
          <cell r="A2" t="str">
            <v>DMCI</v>
          </cell>
        </row>
      </sheetData>
      <sheetData sheetId="1209">
        <row r="2">
          <cell r="A2" t="str">
            <v>DMCI</v>
          </cell>
        </row>
      </sheetData>
      <sheetData sheetId="1210">
        <row r="2">
          <cell r="A2" t="str">
            <v>DMCI</v>
          </cell>
        </row>
      </sheetData>
      <sheetData sheetId="1211">
        <row r="2">
          <cell r="A2" t="str">
            <v>DMCI</v>
          </cell>
        </row>
      </sheetData>
      <sheetData sheetId="1212">
        <row r="2">
          <cell r="A2" t="str">
            <v>DMCI</v>
          </cell>
        </row>
      </sheetData>
      <sheetData sheetId="1213">
        <row r="2">
          <cell r="A2" t="str">
            <v>DMCI</v>
          </cell>
        </row>
      </sheetData>
      <sheetData sheetId="1214">
        <row r="2">
          <cell r="A2" t="str">
            <v>DMCI</v>
          </cell>
        </row>
      </sheetData>
      <sheetData sheetId="1215">
        <row r="2">
          <cell r="A2" t="str">
            <v>DMCI</v>
          </cell>
        </row>
      </sheetData>
      <sheetData sheetId="1216">
        <row r="2">
          <cell r="A2" t="str">
            <v>DMCI</v>
          </cell>
        </row>
      </sheetData>
      <sheetData sheetId="1217">
        <row r="2">
          <cell r="A2" t="str">
            <v>DMCI</v>
          </cell>
        </row>
      </sheetData>
      <sheetData sheetId="1218">
        <row r="2">
          <cell r="A2" t="str">
            <v>DMCI</v>
          </cell>
        </row>
      </sheetData>
      <sheetData sheetId="1219">
        <row r="2">
          <cell r="A2" t="str">
            <v>DMCI</v>
          </cell>
        </row>
      </sheetData>
      <sheetData sheetId="1220">
        <row r="2">
          <cell r="A2" t="str">
            <v>DMCI</v>
          </cell>
        </row>
      </sheetData>
      <sheetData sheetId="1221">
        <row r="2">
          <cell r="A2" t="str">
            <v>DMCI</v>
          </cell>
        </row>
      </sheetData>
      <sheetData sheetId="1222">
        <row r="2">
          <cell r="A2" t="str">
            <v>DMCI</v>
          </cell>
        </row>
      </sheetData>
      <sheetData sheetId="1223">
        <row r="2">
          <cell r="A2" t="str">
            <v>DMCI</v>
          </cell>
        </row>
      </sheetData>
      <sheetData sheetId="1224">
        <row r="2">
          <cell r="A2" t="str">
            <v>DMCI</v>
          </cell>
        </row>
      </sheetData>
      <sheetData sheetId="1225">
        <row r="2">
          <cell r="A2" t="str">
            <v>DMCI</v>
          </cell>
        </row>
      </sheetData>
      <sheetData sheetId="1226">
        <row r="2">
          <cell r="A2" t="str">
            <v>DMCI</v>
          </cell>
        </row>
      </sheetData>
      <sheetData sheetId="1227">
        <row r="2">
          <cell r="A2" t="str">
            <v>DMCI</v>
          </cell>
        </row>
      </sheetData>
      <sheetData sheetId="1228">
        <row r="2">
          <cell r="A2" t="str">
            <v>DMCI</v>
          </cell>
        </row>
      </sheetData>
      <sheetData sheetId="1229">
        <row r="2">
          <cell r="A2" t="str">
            <v>DMCI</v>
          </cell>
        </row>
      </sheetData>
      <sheetData sheetId="1230">
        <row r="2">
          <cell r="A2" t="str">
            <v>DMCI</v>
          </cell>
        </row>
      </sheetData>
      <sheetData sheetId="1231">
        <row r="2">
          <cell r="A2" t="str">
            <v>DMCI</v>
          </cell>
        </row>
      </sheetData>
      <sheetData sheetId="1232">
        <row r="2">
          <cell r="A2" t="str">
            <v>DMCI</v>
          </cell>
        </row>
      </sheetData>
      <sheetData sheetId="1233">
        <row r="2">
          <cell r="A2" t="str">
            <v>DMCI</v>
          </cell>
        </row>
      </sheetData>
      <sheetData sheetId="1234">
        <row r="2">
          <cell r="A2" t="str">
            <v>DMCI</v>
          </cell>
        </row>
      </sheetData>
      <sheetData sheetId="1235">
        <row r="2">
          <cell r="A2" t="str">
            <v>DMCI</v>
          </cell>
        </row>
      </sheetData>
      <sheetData sheetId="1236">
        <row r="2">
          <cell r="A2" t="str">
            <v>DMCI</v>
          </cell>
        </row>
      </sheetData>
      <sheetData sheetId="1237">
        <row r="2">
          <cell r="A2" t="str">
            <v>DMCI</v>
          </cell>
        </row>
      </sheetData>
      <sheetData sheetId="1238">
        <row r="2">
          <cell r="A2" t="str">
            <v>DMCI</v>
          </cell>
        </row>
      </sheetData>
      <sheetData sheetId="1239">
        <row r="2">
          <cell r="A2" t="str">
            <v>DMCI</v>
          </cell>
        </row>
      </sheetData>
      <sheetData sheetId="1240">
        <row r="2">
          <cell r="A2" t="str">
            <v>DMCI</v>
          </cell>
        </row>
      </sheetData>
      <sheetData sheetId="1241">
        <row r="2">
          <cell r="A2" t="str">
            <v>DMCI</v>
          </cell>
        </row>
      </sheetData>
      <sheetData sheetId="1242">
        <row r="2">
          <cell r="A2" t="str">
            <v>DMCI</v>
          </cell>
        </row>
      </sheetData>
      <sheetData sheetId="1243">
        <row r="2">
          <cell r="A2" t="str">
            <v>DMCI</v>
          </cell>
        </row>
      </sheetData>
      <sheetData sheetId="1244">
        <row r="2">
          <cell r="A2" t="str">
            <v>DMCI</v>
          </cell>
        </row>
      </sheetData>
      <sheetData sheetId="1245">
        <row r="2">
          <cell r="A2" t="str">
            <v>DMCI</v>
          </cell>
        </row>
      </sheetData>
      <sheetData sheetId="1246">
        <row r="2">
          <cell r="A2" t="str">
            <v>DMCI</v>
          </cell>
        </row>
      </sheetData>
      <sheetData sheetId="1247">
        <row r="2">
          <cell r="A2" t="str">
            <v>DMCI</v>
          </cell>
        </row>
      </sheetData>
      <sheetData sheetId="1248">
        <row r="2">
          <cell r="A2" t="str">
            <v>DMCI</v>
          </cell>
        </row>
      </sheetData>
      <sheetData sheetId="1249">
        <row r="2">
          <cell r="A2" t="str">
            <v>DMCI</v>
          </cell>
        </row>
      </sheetData>
      <sheetData sheetId="1250">
        <row r="2">
          <cell r="A2" t="str">
            <v>DMCI</v>
          </cell>
        </row>
      </sheetData>
      <sheetData sheetId="1251">
        <row r="2">
          <cell r="A2" t="str">
            <v>DMCI</v>
          </cell>
        </row>
      </sheetData>
      <sheetData sheetId="1252">
        <row r="2">
          <cell r="A2" t="str">
            <v>DMCI</v>
          </cell>
        </row>
      </sheetData>
      <sheetData sheetId="1253">
        <row r="2">
          <cell r="A2" t="str">
            <v>DMCI</v>
          </cell>
        </row>
      </sheetData>
      <sheetData sheetId="1254">
        <row r="2">
          <cell r="A2" t="str">
            <v>DMCI</v>
          </cell>
        </row>
      </sheetData>
      <sheetData sheetId="1255">
        <row r="2">
          <cell r="A2" t="str">
            <v>DMCI</v>
          </cell>
        </row>
      </sheetData>
      <sheetData sheetId="1256">
        <row r="2">
          <cell r="A2" t="str">
            <v>DMCI</v>
          </cell>
        </row>
      </sheetData>
      <sheetData sheetId="1257">
        <row r="2">
          <cell r="A2" t="str">
            <v>DMCI</v>
          </cell>
        </row>
      </sheetData>
      <sheetData sheetId="1258">
        <row r="2">
          <cell r="A2" t="str">
            <v>DMCI</v>
          </cell>
        </row>
      </sheetData>
      <sheetData sheetId="1259">
        <row r="2">
          <cell r="A2" t="str">
            <v>DMCI</v>
          </cell>
        </row>
      </sheetData>
      <sheetData sheetId="1260">
        <row r="2">
          <cell r="A2" t="str">
            <v>DMCI</v>
          </cell>
        </row>
      </sheetData>
      <sheetData sheetId="1261">
        <row r="2">
          <cell r="A2" t="str">
            <v>DMCI</v>
          </cell>
        </row>
      </sheetData>
      <sheetData sheetId="1262">
        <row r="2">
          <cell r="A2" t="str">
            <v>DMCI</v>
          </cell>
        </row>
      </sheetData>
      <sheetData sheetId="1263">
        <row r="2">
          <cell r="A2" t="str">
            <v>DMCI</v>
          </cell>
        </row>
      </sheetData>
      <sheetData sheetId="1264">
        <row r="2">
          <cell r="A2" t="str">
            <v>DMCI</v>
          </cell>
        </row>
      </sheetData>
      <sheetData sheetId="1265">
        <row r="2">
          <cell r="A2" t="str">
            <v>DMCI</v>
          </cell>
        </row>
      </sheetData>
      <sheetData sheetId="1266">
        <row r="2">
          <cell r="A2" t="str">
            <v>DMCI</v>
          </cell>
        </row>
      </sheetData>
      <sheetData sheetId="1267">
        <row r="2">
          <cell r="A2" t="str">
            <v>DMCI</v>
          </cell>
        </row>
      </sheetData>
      <sheetData sheetId="1268">
        <row r="2">
          <cell r="A2" t="str">
            <v>DMCI</v>
          </cell>
        </row>
      </sheetData>
      <sheetData sheetId="1269">
        <row r="2">
          <cell r="A2" t="str">
            <v>DMCI</v>
          </cell>
        </row>
      </sheetData>
      <sheetData sheetId="1270">
        <row r="2">
          <cell r="A2" t="str">
            <v>DMCI</v>
          </cell>
        </row>
      </sheetData>
      <sheetData sheetId="1271">
        <row r="2">
          <cell r="A2" t="str">
            <v>DMCI</v>
          </cell>
        </row>
      </sheetData>
      <sheetData sheetId="1272">
        <row r="2">
          <cell r="A2" t="str">
            <v>DMCI</v>
          </cell>
        </row>
      </sheetData>
      <sheetData sheetId="1273">
        <row r="2">
          <cell r="A2" t="str">
            <v>DMCI</v>
          </cell>
        </row>
      </sheetData>
      <sheetData sheetId="1274">
        <row r="2">
          <cell r="A2" t="str">
            <v>DMCI</v>
          </cell>
        </row>
      </sheetData>
      <sheetData sheetId="1275">
        <row r="2">
          <cell r="A2" t="str">
            <v>DMCI</v>
          </cell>
        </row>
      </sheetData>
      <sheetData sheetId="1276">
        <row r="2">
          <cell r="A2" t="str">
            <v>DMCI</v>
          </cell>
        </row>
      </sheetData>
      <sheetData sheetId="1277">
        <row r="2">
          <cell r="A2" t="str">
            <v>DMCI</v>
          </cell>
        </row>
      </sheetData>
      <sheetData sheetId="1278">
        <row r="2">
          <cell r="A2" t="str">
            <v>DMCI</v>
          </cell>
        </row>
      </sheetData>
      <sheetData sheetId="1279">
        <row r="2">
          <cell r="A2" t="str">
            <v>DMCI</v>
          </cell>
        </row>
      </sheetData>
      <sheetData sheetId="1280">
        <row r="2">
          <cell r="A2" t="str">
            <v>DMCI</v>
          </cell>
        </row>
      </sheetData>
      <sheetData sheetId="1281">
        <row r="2">
          <cell r="A2" t="str">
            <v>DMCI</v>
          </cell>
        </row>
      </sheetData>
      <sheetData sheetId="1282">
        <row r="2">
          <cell r="A2" t="str">
            <v>DMCI</v>
          </cell>
        </row>
      </sheetData>
      <sheetData sheetId="1283">
        <row r="2">
          <cell r="A2" t="str">
            <v>DMCI</v>
          </cell>
        </row>
      </sheetData>
      <sheetData sheetId="1284">
        <row r="2">
          <cell r="A2" t="str">
            <v>DMCI</v>
          </cell>
        </row>
      </sheetData>
      <sheetData sheetId="1285">
        <row r="2">
          <cell r="A2" t="str">
            <v>DMCI</v>
          </cell>
        </row>
      </sheetData>
      <sheetData sheetId="1286">
        <row r="2">
          <cell r="A2" t="str">
            <v>DMCI</v>
          </cell>
        </row>
      </sheetData>
      <sheetData sheetId="1287">
        <row r="2">
          <cell r="A2" t="str">
            <v>DMCI</v>
          </cell>
        </row>
      </sheetData>
      <sheetData sheetId="1288">
        <row r="2">
          <cell r="A2" t="str">
            <v>DMCI</v>
          </cell>
        </row>
      </sheetData>
      <sheetData sheetId="1289">
        <row r="2">
          <cell r="A2" t="str">
            <v>DMCI</v>
          </cell>
        </row>
      </sheetData>
      <sheetData sheetId="1290">
        <row r="2">
          <cell r="A2" t="str">
            <v>DMCI</v>
          </cell>
        </row>
      </sheetData>
      <sheetData sheetId="1291">
        <row r="2">
          <cell r="A2" t="str">
            <v>DMCI</v>
          </cell>
        </row>
      </sheetData>
      <sheetData sheetId="1292">
        <row r="2">
          <cell r="A2" t="str">
            <v>DMCI</v>
          </cell>
        </row>
      </sheetData>
      <sheetData sheetId="1293">
        <row r="2">
          <cell r="A2" t="str">
            <v>DMCI</v>
          </cell>
        </row>
      </sheetData>
      <sheetData sheetId="1294">
        <row r="2">
          <cell r="A2" t="str">
            <v>DMCI</v>
          </cell>
        </row>
      </sheetData>
      <sheetData sheetId="1295">
        <row r="2">
          <cell r="A2" t="str">
            <v>DMCI</v>
          </cell>
        </row>
      </sheetData>
      <sheetData sheetId="1296">
        <row r="2">
          <cell r="A2" t="str">
            <v>DMCI</v>
          </cell>
        </row>
      </sheetData>
      <sheetData sheetId="1297">
        <row r="2">
          <cell r="A2" t="str">
            <v>DMCI</v>
          </cell>
        </row>
      </sheetData>
      <sheetData sheetId="1298">
        <row r="2">
          <cell r="A2" t="str">
            <v>DMCI</v>
          </cell>
        </row>
      </sheetData>
      <sheetData sheetId="1299">
        <row r="2">
          <cell r="A2" t="str">
            <v>DMCI</v>
          </cell>
        </row>
      </sheetData>
      <sheetData sheetId="1300">
        <row r="2">
          <cell r="A2" t="str">
            <v>DMCI</v>
          </cell>
        </row>
      </sheetData>
      <sheetData sheetId="1301">
        <row r="2">
          <cell r="A2" t="str">
            <v>DMCI</v>
          </cell>
        </row>
      </sheetData>
      <sheetData sheetId="1302">
        <row r="2">
          <cell r="A2" t="str">
            <v>DMCI</v>
          </cell>
        </row>
      </sheetData>
      <sheetData sheetId="1303">
        <row r="2">
          <cell r="A2" t="str">
            <v>DMCI</v>
          </cell>
        </row>
      </sheetData>
      <sheetData sheetId="1304">
        <row r="2">
          <cell r="A2" t="str">
            <v>DMCI</v>
          </cell>
        </row>
      </sheetData>
      <sheetData sheetId="1305">
        <row r="2">
          <cell r="A2" t="str">
            <v>DMCI</v>
          </cell>
        </row>
      </sheetData>
      <sheetData sheetId="1306">
        <row r="2">
          <cell r="A2" t="str">
            <v>DMCI</v>
          </cell>
        </row>
      </sheetData>
      <sheetData sheetId="1307">
        <row r="2">
          <cell r="A2" t="str">
            <v>DMCI</v>
          </cell>
        </row>
      </sheetData>
      <sheetData sheetId="1308">
        <row r="2">
          <cell r="A2" t="str">
            <v>DMCI</v>
          </cell>
        </row>
      </sheetData>
      <sheetData sheetId="1309">
        <row r="2">
          <cell r="A2" t="str">
            <v>DMCI</v>
          </cell>
        </row>
      </sheetData>
      <sheetData sheetId="1310">
        <row r="2">
          <cell r="A2" t="str">
            <v>DMCI</v>
          </cell>
        </row>
      </sheetData>
      <sheetData sheetId="1311">
        <row r="2">
          <cell r="A2" t="str">
            <v>DMCI</v>
          </cell>
        </row>
      </sheetData>
      <sheetData sheetId="1312">
        <row r="2">
          <cell r="A2" t="str">
            <v>DMCI</v>
          </cell>
        </row>
      </sheetData>
      <sheetData sheetId="1313">
        <row r="2">
          <cell r="A2" t="str">
            <v>DMCI</v>
          </cell>
        </row>
      </sheetData>
      <sheetData sheetId="1314">
        <row r="2">
          <cell r="A2" t="str">
            <v>DMCI</v>
          </cell>
        </row>
      </sheetData>
      <sheetData sheetId="1315">
        <row r="2">
          <cell r="A2" t="str">
            <v>DMCI</v>
          </cell>
        </row>
      </sheetData>
      <sheetData sheetId="1316">
        <row r="2">
          <cell r="A2" t="str">
            <v>DMCI</v>
          </cell>
        </row>
      </sheetData>
      <sheetData sheetId="1317">
        <row r="2">
          <cell r="A2" t="str">
            <v>DMCI</v>
          </cell>
        </row>
      </sheetData>
      <sheetData sheetId="1318">
        <row r="2">
          <cell r="A2" t="str">
            <v>DMCI</v>
          </cell>
        </row>
      </sheetData>
      <sheetData sheetId="1319">
        <row r="2">
          <cell r="A2" t="str">
            <v>DMCI</v>
          </cell>
        </row>
      </sheetData>
      <sheetData sheetId="1320">
        <row r="2">
          <cell r="A2" t="str">
            <v>DMCI</v>
          </cell>
        </row>
      </sheetData>
      <sheetData sheetId="1321">
        <row r="2">
          <cell r="A2" t="str">
            <v>DMCI</v>
          </cell>
        </row>
      </sheetData>
      <sheetData sheetId="1322">
        <row r="2">
          <cell r="A2" t="str">
            <v>DMCI</v>
          </cell>
        </row>
      </sheetData>
      <sheetData sheetId="1323">
        <row r="2">
          <cell r="A2" t="str">
            <v>DMCI</v>
          </cell>
        </row>
      </sheetData>
      <sheetData sheetId="1324">
        <row r="2">
          <cell r="A2" t="str">
            <v>DMCI</v>
          </cell>
        </row>
      </sheetData>
      <sheetData sheetId="1325">
        <row r="2">
          <cell r="A2" t="str">
            <v>DMCI</v>
          </cell>
        </row>
      </sheetData>
      <sheetData sheetId="1326">
        <row r="2">
          <cell r="A2" t="str">
            <v>DMCI</v>
          </cell>
        </row>
      </sheetData>
      <sheetData sheetId="1327">
        <row r="2">
          <cell r="A2" t="str">
            <v>DMCI</v>
          </cell>
        </row>
      </sheetData>
      <sheetData sheetId="1328">
        <row r="2">
          <cell r="A2" t="str">
            <v>DMCI</v>
          </cell>
        </row>
      </sheetData>
      <sheetData sheetId="1329">
        <row r="2">
          <cell r="A2" t="str">
            <v>DMCI</v>
          </cell>
        </row>
      </sheetData>
      <sheetData sheetId="1330">
        <row r="2">
          <cell r="A2" t="str">
            <v>DMCI</v>
          </cell>
        </row>
      </sheetData>
      <sheetData sheetId="1331">
        <row r="2">
          <cell r="A2" t="str">
            <v>DMCI</v>
          </cell>
        </row>
      </sheetData>
      <sheetData sheetId="1332">
        <row r="2">
          <cell r="A2" t="str">
            <v>DMCI</v>
          </cell>
        </row>
      </sheetData>
      <sheetData sheetId="1333">
        <row r="2">
          <cell r="A2" t="str">
            <v>DMCI</v>
          </cell>
        </row>
      </sheetData>
      <sheetData sheetId="1334">
        <row r="2">
          <cell r="A2" t="str">
            <v>DMCI</v>
          </cell>
        </row>
      </sheetData>
      <sheetData sheetId="1335">
        <row r="2">
          <cell r="A2" t="str">
            <v>DMCI</v>
          </cell>
        </row>
      </sheetData>
      <sheetData sheetId="1336">
        <row r="2">
          <cell r="A2" t="str">
            <v>DMCI</v>
          </cell>
        </row>
      </sheetData>
      <sheetData sheetId="1337">
        <row r="2">
          <cell r="A2" t="str">
            <v>DMCI</v>
          </cell>
        </row>
      </sheetData>
      <sheetData sheetId="1338">
        <row r="2">
          <cell r="A2" t="str">
            <v>DMCI</v>
          </cell>
        </row>
      </sheetData>
      <sheetData sheetId="1339">
        <row r="2">
          <cell r="A2" t="str">
            <v>DMCI</v>
          </cell>
        </row>
      </sheetData>
      <sheetData sheetId="1340">
        <row r="2">
          <cell r="A2" t="str">
            <v>DMCI</v>
          </cell>
        </row>
      </sheetData>
      <sheetData sheetId="1341">
        <row r="2">
          <cell r="A2" t="str">
            <v>DMCI</v>
          </cell>
        </row>
      </sheetData>
      <sheetData sheetId="1342">
        <row r="2">
          <cell r="A2" t="str">
            <v>DMCI</v>
          </cell>
        </row>
      </sheetData>
      <sheetData sheetId="1343">
        <row r="2">
          <cell r="A2" t="str">
            <v>DMCI</v>
          </cell>
        </row>
      </sheetData>
      <sheetData sheetId="1344">
        <row r="2">
          <cell r="A2" t="str">
            <v>DMCI</v>
          </cell>
        </row>
      </sheetData>
      <sheetData sheetId="1345">
        <row r="2">
          <cell r="A2" t="str">
            <v>DMCI</v>
          </cell>
        </row>
      </sheetData>
      <sheetData sheetId="1346">
        <row r="2">
          <cell r="A2" t="str">
            <v>DMCI</v>
          </cell>
        </row>
      </sheetData>
      <sheetData sheetId="1347">
        <row r="2">
          <cell r="A2" t="str">
            <v>DMCI</v>
          </cell>
        </row>
      </sheetData>
      <sheetData sheetId="1348">
        <row r="2">
          <cell r="A2" t="str">
            <v>DMCI</v>
          </cell>
        </row>
      </sheetData>
      <sheetData sheetId="1349">
        <row r="2">
          <cell r="A2" t="str">
            <v>DMCI</v>
          </cell>
        </row>
      </sheetData>
      <sheetData sheetId="1350">
        <row r="2">
          <cell r="A2" t="str">
            <v>DMCI</v>
          </cell>
        </row>
      </sheetData>
      <sheetData sheetId="1351">
        <row r="2">
          <cell r="A2" t="str">
            <v>DMCI</v>
          </cell>
        </row>
      </sheetData>
      <sheetData sheetId="1352">
        <row r="2">
          <cell r="A2" t="str">
            <v>DMCI</v>
          </cell>
        </row>
      </sheetData>
      <sheetData sheetId="1353">
        <row r="2">
          <cell r="A2" t="str">
            <v>DMCI</v>
          </cell>
        </row>
      </sheetData>
      <sheetData sheetId="1354">
        <row r="2">
          <cell r="A2" t="str">
            <v>DMCI</v>
          </cell>
        </row>
      </sheetData>
      <sheetData sheetId="1355">
        <row r="2">
          <cell r="A2" t="str">
            <v>DMCI</v>
          </cell>
        </row>
      </sheetData>
      <sheetData sheetId="1356">
        <row r="2">
          <cell r="A2" t="str">
            <v>DMCI</v>
          </cell>
        </row>
      </sheetData>
      <sheetData sheetId="1357">
        <row r="2">
          <cell r="A2" t="str">
            <v>DMCI</v>
          </cell>
        </row>
      </sheetData>
      <sheetData sheetId="1358">
        <row r="2">
          <cell r="A2" t="str">
            <v>DMCI</v>
          </cell>
        </row>
      </sheetData>
      <sheetData sheetId="1359">
        <row r="2">
          <cell r="A2" t="str">
            <v>DMCI</v>
          </cell>
        </row>
      </sheetData>
      <sheetData sheetId="1360">
        <row r="2">
          <cell r="A2" t="str">
            <v>DMCI</v>
          </cell>
        </row>
      </sheetData>
      <sheetData sheetId="1361">
        <row r="2">
          <cell r="A2" t="str">
            <v>DMCI</v>
          </cell>
        </row>
      </sheetData>
      <sheetData sheetId="1362">
        <row r="2">
          <cell r="A2" t="str">
            <v>DMCI</v>
          </cell>
        </row>
      </sheetData>
      <sheetData sheetId="1363">
        <row r="2">
          <cell r="A2" t="str">
            <v>DMCI</v>
          </cell>
        </row>
      </sheetData>
      <sheetData sheetId="1364">
        <row r="2">
          <cell r="A2" t="str">
            <v>DMCI</v>
          </cell>
        </row>
      </sheetData>
      <sheetData sheetId="1365">
        <row r="2">
          <cell r="A2" t="str">
            <v>DMCI</v>
          </cell>
        </row>
      </sheetData>
      <sheetData sheetId="1366">
        <row r="2">
          <cell r="A2" t="str">
            <v>DMCI</v>
          </cell>
        </row>
      </sheetData>
      <sheetData sheetId="1367">
        <row r="2">
          <cell r="A2" t="str">
            <v>DMCI</v>
          </cell>
        </row>
      </sheetData>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ow r="2">
          <cell r="A2" t="str">
            <v>DMCI</v>
          </cell>
        </row>
      </sheetData>
      <sheetData sheetId="1455">
        <row r="2">
          <cell r="A2" t="str">
            <v>DMCI</v>
          </cell>
        </row>
      </sheetData>
      <sheetData sheetId="1456">
        <row r="2">
          <cell r="A2" t="str">
            <v>DMCI</v>
          </cell>
        </row>
      </sheetData>
      <sheetData sheetId="1457">
        <row r="2">
          <cell r="A2" t="str">
            <v>DMCI</v>
          </cell>
        </row>
      </sheetData>
      <sheetData sheetId="1458">
        <row r="2">
          <cell r="A2" t="str">
            <v>DMCI</v>
          </cell>
        </row>
      </sheetData>
      <sheetData sheetId="1459">
        <row r="2">
          <cell r="A2" t="str">
            <v>DMCI</v>
          </cell>
        </row>
      </sheetData>
      <sheetData sheetId="1460">
        <row r="2">
          <cell r="A2" t="str">
            <v>DMCI</v>
          </cell>
        </row>
      </sheetData>
      <sheetData sheetId="1461">
        <row r="2">
          <cell r="A2" t="str">
            <v>DMCI</v>
          </cell>
        </row>
      </sheetData>
      <sheetData sheetId="1462">
        <row r="2">
          <cell r="A2" t="str">
            <v>DMCI</v>
          </cell>
        </row>
      </sheetData>
      <sheetData sheetId="1463">
        <row r="2">
          <cell r="A2" t="str">
            <v>DMCI</v>
          </cell>
        </row>
      </sheetData>
      <sheetData sheetId="1464">
        <row r="2">
          <cell r="A2" t="str">
            <v>DMCI</v>
          </cell>
        </row>
      </sheetData>
      <sheetData sheetId="1465">
        <row r="2">
          <cell r="A2" t="str">
            <v>DMCI</v>
          </cell>
        </row>
      </sheetData>
      <sheetData sheetId="1466">
        <row r="2">
          <cell r="A2" t="str">
            <v>DMCI</v>
          </cell>
        </row>
      </sheetData>
      <sheetData sheetId="1467">
        <row r="2">
          <cell r="A2" t="str">
            <v>DMCI</v>
          </cell>
        </row>
      </sheetData>
      <sheetData sheetId="1468">
        <row r="2">
          <cell r="A2" t="str">
            <v>DMCI</v>
          </cell>
        </row>
      </sheetData>
      <sheetData sheetId="1469">
        <row r="2">
          <cell r="A2" t="str">
            <v>DMCI</v>
          </cell>
        </row>
      </sheetData>
      <sheetData sheetId="1470">
        <row r="2">
          <cell r="A2" t="str">
            <v>DMCI</v>
          </cell>
        </row>
      </sheetData>
      <sheetData sheetId="1471">
        <row r="2">
          <cell r="A2" t="str">
            <v>DMCI</v>
          </cell>
        </row>
      </sheetData>
      <sheetData sheetId="1472">
        <row r="2">
          <cell r="A2" t="str">
            <v>DMCI</v>
          </cell>
        </row>
      </sheetData>
      <sheetData sheetId="1473">
        <row r="2">
          <cell r="A2" t="str">
            <v>DMCI</v>
          </cell>
        </row>
      </sheetData>
      <sheetData sheetId="1474">
        <row r="2">
          <cell r="A2" t="str">
            <v>DMCI</v>
          </cell>
        </row>
      </sheetData>
      <sheetData sheetId="1475">
        <row r="2">
          <cell r="A2" t="str">
            <v>DMCI</v>
          </cell>
        </row>
      </sheetData>
      <sheetData sheetId="1476">
        <row r="2">
          <cell r="A2" t="str">
            <v>DMCI</v>
          </cell>
        </row>
      </sheetData>
      <sheetData sheetId="1477">
        <row r="2">
          <cell r="A2" t="str">
            <v>DMCI</v>
          </cell>
        </row>
      </sheetData>
      <sheetData sheetId="1478">
        <row r="2">
          <cell r="A2" t="str">
            <v>DMCI</v>
          </cell>
        </row>
      </sheetData>
      <sheetData sheetId="1479">
        <row r="2">
          <cell r="A2" t="str">
            <v>DMCI</v>
          </cell>
        </row>
      </sheetData>
      <sheetData sheetId="1480">
        <row r="2">
          <cell r="A2" t="str">
            <v>DMCI</v>
          </cell>
        </row>
      </sheetData>
      <sheetData sheetId="1481">
        <row r="2">
          <cell r="A2" t="str">
            <v>DMCI</v>
          </cell>
        </row>
      </sheetData>
      <sheetData sheetId="1482">
        <row r="2">
          <cell r="A2" t="str">
            <v>DMCI</v>
          </cell>
        </row>
      </sheetData>
      <sheetData sheetId="1483">
        <row r="2">
          <cell r="A2" t="str">
            <v>DMCI</v>
          </cell>
        </row>
      </sheetData>
      <sheetData sheetId="1484">
        <row r="2">
          <cell r="A2" t="str">
            <v>DMCI</v>
          </cell>
        </row>
      </sheetData>
      <sheetData sheetId="1485">
        <row r="2">
          <cell r="A2" t="str">
            <v>DMCI</v>
          </cell>
        </row>
      </sheetData>
      <sheetData sheetId="1486">
        <row r="2">
          <cell r="A2" t="str">
            <v>DMCI</v>
          </cell>
        </row>
      </sheetData>
      <sheetData sheetId="1487">
        <row r="2">
          <cell r="A2" t="str">
            <v>DMCI</v>
          </cell>
        </row>
      </sheetData>
      <sheetData sheetId="1488">
        <row r="2">
          <cell r="A2" t="str">
            <v>DMCI</v>
          </cell>
        </row>
      </sheetData>
      <sheetData sheetId="1489">
        <row r="2">
          <cell r="A2" t="str">
            <v>DMCI</v>
          </cell>
        </row>
      </sheetData>
      <sheetData sheetId="1490">
        <row r="2">
          <cell r="A2" t="str">
            <v>DMCI</v>
          </cell>
        </row>
      </sheetData>
      <sheetData sheetId="1491">
        <row r="2">
          <cell r="A2" t="str">
            <v>DMCI</v>
          </cell>
        </row>
      </sheetData>
      <sheetData sheetId="1492">
        <row r="2">
          <cell r="A2" t="str">
            <v>DMCI</v>
          </cell>
        </row>
      </sheetData>
      <sheetData sheetId="1493">
        <row r="2">
          <cell r="A2" t="str">
            <v>DMCI</v>
          </cell>
        </row>
      </sheetData>
      <sheetData sheetId="1494">
        <row r="2">
          <cell r="A2" t="str">
            <v>DMCI</v>
          </cell>
        </row>
      </sheetData>
      <sheetData sheetId="1495">
        <row r="2">
          <cell r="A2" t="str">
            <v>DMCI</v>
          </cell>
        </row>
      </sheetData>
      <sheetData sheetId="1496">
        <row r="2">
          <cell r="A2" t="str">
            <v>DMCI</v>
          </cell>
        </row>
      </sheetData>
      <sheetData sheetId="1497">
        <row r="2">
          <cell r="A2" t="str">
            <v>DMCI</v>
          </cell>
        </row>
      </sheetData>
      <sheetData sheetId="1498">
        <row r="2">
          <cell r="A2" t="str">
            <v>DMCI</v>
          </cell>
        </row>
      </sheetData>
      <sheetData sheetId="1499">
        <row r="2">
          <cell r="A2" t="str">
            <v>DMCI</v>
          </cell>
        </row>
      </sheetData>
      <sheetData sheetId="1500">
        <row r="2">
          <cell r="A2" t="str">
            <v>DMCI</v>
          </cell>
        </row>
      </sheetData>
      <sheetData sheetId="1501">
        <row r="2">
          <cell r="A2" t="str">
            <v>DMCI</v>
          </cell>
        </row>
      </sheetData>
      <sheetData sheetId="1502">
        <row r="2">
          <cell r="A2" t="str">
            <v>DMCI</v>
          </cell>
        </row>
      </sheetData>
      <sheetData sheetId="1503">
        <row r="2">
          <cell r="A2" t="str">
            <v>DMCI</v>
          </cell>
        </row>
      </sheetData>
      <sheetData sheetId="1504">
        <row r="2">
          <cell r="A2" t="str">
            <v>DMCI</v>
          </cell>
        </row>
      </sheetData>
      <sheetData sheetId="1505">
        <row r="2">
          <cell r="A2" t="str">
            <v>DMCI</v>
          </cell>
        </row>
      </sheetData>
      <sheetData sheetId="1506">
        <row r="2">
          <cell r="A2" t="str">
            <v>DMCI</v>
          </cell>
        </row>
      </sheetData>
      <sheetData sheetId="1507">
        <row r="2">
          <cell r="A2" t="str">
            <v>DMCI</v>
          </cell>
        </row>
      </sheetData>
      <sheetData sheetId="1508">
        <row r="2">
          <cell r="A2" t="str">
            <v>DMCI</v>
          </cell>
        </row>
      </sheetData>
      <sheetData sheetId="1509">
        <row r="2">
          <cell r="A2" t="str">
            <v>DMCI</v>
          </cell>
        </row>
      </sheetData>
      <sheetData sheetId="1510">
        <row r="2">
          <cell r="A2" t="str">
            <v>DMCI</v>
          </cell>
        </row>
      </sheetData>
      <sheetData sheetId="1511">
        <row r="2">
          <cell r="A2" t="str">
            <v>DMCI</v>
          </cell>
        </row>
      </sheetData>
      <sheetData sheetId="1512">
        <row r="2">
          <cell r="A2" t="str">
            <v>DMCI</v>
          </cell>
        </row>
      </sheetData>
      <sheetData sheetId="1513">
        <row r="2">
          <cell r="A2" t="str">
            <v>DMCI</v>
          </cell>
        </row>
      </sheetData>
      <sheetData sheetId="1514">
        <row r="2">
          <cell r="A2" t="str">
            <v>DMCI</v>
          </cell>
        </row>
      </sheetData>
      <sheetData sheetId="1515">
        <row r="2">
          <cell r="A2" t="str">
            <v>DMCI</v>
          </cell>
        </row>
      </sheetData>
      <sheetData sheetId="1516">
        <row r="2">
          <cell r="A2" t="str">
            <v>DMCI</v>
          </cell>
        </row>
      </sheetData>
      <sheetData sheetId="1517">
        <row r="2">
          <cell r="A2" t="str">
            <v>DMCI</v>
          </cell>
        </row>
      </sheetData>
      <sheetData sheetId="1518">
        <row r="2">
          <cell r="A2" t="str">
            <v>DMCI</v>
          </cell>
        </row>
      </sheetData>
      <sheetData sheetId="1519">
        <row r="2">
          <cell r="A2" t="str">
            <v>DMCI</v>
          </cell>
        </row>
      </sheetData>
      <sheetData sheetId="1520">
        <row r="2">
          <cell r="A2" t="str">
            <v>DMCI</v>
          </cell>
        </row>
      </sheetData>
      <sheetData sheetId="1521">
        <row r="2">
          <cell r="A2" t="str">
            <v>DMCI</v>
          </cell>
        </row>
      </sheetData>
      <sheetData sheetId="1522">
        <row r="2">
          <cell r="A2" t="str">
            <v>DMCI</v>
          </cell>
        </row>
      </sheetData>
      <sheetData sheetId="1523">
        <row r="2">
          <cell r="A2" t="str">
            <v>DMCI</v>
          </cell>
        </row>
      </sheetData>
      <sheetData sheetId="1524">
        <row r="2">
          <cell r="A2" t="str">
            <v>DMCI</v>
          </cell>
        </row>
      </sheetData>
      <sheetData sheetId="1525">
        <row r="2">
          <cell r="A2" t="str">
            <v>DMCI</v>
          </cell>
        </row>
      </sheetData>
      <sheetData sheetId="1526">
        <row r="2">
          <cell r="A2" t="str">
            <v>DMCI</v>
          </cell>
        </row>
      </sheetData>
      <sheetData sheetId="1527">
        <row r="2">
          <cell r="A2" t="str">
            <v>DMCI</v>
          </cell>
        </row>
      </sheetData>
      <sheetData sheetId="1528">
        <row r="2">
          <cell r="A2" t="str">
            <v>DMCI</v>
          </cell>
        </row>
      </sheetData>
      <sheetData sheetId="1529">
        <row r="2">
          <cell r="A2" t="str">
            <v>DMCI</v>
          </cell>
        </row>
      </sheetData>
      <sheetData sheetId="1530">
        <row r="2">
          <cell r="A2" t="str">
            <v>DMCI</v>
          </cell>
        </row>
      </sheetData>
      <sheetData sheetId="1531">
        <row r="2">
          <cell r="A2" t="str">
            <v>DMCI</v>
          </cell>
        </row>
      </sheetData>
      <sheetData sheetId="1532">
        <row r="2">
          <cell r="A2" t="str">
            <v>DMCI</v>
          </cell>
        </row>
      </sheetData>
      <sheetData sheetId="1533">
        <row r="2">
          <cell r="A2" t="str">
            <v>DMCI</v>
          </cell>
        </row>
      </sheetData>
      <sheetData sheetId="1534">
        <row r="2">
          <cell r="A2" t="str">
            <v>DMCI</v>
          </cell>
        </row>
      </sheetData>
      <sheetData sheetId="1535">
        <row r="2">
          <cell r="A2" t="str">
            <v>DMCI</v>
          </cell>
        </row>
      </sheetData>
      <sheetData sheetId="1536">
        <row r="2">
          <cell r="A2" t="str">
            <v>DMCI</v>
          </cell>
        </row>
      </sheetData>
      <sheetData sheetId="1537">
        <row r="2">
          <cell r="A2" t="str">
            <v>DMCI</v>
          </cell>
        </row>
      </sheetData>
      <sheetData sheetId="1538">
        <row r="2">
          <cell r="A2" t="str">
            <v>DMCI</v>
          </cell>
        </row>
      </sheetData>
      <sheetData sheetId="1539">
        <row r="2">
          <cell r="A2" t="str">
            <v>DMCI</v>
          </cell>
        </row>
      </sheetData>
      <sheetData sheetId="1540">
        <row r="2">
          <cell r="A2" t="str">
            <v>DMCI</v>
          </cell>
        </row>
      </sheetData>
      <sheetData sheetId="1541">
        <row r="2">
          <cell r="A2" t="str">
            <v>DMCI</v>
          </cell>
        </row>
      </sheetData>
      <sheetData sheetId="1542">
        <row r="2">
          <cell r="A2" t="str">
            <v>DMCI</v>
          </cell>
        </row>
      </sheetData>
      <sheetData sheetId="1543">
        <row r="2">
          <cell r="A2" t="str">
            <v>DMCI</v>
          </cell>
        </row>
      </sheetData>
      <sheetData sheetId="1544">
        <row r="2">
          <cell r="A2" t="str">
            <v>DMCI</v>
          </cell>
        </row>
      </sheetData>
      <sheetData sheetId="1545">
        <row r="2">
          <cell r="A2" t="str">
            <v>DMCI</v>
          </cell>
        </row>
      </sheetData>
      <sheetData sheetId="1546">
        <row r="2">
          <cell r="A2" t="str">
            <v>DMCI</v>
          </cell>
        </row>
      </sheetData>
      <sheetData sheetId="1547">
        <row r="2">
          <cell r="A2" t="str">
            <v>DMCI</v>
          </cell>
        </row>
      </sheetData>
      <sheetData sheetId="1548">
        <row r="2">
          <cell r="A2" t="str">
            <v>DMCI</v>
          </cell>
        </row>
      </sheetData>
      <sheetData sheetId="1549">
        <row r="2">
          <cell r="A2" t="str">
            <v>DMCI</v>
          </cell>
        </row>
      </sheetData>
      <sheetData sheetId="1550">
        <row r="2">
          <cell r="A2" t="str">
            <v>DMCI</v>
          </cell>
        </row>
      </sheetData>
      <sheetData sheetId="1551">
        <row r="2">
          <cell r="A2" t="str">
            <v>DMCI</v>
          </cell>
        </row>
      </sheetData>
      <sheetData sheetId="1552">
        <row r="2">
          <cell r="A2" t="str">
            <v>DMCI</v>
          </cell>
        </row>
      </sheetData>
      <sheetData sheetId="1553">
        <row r="2">
          <cell r="A2" t="str">
            <v>DMCI</v>
          </cell>
        </row>
      </sheetData>
      <sheetData sheetId="1554">
        <row r="2">
          <cell r="A2" t="str">
            <v>DMCI</v>
          </cell>
        </row>
      </sheetData>
      <sheetData sheetId="1555">
        <row r="2">
          <cell r="A2" t="str">
            <v>DMCI</v>
          </cell>
        </row>
      </sheetData>
      <sheetData sheetId="1556">
        <row r="2">
          <cell r="A2" t="str">
            <v>DMCI</v>
          </cell>
        </row>
      </sheetData>
      <sheetData sheetId="1557">
        <row r="2">
          <cell r="A2" t="str">
            <v>DMCI</v>
          </cell>
        </row>
      </sheetData>
      <sheetData sheetId="1558">
        <row r="2">
          <cell r="A2" t="str">
            <v>DMCI</v>
          </cell>
        </row>
      </sheetData>
      <sheetData sheetId="1559">
        <row r="2">
          <cell r="A2" t="str">
            <v>DMCI</v>
          </cell>
        </row>
      </sheetData>
      <sheetData sheetId="1560">
        <row r="2">
          <cell r="A2" t="str">
            <v>DMCI</v>
          </cell>
        </row>
      </sheetData>
      <sheetData sheetId="1561">
        <row r="2">
          <cell r="A2" t="str">
            <v>DMCI</v>
          </cell>
        </row>
      </sheetData>
      <sheetData sheetId="1562">
        <row r="2">
          <cell r="A2" t="str">
            <v>DMCI</v>
          </cell>
        </row>
      </sheetData>
      <sheetData sheetId="1563">
        <row r="2">
          <cell r="A2" t="str">
            <v>DMCI</v>
          </cell>
        </row>
      </sheetData>
      <sheetData sheetId="1564">
        <row r="2">
          <cell r="A2" t="str">
            <v>DMCI</v>
          </cell>
        </row>
      </sheetData>
      <sheetData sheetId="1565">
        <row r="2">
          <cell r="A2" t="str">
            <v>DMCI</v>
          </cell>
        </row>
      </sheetData>
      <sheetData sheetId="1566">
        <row r="2">
          <cell r="A2" t="str">
            <v>DMCI</v>
          </cell>
        </row>
      </sheetData>
      <sheetData sheetId="1567">
        <row r="2">
          <cell r="A2" t="str">
            <v>DMCI</v>
          </cell>
        </row>
      </sheetData>
      <sheetData sheetId="1568">
        <row r="2">
          <cell r="A2" t="str">
            <v>DMCI</v>
          </cell>
        </row>
      </sheetData>
      <sheetData sheetId="1569">
        <row r="2">
          <cell r="A2" t="str">
            <v>DMCI</v>
          </cell>
        </row>
      </sheetData>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ow r="2">
          <cell r="A2" t="str">
            <v>DMCI</v>
          </cell>
        </row>
      </sheetData>
      <sheetData sheetId="1600">
        <row r="2">
          <cell r="A2" t="str">
            <v>DMCI</v>
          </cell>
        </row>
      </sheetData>
      <sheetData sheetId="1601">
        <row r="2">
          <cell r="A2" t="str">
            <v>DMCI</v>
          </cell>
        </row>
      </sheetData>
      <sheetData sheetId="1602">
        <row r="2">
          <cell r="A2" t="str">
            <v>DMCI</v>
          </cell>
        </row>
      </sheetData>
      <sheetData sheetId="1603">
        <row r="2">
          <cell r="A2" t="str">
            <v>DMCI</v>
          </cell>
        </row>
      </sheetData>
      <sheetData sheetId="1604">
        <row r="2">
          <cell r="A2" t="str">
            <v>DMCI</v>
          </cell>
        </row>
      </sheetData>
      <sheetData sheetId="1605">
        <row r="2">
          <cell r="A2" t="str">
            <v>DMCI</v>
          </cell>
        </row>
      </sheetData>
      <sheetData sheetId="1606">
        <row r="2">
          <cell r="A2" t="str">
            <v>DMCI</v>
          </cell>
        </row>
      </sheetData>
      <sheetData sheetId="1607">
        <row r="2">
          <cell r="A2" t="str">
            <v>DMCI</v>
          </cell>
        </row>
      </sheetData>
      <sheetData sheetId="1608">
        <row r="2">
          <cell r="A2" t="str">
            <v>DMCI</v>
          </cell>
        </row>
      </sheetData>
      <sheetData sheetId="1609">
        <row r="2">
          <cell r="A2" t="str">
            <v>DMCI</v>
          </cell>
        </row>
      </sheetData>
      <sheetData sheetId="1610">
        <row r="2">
          <cell r="A2" t="str">
            <v>DMCI</v>
          </cell>
        </row>
      </sheetData>
      <sheetData sheetId="1611">
        <row r="2">
          <cell r="A2" t="str">
            <v>DMCI</v>
          </cell>
        </row>
      </sheetData>
      <sheetData sheetId="1612">
        <row r="2">
          <cell r="A2" t="str">
            <v>DMCI</v>
          </cell>
        </row>
      </sheetData>
      <sheetData sheetId="1613">
        <row r="2">
          <cell r="A2" t="str">
            <v>DMCI</v>
          </cell>
        </row>
      </sheetData>
      <sheetData sheetId="1614">
        <row r="2">
          <cell r="A2" t="str">
            <v>DMCI</v>
          </cell>
        </row>
      </sheetData>
      <sheetData sheetId="1615">
        <row r="2">
          <cell r="A2" t="str">
            <v>DMCI</v>
          </cell>
        </row>
      </sheetData>
      <sheetData sheetId="1616">
        <row r="2">
          <cell r="A2" t="str">
            <v>DMCI</v>
          </cell>
        </row>
      </sheetData>
      <sheetData sheetId="1617">
        <row r="2">
          <cell r="A2" t="str">
            <v>DMCI</v>
          </cell>
        </row>
      </sheetData>
      <sheetData sheetId="1618">
        <row r="2">
          <cell r="A2" t="str">
            <v>DMCI</v>
          </cell>
        </row>
      </sheetData>
      <sheetData sheetId="1619">
        <row r="2">
          <cell r="A2" t="str">
            <v>DMCI</v>
          </cell>
        </row>
      </sheetData>
      <sheetData sheetId="1620">
        <row r="2">
          <cell r="A2" t="str">
            <v>DMCI</v>
          </cell>
        </row>
      </sheetData>
      <sheetData sheetId="1621">
        <row r="2">
          <cell r="A2" t="str">
            <v>DMCI</v>
          </cell>
        </row>
      </sheetData>
      <sheetData sheetId="1622">
        <row r="2">
          <cell r="A2" t="str">
            <v>DMCI</v>
          </cell>
        </row>
      </sheetData>
      <sheetData sheetId="1623">
        <row r="2">
          <cell r="A2" t="str">
            <v>DMCI</v>
          </cell>
        </row>
      </sheetData>
      <sheetData sheetId="1624">
        <row r="2">
          <cell r="A2" t="str">
            <v>DMCI</v>
          </cell>
        </row>
      </sheetData>
      <sheetData sheetId="1625">
        <row r="2">
          <cell r="A2" t="str">
            <v>DMCI</v>
          </cell>
        </row>
      </sheetData>
      <sheetData sheetId="1626">
        <row r="2">
          <cell r="A2" t="str">
            <v>DMCI</v>
          </cell>
        </row>
      </sheetData>
      <sheetData sheetId="1627">
        <row r="2">
          <cell r="A2" t="str">
            <v>DMCI</v>
          </cell>
        </row>
      </sheetData>
      <sheetData sheetId="1628">
        <row r="2">
          <cell r="A2" t="str">
            <v>DMCI</v>
          </cell>
        </row>
      </sheetData>
      <sheetData sheetId="1629">
        <row r="2">
          <cell r="A2" t="str">
            <v>DMCI</v>
          </cell>
        </row>
      </sheetData>
      <sheetData sheetId="1630">
        <row r="2">
          <cell r="A2" t="str">
            <v>DMCI</v>
          </cell>
        </row>
      </sheetData>
      <sheetData sheetId="1631">
        <row r="2">
          <cell r="A2" t="str">
            <v>DMCI</v>
          </cell>
        </row>
      </sheetData>
      <sheetData sheetId="1632">
        <row r="2">
          <cell r="A2" t="str">
            <v>DMCI</v>
          </cell>
        </row>
      </sheetData>
      <sheetData sheetId="1633">
        <row r="2">
          <cell r="A2" t="str">
            <v>DMCI</v>
          </cell>
        </row>
      </sheetData>
      <sheetData sheetId="1634">
        <row r="2">
          <cell r="A2" t="str">
            <v>DMCI</v>
          </cell>
        </row>
      </sheetData>
      <sheetData sheetId="1635">
        <row r="2">
          <cell r="A2" t="str">
            <v>DMCI</v>
          </cell>
        </row>
      </sheetData>
      <sheetData sheetId="1636">
        <row r="2">
          <cell r="A2" t="str">
            <v>DMCI</v>
          </cell>
        </row>
      </sheetData>
      <sheetData sheetId="1637">
        <row r="2">
          <cell r="A2" t="str">
            <v>DMCI</v>
          </cell>
        </row>
      </sheetData>
      <sheetData sheetId="1638">
        <row r="2">
          <cell r="A2" t="str">
            <v>DMCI</v>
          </cell>
        </row>
      </sheetData>
      <sheetData sheetId="1639">
        <row r="2">
          <cell r="A2" t="str">
            <v>DMCI</v>
          </cell>
        </row>
      </sheetData>
      <sheetData sheetId="1640">
        <row r="2">
          <cell r="A2" t="str">
            <v>DMCI</v>
          </cell>
        </row>
      </sheetData>
      <sheetData sheetId="1641">
        <row r="2">
          <cell r="A2" t="str">
            <v>DMCI</v>
          </cell>
        </row>
      </sheetData>
      <sheetData sheetId="1642">
        <row r="2">
          <cell r="A2" t="str">
            <v>DMCI</v>
          </cell>
        </row>
      </sheetData>
      <sheetData sheetId="1643">
        <row r="2">
          <cell r="A2" t="str">
            <v>DMCI</v>
          </cell>
        </row>
      </sheetData>
      <sheetData sheetId="1644">
        <row r="2">
          <cell r="A2" t="str">
            <v>DMCI</v>
          </cell>
        </row>
      </sheetData>
      <sheetData sheetId="1645">
        <row r="2">
          <cell r="A2" t="str">
            <v>DMCI</v>
          </cell>
        </row>
      </sheetData>
      <sheetData sheetId="1646">
        <row r="2">
          <cell r="A2" t="str">
            <v>DMCI</v>
          </cell>
        </row>
      </sheetData>
      <sheetData sheetId="1647">
        <row r="2">
          <cell r="A2" t="str">
            <v>DMCI</v>
          </cell>
        </row>
      </sheetData>
      <sheetData sheetId="1648">
        <row r="2">
          <cell r="A2" t="str">
            <v>DMCI</v>
          </cell>
        </row>
      </sheetData>
      <sheetData sheetId="1649">
        <row r="2">
          <cell r="A2" t="str">
            <v>DMCI</v>
          </cell>
        </row>
      </sheetData>
      <sheetData sheetId="1650">
        <row r="2">
          <cell r="A2" t="str">
            <v>DMCI</v>
          </cell>
        </row>
      </sheetData>
      <sheetData sheetId="1651">
        <row r="2">
          <cell r="A2" t="str">
            <v>DMCI</v>
          </cell>
        </row>
      </sheetData>
      <sheetData sheetId="1652">
        <row r="2">
          <cell r="A2" t="str">
            <v>DMCI</v>
          </cell>
        </row>
      </sheetData>
      <sheetData sheetId="1653">
        <row r="2">
          <cell r="A2" t="str">
            <v>DMCI</v>
          </cell>
        </row>
      </sheetData>
      <sheetData sheetId="1654">
        <row r="2">
          <cell r="A2" t="str">
            <v>DMCI</v>
          </cell>
        </row>
      </sheetData>
      <sheetData sheetId="1655">
        <row r="2">
          <cell r="A2" t="str">
            <v>DMCI</v>
          </cell>
        </row>
      </sheetData>
      <sheetData sheetId="1656">
        <row r="2">
          <cell r="A2" t="str">
            <v>DMCI</v>
          </cell>
        </row>
      </sheetData>
      <sheetData sheetId="1657">
        <row r="2">
          <cell r="A2" t="str">
            <v>DMCI</v>
          </cell>
        </row>
      </sheetData>
      <sheetData sheetId="1658">
        <row r="2">
          <cell r="A2" t="str">
            <v>DMCI</v>
          </cell>
        </row>
      </sheetData>
      <sheetData sheetId="1659">
        <row r="2">
          <cell r="A2" t="str">
            <v>DMCI</v>
          </cell>
        </row>
      </sheetData>
      <sheetData sheetId="1660">
        <row r="2">
          <cell r="A2" t="str">
            <v>DMCI</v>
          </cell>
        </row>
      </sheetData>
      <sheetData sheetId="1661">
        <row r="2">
          <cell r="A2" t="str">
            <v>DMCI</v>
          </cell>
        </row>
      </sheetData>
      <sheetData sheetId="1662">
        <row r="2">
          <cell r="A2" t="str">
            <v>DMCI</v>
          </cell>
        </row>
      </sheetData>
      <sheetData sheetId="1663">
        <row r="2">
          <cell r="A2" t="str">
            <v>DMCI</v>
          </cell>
        </row>
      </sheetData>
      <sheetData sheetId="1664">
        <row r="2">
          <cell r="A2" t="str">
            <v>DMCI</v>
          </cell>
        </row>
      </sheetData>
      <sheetData sheetId="1665">
        <row r="2">
          <cell r="A2" t="str">
            <v>DMCI</v>
          </cell>
        </row>
      </sheetData>
      <sheetData sheetId="1666">
        <row r="2">
          <cell r="A2" t="str">
            <v>DMCI</v>
          </cell>
        </row>
      </sheetData>
      <sheetData sheetId="1667">
        <row r="2">
          <cell r="A2" t="str">
            <v>DMCI</v>
          </cell>
        </row>
      </sheetData>
      <sheetData sheetId="1668">
        <row r="2">
          <cell r="A2" t="str">
            <v>DMCI</v>
          </cell>
        </row>
      </sheetData>
      <sheetData sheetId="1669">
        <row r="2">
          <cell r="A2" t="str">
            <v>DMCI</v>
          </cell>
        </row>
      </sheetData>
      <sheetData sheetId="1670">
        <row r="2">
          <cell r="A2" t="str">
            <v>DMCI</v>
          </cell>
        </row>
      </sheetData>
      <sheetData sheetId="1671">
        <row r="2">
          <cell r="A2" t="str">
            <v>DMCI</v>
          </cell>
        </row>
      </sheetData>
      <sheetData sheetId="1672">
        <row r="2">
          <cell r="A2" t="str">
            <v>DMCI</v>
          </cell>
        </row>
      </sheetData>
      <sheetData sheetId="1673">
        <row r="2">
          <cell r="A2" t="str">
            <v>DMCI</v>
          </cell>
        </row>
      </sheetData>
      <sheetData sheetId="1674">
        <row r="2">
          <cell r="A2" t="str">
            <v>DMCI</v>
          </cell>
        </row>
      </sheetData>
      <sheetData sheetId="1675">
        <row r="2">
          <cell r="A2" t="str">
            <v>DMCI</v>
          </cell>
        </row>
      </sheetData>
      <sheetData sheetId="1676">
        <row r="2">
          <cell r="A2" t="str">
            <v>DMCI</v>
          </cell>
        </row>
      </sheetData>
      <sheetData sheetId="1677">
        <row r="2">
          <cell r="A2" t="str">
            <v>DMCI</v>
          </cell>
        </row>
      </sheetData>
      <sheetData sheetId="1678">
        <row r="2">
          <cell r="A2" t="str">
            <v>DMCI</v>
          </cell>
        </row>
      </sheetData>
      <sheetData sheetId="1679">
        <row r="2">
          <cell r="A2" t="str">
            <v>DMCI</v>
          </cell>
        </row>
      </sheetData>
      <sheetData sheetId="1680">
        <row r="2">
          <cell r="A2" t="str">
            <v>DMCI</v>
          </cell>
        </row>
      </sheetData>
      <sheetData sheetId="1681">
        <row r="2">
          <cell r="A2" t="str">
            <v>DMCI</v>
          </cell>
        </row>
      </sheetData>
      <sheetData sheetId="1682">
        <row r="2">
          <cell r="A2" t="str">
            <v>DMCI</v>
          </cell>
        </row>
      </sheetData>
      <sheetData sheetId="1683">
        <row r="2">
          <cell r="A2" t="str">
            <v>DMCI</v>
          </cell>
        </row>
      </sheetData>
      <sheetData sheetId="1684">
        <row r="2">
          <cell r="A2" t="str">
            <v>DMCI</v>
          </cell>
        </row>
      </sheetData>
      <sheetData sheetId="1685">
        <row r="2">
          <cell r="A2" t="str">
            <v>DMCI</v>
          </cell>
        </row>
      </sheetData>
      <sheetData sheetId="1686">
        <row r="2">
          <cell r="A2" t="str">
            <v>DMCI</v>
          </cell>
        </row>
      </sheetData>
      <sheetData sheetId="1687">
        <row r="2">
          <cell r="A2" t="str">
            <v>DMCI</v>
          </cell>
        </row>
      </sheetData>
      <sheetData sheetId="1688">
        <row r="2">
          <cell r="A2" t="str">
            <v>DMCI</v>
          </cell>
        </row>
      </sheetData>
      <sheetData sheetId="1689">
        <row r="2">
          <cell r="A2" t="str">
            <v>DMCI</v>
          </cell>
        </row>
      </sheetData>
      <sheetData sheetId="1690">
        <row r="2">
          <cell r="A2" t="str">
            <v>DMCI</v>
          </cell>
        </row>
      </sheetData>
      <sheetData sheetId="1691">
        <row r="2">
          <cell r="A2" t="str">
            <v>DMCI</v>
          </cell>
        </row>
      </sheetData>
      <sheetData sheetId="1692">
        <row r="2">
          <cell r="A2" t="str">
            <v>DMCI</v>
          </cell>
        </row>
      </sheetData>
      <sheetData sheetId="1693">
        <row r="2">
          <cell r="A2" t="str">
            <v>DMCI</v>
          </cell>
        </row>
      </sheetData>
      <sheetData sheetId="1694">
        <row r="2">
          <cell r="A2" t="str">
            <v>DMCI</v>
          </cell>
        </row>
      </sheetData>
      <sheetData sheetId="1695">
        <row r="2">
          <cell r="A2" t="str">
            <v>DMCI</v>
          </cell>
        </row>
      </sheetData>
      <sheetData sheetId="1696">
        <row r="2">
          <cell r="A2" t="str">
            <v>DMCI</v>
          </cell>
        </row>
      </sheetData>
      <sheetData sheetId="1697">
        <row r="2">
          <cell r="A2" t="str">
            <v>DMCI</v>
          </cell>
        </row>
      </sheetData>
      <sheetData sheetId="1698">
        <row r="2">
          <cell r="A2" t="str">
            <v>DMCI</v>
          </cell>
        </row>
      </sheetData>
      <sheetData sheetId="1699">
        <row r="2">
          <cell r="A2" t="str">
            <v>DMCI</v>
          </cell>
        </row>
      </sheetData>
      <sheetData sheetId="1700">
        <row r="2">
          <cell r="A2" t="str">
            <v>DMCI</v>
          </cell>
        </row>
      </sheetData>
      <sheetData sheetId="1701">
        <row r="2">
          <cell r="A2" t="str">
            <v>DMCI</v>
          </cell>
        </row>
      </sheetData>
      <sheetData sheetId="1702">
        <row r="2">
          <cell r="A2" t="str">
            <v>DMCI</v>
          </cell>
        </row>
      </sheetData>
      <sheetData sheetId="1703">
        <row r="2">
          <cell r="A2" t="str">
            <v>DMCI</v>
          </cell>
        </row>
      </sheetData>
      <sheetData sheetId="1704">
        <row r="2">
          <cell r="A2" t="str">
            <v>DMCI</v>
          </cell>
        </row>
      </sheetData>
      <sheetData sheetId="1705">
        <row r="2">
          <cell r="A2" t="str">
            <v>DMCI</v>
          </cell>
        </row>
      </sheetData>
      <sheetData sheetId="1706">
        <row r="2">
          <cell r="A2" t="str">
            <v>DMCI</v>
          </cell>
        </row>
      </sheetData>
      <sheetData sheetId="1707">
        <row r="2">
          <cell r="A2" t="str">
            <v>DMCI</v>
          </cell>
        </row>
      </sheetData>
      <sheetData sheetId="1708">
        <row r="2">
          <cell r="A2" t="str">
            <v>DMCI</v>
          </cell>
        </row>
      </sheetData>
      <sheetData sheetId="1709">
        <row r="2">
          <cell r="A2" t="str">
            <v>DMCI</v>
          </cell>
        </row>
      </sheetData>
      <sheetData sheetId="1710">
        <row r="2">
          <cell r="A2" t="str">
            <v>DMCI</v>
          </cell>
        </row>
      </sheetData>
      <sheetData sheetId="1711">
        <row r="2">
          <cell r="A2" t="str">
            <v>DMCI</v>
          </cell>
        </row>
      </sheetData>
      <sheetData sheetId="1712">
        <row r="2">
          <cell r="A2" t="str">
            <v>DMCI</v>
          </cell>
        </row>
      </sheetData>
      <sheetData sheetId="1713">
        <row r="2">
          <cell r="A2" t="str">
            <v>DMCI</v>
          </cell>
        </row>
      </sheetData>
      <sheetData sheetId="1714">
        <row r="2">
          <cell r="A2" t="str">
            <v>DMCI</v>
          </cell>
        </row>
      </sheetData>
      <sheetData sheetId="1715">
        <row r="2">
          <cell r="A2" t="str">
            <v>DMCI</v>
          </cell>
        </row>
      </sheetData>
      <sheetData sheetId="1716">
        <row r="2">
          <cell r="A2" t="str">
            <v>DMCI</v>
          </cell>
        </row>
      </sheetData>
      <sheetData sheetId="1717">
        <row r="2">
          <cell r="A2" t="str">
            <v>DMCI</v>
          </cell>
        </row>
      </sheetData>
      <sheetData sheetId="1718">
        <row r="2">
          <cell r="A2" t="str">
            <v>DMCI</v>
          </cell>
        </row>
      </sheetData>
      <sheetData sheetId="1719">
        <row r="2">
          <cell r="A2" t="str">
            <v>DMCI</v>
          </cell>
        </row>
      </sheetData>
      <sheetData sheetId="1720">
        <row r="2">
          <cell r="A2" t="str">
            <v>DMCI</v>
          </cell>
        </row>
      </sheetData>
      <sheetData sheetId="1721">
        <row r="2">
          <cell r="A2" t="str">
            <v>DMCI</v>
          </cell>
        </row>
      </sheetData>
      <sheetData sheetId="1722">
        <row r="2">
          <cell r="A2" t="str">
            <v>DMCI</v>
          </cell>
        </row>
      </sheetData>
      <sheetData sheetId="1723">
        <row r="2">
          <cell r="A2" t="str">
            <v>DMCI</v>
          </cell>
        </row>
      </sheetData>
      <sheetData sheetId="1724">
        <row r="2">
          <cell r="A2" t="str">
            <v>DMCI</v>
          </cell>
        </row>
      </sheetData>
      <sheetData sheetId="1725">
        <row r="2">
          <cell r="A2" t="str">
            <v>DMCI</v>
          </cell>
        </row>
      </sheetData>
      <sheetData sheetId="1726">
        <row r="2">
          <cell r="A2" t="str">
            <v>DMCI</v>
          </cell>
        </row>
      </sheetData>
      <sheetData sheetId="1727">
        <row r="2">
          <cell r="A2" t="str">
            <v>DMCI</v>
          </cell>
        </row>
      </sheetData>
      <sheetData sheetId="1728">
        <row r="2">
          <cell r="A2" t="str">
            <v>DMCI</v>
          </cell>
        </row>
      </sheetData>
      <sheetData sheetId="1729">
        <row r="2">
          <cell r="A2" t="str">
            <v>DMCI</v>
          </cell>
        </row>
      </sheetData>
      <sheetData sheetId="1730">
        <row r="2">
          <cell r="A2" t="str">
            <v>DMCI</v>
          </cell>
        </row>
      </sheetData>
      <sheetData sheetId="1731">
        <row r="2">
          <cell r="A2" t="str">
            <v>DMCI</v>
          </cell>
        </row>
      </sheetData>
      <sheetData sheetId="1732">
        <row r="2">
          <cell r="A2" t="str">
            <v>DMCI</v>
          </cell>
        </row>
      </sheetData>
      <sheetData sheetId="1733">
        <row r="2">
          <cell r="A2" t="str">
            <v>DMCI</v>
          </cell>
        </row>
      </sheetData>
      <sheetData sheetId="1734">
        <row r="2">
          <cell r="A2" t="str">
            <v>DMCI</v>
          </cell>
        </row>
      </sheetData>
      <sheetData sheetId="1735">
        <row r="2">
          <cell r="A2" t="str">
            <v>DMCI</v>
          </cell>
        </row>
      </sheetData>
      <sheetData sheetId="1736">
        <row r="2">
          <cell r="A2" t="str">
            <v>DMCI</v>
          </cell>
        </row>
      </sheetData>
      <sheetData sheetId="1737">
        <row r="2">
          <cell r="A2" t="str">
            <v>DMCI</v>
          </cell>
        </row>
      </sheetData>
      <sheetData sheetId="1738">
        <row r="2">
          <cell r="A2" t="str">
            <v>DMCI</v>
          </cell>
        </row>
      </sheetData>
      <sheetData sheetId="1739">
        <row r="2">
          <cell r="A2" t="str">
            <v>DMCI</v>
          </cell>
        </row>
      </sheetData>
      <sheetData sheetId="1740">
        <row r="2">
          <cell r="A2" t="str">
            <v>DMCI</v>
          </cell>
        </row>
      </sheetData>
      <sheetData sheetId="1741">
        <row r="2">
          <cell r="A2" t="str">
            <v>DMCI</v>
          </cell>
        </row>
      </sheetData>
      <sheetData sheetId="1742">
        <row r="2">
          <cell r="A2" t="str">
            <v>DMCI</v>
          </cell>
        </row>
      </sheetData>
      <sheetData sheetId="1743">
        <row r="2">
          <cell r="A2" t="str">
            <v>DMCI</v>
          </cell>
        </row>
      </sheetData>
      <sheetData sheetId="1744">
        <row r="2">
          <cell r="A2" t="str">
            <v>DMCI</v>
          </cell>
        </row>
      </sheetData>
      <sheetData sheetId="1745">
        <row r="2">
          <cell r="A2" t="str">
            <v>DMCI</v>
          </cell>
        </row>
      </sheetData>
      <sheetData sheetId="1746">
        <row r="2">
          <cell r="A2" t="str">
            <v>DMCI</v>
          </cell>
        </row>
      </sheetData>
      <sheetData sheetId="1747">
        <row r="2">
          <cell r="A2" t="str">
            <v>DMCI</v>
          </cell>
        </row>
      </sheetData>
      <sheetData sheetId="1748">
        <row r="2">
          <cell r="A2" t="str">
            <v>DMCI</v>
          </cell>
        </row>
      </sheetData>
      <sheetData sheetId="1749">
        <row r="2">
          <cell r="A2" t="str">
            <v>DMCI</v>
          </cell>
        </row>
      </sheetData>
      <sheetData sheetId="1750">
        <row r="2">
          <cell r="A2" t="str">
            <v>DMCI</v>
          </cell>
        </row>
      </sheetData>
      <sheetData sheetId="1751">
        <row r="2">
          <cell r="A2" t="str">
            <v>DMCI</v>
          </cell>
        </row>
      </sheetData>
      <sheetData sheetId="1752">
        <row r="2">
          <cell r="A2" t="str">
            <v>DMCI</v>
          </cell>
        </row>
      </sheetData>
      <sheetData sheetId="1753">
        <row r="2">
          <cell r="A2" t="str">
            <v>DMCI</v>
          </cell>
        </row>
      </sheetData>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sheetData sheetId="2105"/>
      <sheetData sheetId="2106"/>
      <sheetData sheetId="2107"/>
      <sheetData sheetId="2108"/>
      <sheetData sheetId="2109"/>
      <sheetData sheetId="2110">
        <row r="2">
          <cell r="A2" t="str">
            <v>DMCI</v>
          </cell>
        </row>
      </sheetData>
      <sheetData sheetId="2111"/>
      <sheetData sheetId="2112">
        <row r="2">
          <cell r="A2" t="str">
            <v>DMCI</v>
          </cell>
        </row>
      </sheetData>
      <sheetData sheetId="2113">
        <row r="2">
          <cell r="A2" t="str">
            <v>DMCI</v>
          </cell>
        </row>
      </sheetData>
      <sheetData sheetId="2114">
        <row r="2">
          <cell r="A2" t="str">
            <v>DMCI</v>
          </cell>
        </row>
      </sheetData>
      <sheetData sheetId="2115"/>
      <sheetData sheetId="2116"/>
      <sheetData sheetId="2117"/>
      <sheetData sheetId="2118"/>
      <sheetData sheetId="2119"/>
      <sheetData sheetId="2120">
        <row r="2">
          <cell r="A2" t="str">
            <v>DMCI</v>
          </cell>
        </row>
      </sheetData>
      <sheetData sheetId="2121">
        <row r="2">
          <cell r="A2" t="str">
            <v>DMCI</v>
          </cell>
        </row>
      </sheetData>
      <sheetData sheetId="2122">
        <row r="2">
          <cell r="A2" t="str">
            <v>DMCI</v>
          </cell>
        </row>
      </sheetData>
      <sheetData sheetId="2123">
        <row r="2">
          <cell r="A2" t="str">
            <v>DMCI</v>
          </cell>
        </row>
      </sheetData>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ow r="2">
          <cell r="A2" t="str">
            <v>DMCI</v>
          </cell>
        </row>
      </sheetData>
      <sheetData sheetId="2140"/>
      <sheetData sheetId="2141">
        <row r="2">
          <cell r="A2" t="str">
            <v>DMCI</v>
          </cell>
        </row>
      </sheetData>
      <sheetData sheetId="2142">
        <row r="2">
          <cell r="A2" t="str">
            <v>DMCI</v>
          </cell>
        </row>
      </sheetData>
      <sheetData sheetId="2143">
        <row r="2">
          <cell r="A2" t="str">
            <v>DMCI</v>
          </cell>
        </row>
      </sheetData>
      <sheetData sheetId="2144"/>
      <sheetData sheetId="2145"/>
      <sheetData sheetId="2146"/>
      <sheetData sheetId="2147"/>
      <sheetData sheetId="2148"/>
      <sheetData sheetId="2149">
        <row r="2">
          <cell r="A2" t="str">
            <v>DMCI</v>
          </cell>
        </row>
      </sheetData>
      <sheetData sheetId="2150">
        <row r="2">
          <cell r="A2" t="str">
            <v>DMCI</v>
          </cell>
        </row>
      </sheetData>
      <sheetData sheetId="2151">
        <row r="2">
          <cell r="A2" t="str">
            <v>DMCI</v>
          </cell>
        </row>
      </sheetData>
      <sheetData sheetId="2152">
        <row r="2">
          <cell r="A2" t="str">
            <v>DMCI</v>
          </cell>
        </row>
      </sheetData>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row r="2">
          <cell r="A2" t="str">
            <v>DMCI</v>
          </cell>
        </row>
      </sheetData>
      <sheetData sheetId="2171"/>
      <sheetData sheetId="2172">
        <row r="2">
          <cell r="A2" t="str">
            <v>DMCI</v>
          </cell>
        </row>
      </sheetData>
      <sheetData sheetId="2173"/>
      <sheetData sheetId="2174"/>
      <sheetData sheetId="2175"/>
      <sheetData sheetId="2176"/>
      <sheetData sheetId="2177">
        <row r="2">
          <cell r="A2" t="str">
            <v>DMCI</v>
          </cell>
        </row>
      </sheetData>
      <sheetData sheetId="2178"/>
      <sheetData sheetId="2179"/>
      <sheetData sheetId="2180"/>
      <sheetData sheetId="2181">
        <row r="2">
          <cell r="A2" t="str">
            <v>DMCI</v>
          </cell>
        </row>
      </sheetData>
      <sheetData sheetId="2182">
        <row r="2">
          <cell r="A2" t="str">
            <v>DMCI</v>
          </cell>
        </row>
      </sheetData>
      <sheetData sheetId="2183"/>
      <sheetData sheetId="2184"/>
      <sheetData sheetId="2185">
        <row r="2">
          <cell r="A2" t="str">
            <v>DMCI</v>
          </cell>
        </row>
      </sheetData>
      <sheetData sheetId="2186">
        <row r="2">
          <cell r="A2" t="str">
            <v>DMCI</v>
          </cell>
        </row>
      </sheetData>
      <sheetData sheetId="2187">
        <row r="2">
          <cell r="A2" t="str">
            <v>DMCI</v>
          </cell>
        </row>
      </sheetData>
      <sheetData sheetId="2188"/>
      <sheetData sheetId="2189"/>
      <sheetData sheetId="2190">
        <row r="2">
          <cell r="A2" t="str">
            <v>DMCI</v>
          </cell>
        </row>
      </sheetData>
      <sheetData sheetId="2191">
        <row r="2">
          <cell r="A2" t="str">
            <v>DMCI</v>
          </cell>
        </row>
      </sheetData>
      <sheetData sheetId="2192">
        <row r="2">
          <cell r="A2" t="str">
            <v>DMCI</v>
          </cell>
        </row>
      </sheetData>
      <sheetData sheetId="2193">
        <row r="2">
          <cell r="A2" t="str">
            <v>DMCI</v>
          </cell>
        </row>
      </sheetData>
      <sheetData sheetId="2194">
        <row r="2">
          <cell r="A2" t="str">
            <v>DMCI</v>
          </cell>
        </row>
      </sheetData>
      <sheetData sheetId="2195">
        <row r="2">
          <cell r="A2" t="str">
            <v>DMCI</v>
          </cell>
        </row>
      </sheetData>
      <sheetData sheetId="2196">
        <row r="2">
          <cell r="A2" t="str">
            <v>DMCI</v>
          </cell>
        </row>
      </sheetData>
      <sheetData sheetId="2197">
        <row r="2">
          <cell r="A2" t="str">
            <v>DMCI</v>
          </cell>
        </row>
      </sheetData>
      <sheetData sheetId="2198">
        <row r="2">
          <cell r="A2" t="str">
            <v>DMCI</v>
          </cell>
        </row>
      </sheetData>
      <sheetData sheetId="2199">
        <row r="2">
          <cell r="A2" t="str">
            <v>DMCI</v>
          </cell>
        </row>
      </sheetData>
      <sheetData sheetId="2200">
        <row r="2">
          <cell r="A2" t="str">
            <v>DMCI</v>
          </cell>
        </row>
      </sheetData>
      <sheetData sheetId="2201">
        <row r="2">
          <cell r="A2" t="str">
            <v>DMCI</v>
          </cell>
        </row>
      </sheetData>
      <sheetData sheetId="2202">
        <row r="2">
          <cell r="A2" t="str">
            <v>DMCI</v>
          </cell>
        </row>
      </sheetData>
      <sheetData sheetId="2203">
        <row r="2">
          <cell r="A2" t="str">
            <v>DMCI</v>
          </cell>
        </row>
      </sheetData>
      <sheetData sheetId="2204"/>
      <sheetData sheetId="2205"/>
      <sheetData sheetId="2206"/>
      <sheetData sheetId="2207"/>
      <sheetData sheetId="2208"/>
      <sheetData sheetId="2209">
        <row r="2">
          <cell r="A2" t="str">
            <v>DMCI</v>
          </cell>
        </row>
      </sheetData>
      <sheetData sheetId="2210"/>
      <sheetData sheetId="2211"/>
      <sheetData sheetId="2212"/>
      <sheetData sheetId="2213">
        <row r="2">
          <cell r="A2" t="str">
            <v>DMCI</v>
          </cell>
        </row>
      </sheetData>
      <sheetData sheetId="2214">
        <row r="2">
          <cell r="A2" t="str">
            <v>DMCI</v>
          </cell>
        </row>
      </sheetData>
      <sheetData sheetId="2215"/>
      <sheetData sheetId="2216"/>
      <sheetData sheetId="2217">
        <row r="2">
          <cell r="A2" t="str">
            <v>DMCI</v>
          </cell>
        </row>
      </sheetData>
      <sheetData sheetId="2218">
        <row r="2">
          <cell r="A2" t="str">
            <v>DMCI</v>
          </cell>
        </row>
      </sheetData>
      <sheetData sheetId="2219">
        <row r="2">
          <cell r="A2" t="str">
            <v>DMCI</v>
          </cell>
        </row>
      </sheetData>
      <sheetData sheetId="2220"/>
      <sheetData sheetId="2221"/>
      <sheetData sheetId="2222">
        <row r="2">
          <cell r="A2" t="str">
            <v>DMCI</v>
          </cell>
        </row>
      </sheetData>
      <sheetData sheetId="2223">
        <row r="2">
          <cell r="A2" t="str">
            <v>DMCI</v>
          </cell>
        </row>
      </sheetData>
      <sheetData sheetId="2224">
        <row r="2">
          <cell r="A2" t="str">
            <v>DMCI</v>
          </cell>
        </row>
      </sheetData>
      <sheetData sheetId="2225">
        <row r="2">
          <cell r="A2" t="str">
            <v>DMCI</v>
          </cell>
        </row>
      </sheetData>
      <sheetData sheetId="2226">
        <row r="2">
          <cell r="A2" t="str">
            <v>DMCI</v>
          </cell>
        </row>
      </sheetData>
      <sheetData sheetId="2227">
        <row r="2">
          <cell r="A2" t="str">
            <v>DMCI</v>
          </cell>
        </row>
      </sheetData>
      <sheetData sheetId="2228">
        <row r="2">
          <cell r="A2" t="str">
            <v>DMCI</v>
          </cell>
        </row>
      </sheetData>
      <sheetData sheetId="2229">
        <row r="2">
          <cell r="A2" t="str">
            <v>DMCI</v>
          </cell>
        </row>
      </sheetData>
      <sheetData sheetId="2230">
        <row r="2">
          <cell r="A2" t="str">
            <v>DMCI</v>
          </cell>
        </row>
      </sheetData>
      <sheetData sheetId="2231">
        <row r="2">
          <cell r="A2" t="str">
            <v>DMCI</v>
          </cell>
        </row>
      </sheetData>
      <sheetData sheetId="2232">
        <row r="2">
          <cell r="A2" t="str">
            <v>DMCI</v>
          </cell>
        </row>
      </sheetData>
      <sheetData sheetId="2233">
        <row r="2">
          <cell r="A2" t="str">
            <v>DMCI</v>
          </cell>
        </row>
      </sheetData>
      <sheetData sheetId="2234"/>
      <sheetData sheetId="2235"/>
      <sheetData sheetId="2236">
        <row r="2">
          <cell r="A2" t="str">
            <v>DMCI</v>
          </cell>
        </row>
      </sheetData>
      <sheetData sheetId="2237"/>
      <sheetData sheetId="2238"/>
      <sheetData sheetId="2239"/>
      <sheetData sheetId="2240"/>
      <sheetData sheetId="2241"/>
      <sheetData sheetId="2242"/>
      <sheetData sheetId="2243"/>
      <sheetData sheetId="2244"/>
      <sheetData sheetId="2245"/>
      <sheetData sheetId="2246">
        <row r="2">
          <cell r="A2" t="str">
            <v>DMCI</v>
          </cell>
        </row>
      </sheetData>
      <sheetData sheetId="2247"/>
      <sheetData sheetId="2248"/>
      <sheetData sheetId="2249"/>
      <sheetData sheetId="2250">
        <row r="2">
          <cell r="A2" t="str">
            <v>DMCI</v>
          </cell>
        </row>
      </sheetData>
      <sheetData sheetId="2251">
        <row r="2">
          <cell r="A2" t="str">
            <v>DMCI</v>
          </cell>
        </row>
      </sheetData>
      <sheetData sheetId="2252"/>
      <sheetData sheetId="2253"/>
      <sheetData sheetId="2254"/>
      <sheetData sheetId="2255"/>
      <sheetData sheetId="2256"/>
      <sheetData sheetId="2257">
        <row r="2">
          <cell r="A2" t="str">
            <v>DMCI</v>
          </cell>
        </row>
      </sheetData>
      <sheetData sheetId="2258">
        <row r="2">
          <cell r="A2" t="str">
            <v>DMCI</v>
          </cell>
        </row>
      </sheetData>
      <sheetData sheetId="2259">
        <row r="2">
          <cell r="A2" t="str">
            <v>DMCI</v>
          </cell>
        </row>
      </sheetData>
      <sheetData sheetId="2260"/>
      <sheetData sheetId="2261"/>
      <sheetData sheetId="2262">
        <row r="2">
          <cell r="A2" t="str">
            <v>DMCI</v>
          </cell>
        </row>
      </sheetData>
      <sheetData sheetId="2263">
        <row r="2">
          <cell r="A2" t="str">
            <v>DMCI</v>
          </cell>
        </row>
      </sheetData>
      <sheetData sheetId="2264">
        <row r="2">
          <cell r="A2" t="str">
            <v>DMCI</v>
          </cell>
        </row>
      </sheetData>
      <sheetData sheetId="2265">
        <row r="2">
          <cell r="A2" t="str">
            <v>DMCI</v>
          </cell>
        </row>
      </sheetData>
      <sheetData sheetId="2266">
        <row r="2">
          <cell r="A2" t="str">
            <v>DMCI</v>
          </cell>
        </row>
      </sheetData>
      <sheetData sheetId="2267">
        <row r="2">
          <cell r="A2" t="str">
            <v>DMCI</v>
          </cell>
        </row>
      </sheetData>
      <sheetData sheetId="2268">
        <row r="2">
          <cell r="A2" t="str">
            <v>DMCI</v>
          </cell>
        </row>
      </sheetData>
      <sheetData sheetId="2269">
        <row r="2">
          <cell r="A2" t="str">
            <v>DMCI</v>
          </cell>
        </row>
      </sheetData>
      <sheetData sheetId="2270">
        <row r="2">
          <cell r="A2" t="str">
            <v>DMCI</v>
          </cell>
        </row>
      </sheetData>
      <sheetData sheetId="2271">
        <row r="2">
          <cell r="A2" t="str">
            <v>DMCI</v>
          </cell>
        </row>
      </sheetData>
      <sheetData sheetId="2272">
        <row r="2">
          <cell r="A2" t="str">
            <v>DMCI</v>
          </cell>
        </row>
      </sheetData>
      <sheetData sheetId="2273">
        <row r="2">
          <cell r="A2" t="str">
            <v>DMCI</v>
          </cell>
        </row>
      </sheetData>
      <sheetData sheetId="2274">
        <row r="2">
          <cell r="A2" t="str">
            <v>DMCI</v>
          </cell>
        </row>
      </sheetData>
      <sheetData sheetId="2275">
        <row r="2">
          <cell r="A2" t="str">
            <v>DMCI</v>
          </cell>
        </row>
      </sheetData>
      <sheetData sheetId="2276">
        <row r="2">
          <cell r="A2" t="str">
            <v>DMCI</v>
          </cell>
        </row>
      </sheetData>
      <sheetData sheetId="2277">
        <row r="2">
          <cell r="A2" t="str">
            <v>DMCI</v>
          </cell>
        </row>
      </sheetData>
      <sheetData sheetId="2278">
        <row r="2">
          <cell r="A2" t="str">
            <v>DMCI</v>
          </cell>
        </row>
      </sheetData>
      <sheetData sheetId="2279">
        <row r="2">
          <cell r="A2" t="str">
            <v>DMCI</v>
          </cell>
        </row>
      </sheetData>
      <sheetData sheetId="2280">
        <row r="2">
          <cell r="A2" t="str">
            <v>DMCI</v>
          </cell>
        </row>
      </sheetData>
      <sheetData sheetId="2281">
        <row r="2">
          <cell r="A2" t="str">
            <v>DMCI</v>
          </cell>
        </row>
      </sheetData>
      <sheetData sheetId="2282"/>
      <sheetData sheetId="2283"/>
      <sheetData sheetId="2284">
        <row r="2">
          <cell r="A2" t="str">
            <v>DMCI</v>
          </cell>
        </row>
      </sheetData>
      <sheetData sheetId="2285"/>
      <sheetData sheetId="2286"/>
      <sheetData sheetId="2287"/>
      <sheetData sheetId="2288"/>
      <sheetData sheetId="2289"/>
      <sheetData sheetId="2290">
        <row r="2">
          <cell r="A2" t="str">
            <v>DMCI</v>
          </cell>
        </row>
      </sheetData>
      <sheetData sheetId="2291">
        <row r="2">
          <cell r="A2" t="str">
            <v>DMCI</v>
          </cell>
        </row>
      </sheetData>
      <sheetData sheetId="2292">
        <row r="2">
          <cell r="A2" t="str">
            <v>DMCI</v>
          </cell>
        </row>
      </sheetData>
      <sheetData sheetId="2293"/>
      <sheetData sheetId="2294"/>
      <sheetData sheetId="2295">
        <row r="2">
          <cell r="A2" t="str">
            <v>DMCI</v>
          </cell>
        </row>
      </sheetData>
      <sheetData sheetId="2296">
        <row r="2">
          <cell r="A2" t="str">
            <v>DMCI</v>
          </cell>
        </row>
      </sheetData>
      <sheetData sheetId="2297">
        <row r="2">
          <cell r="A2" t="str">
            <v>DMCI</v>
          </cell>
        </row>
      </sheetData>
      <sheetData sheetId="2298">
        <row r="2">
          <cell r="A2" t="str">
            <v>DMCI</v>
          </cell>
        </row>
      </sheetData>
      <sheetData sheetId="2299">
        <row r="2">
          <cell r="A2" t="str">
            <v>DMCI</v>
          </cell>
        </row>
      </sheetData>
      <sheetData sheetId="2300">
        <row r="2">
          <cell r="A2" t="str">
            <v>DMCI</v>
          </cell>
        </row>
      </sheetData>
      <sheetData sheetId="2301">
        <row r="2">
          <cell r="A2" t="str">
            <v>DMCI</v>
          </cell>
        </row>
      </sheetData>
      <sheetData sheetId="2302">
        <row r="2">
          <cell r="A2" t="str">
            <v>DMCI</v>
          </cell>
        </row>
      </sheetData>
      <sheetData sheetId="2303">
        <row r="2">
          <cell r="A2" t="str">
            <v>DMCI</v>
          </cell>
        </row>
      </sheetData>
      <sheetData sheetId="2304">
        <row r="2">
          <cell r="A2" t="str">
            <v>DMCI</v>
          </cell>
        </row>
      </sheetData>
      <sheetData sheetId="2305">
        <row r="2">
          <cell r="A2" t="str">
            <v>DMCI</v>
          </cell>
        </row>
      </sheetData>
      <sheetData sheetId="2306">
        <row r="2">
          <cell r="A2" t="str">
            <v>DMCI</v>
          </cell>
        </row>
      </sheetData>
      <sheetData sheetId="2307">
        <row r="2">
          <cell r="A2" t="str">
            <v>DMCI</v>
          </cell>
        </row>
      </sheetData>
      <sheetData sheetId="2308">
        <row r="2">
          <cell r="A2" t="str">
            <v>DMCI</v>
          </cell>
        </row>
      </sheetData>
      <sheetData sheetId="2309">
        <row r="2">
          <cell r="A2" t="str">
            <v>DMCI</v>
          </cell>
        </row>
      </sheetData>
      <sheetData sheetId="2310">
        <row r="2">
          <cell r="A2" t="str">
            <v>DMCI</v>
          </cell>
        </row>
      </sheetData>
      <sheetData sheetId="2311">
        <row r="2">
          <cell r="A2" t="str">
            <v>DMCI</v>
          </cell>
        </row>
      </sheetData>
      <sheetData sheetId="2312">
        <row r="2">
          <cell r="A2" t="str">
            <v>DMCI</v>
          </cell>
        </row>
      </sheetData>
      <sheetData sheetId="2313">
        <row r="2">
          <cell r="A2" t="str">
            <v>DMCI</v>
          </cell>
        </row>
      </sheetData>
      <sheetData sheetId="2314">
        <row r="2">
          <cell r="A2" t="str">
            <v>DMCI</v>
          </cell>
        </row>
      </sheetData>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row r="2">
          <cell r="A2" t="str">
            <v>DMCI</v>
          </cell>
        </row>
      </sheetData>
      <sheetData sheetId="2329">
        <row r="2">
          <cell r="A2" t="str">
            <v>DMCI</v>
          </cell>
        </row>
      </sheetData>
      <sheetData sheetId="2330"/>
      <sheetData sheetId="2331"/>
      <sheetData sheetId="2332"/>
      <sheetData sheetId="2333">
        <row r="2">
          <cell r="A2" t="str">
            <v>DMCI</v>
          </cell>
        </row>
      </sheetData>
      <sheetData sheetId="2334"/>
      <sheetData sheetId="2335"/>
      <sheetData sheetId="2336"/>
      <sheetData sheetId="2337"/>
      <sheetData sheetId="2338"/>
      <sheetData sheetId="2339"/>
      <sheetData sheetId="2340"/>
      <sheetData sheetId="2341"/>
      <sheetData sheetId="2342"/>
      <sheetData sheetId="2343"/>
      <sheetData sheetId="2344">
        <row r="2">
          <cell r="A2" t="str">
            <v>DMCI</v>
          </cell>
        </row>
      </sheetData>
      <sheetData sheetId="2345">
        <row r="2">
          <cell r="A2" t="str">
            <v>DMCI</v>
          </cell>
        </row>
      </sheetData>
      <sheetData sheetId="2346">
        <row r="2">
          <cell r="A2" t="str">
            <v>DMCI</v>
          </cell>
        </row>
      </sheetData>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row r="2">
          <cell r="A2" t="str">
            <v>DMCI</v>
          </cell>
        </row>
      </sheetData>
      <sheetData sheetId="2443">
        <row r="2">
          <cell r="A2" t="str">
            <v>DMCI</v>
          </cell>
        </row>
      </sheetData>
      <sheetData sheetId="2444">
        <row r="2">
          <cell r="A2" t="str">
            <v>DMCI</v>
          </cell>
        </row>
      </sheetData>
      <sheetData sheetId="2445">
        <row r="2">
          <cell r="A2" t="str">
            <v>DMCI</v>
          </cell>
        </row>
      </sheetData>
      <sheetData sheetId="2446">
        <row r="2">
          <cell r="A2" t="str">
            <v>DMCI</v>
          </cell>
        </row>
      </sheetData>
      <sheetData sheetId="2447">
        <row r="2">
          <cell r="A2" t="str">
            <v>DMCI</v>
          </cell>
        </row>
      </sheetData>
      <sheetData sheetId="2448">
        <row r="2">
          <cell r="A2" t="str">
            <v>DMCI</v>
          </cell>
        </row>
      </sheetData>
      <sheetData sheetId="2449">
        <row r="2">
          <cell r="A2" t="str">
            <v>DMCI</v>
          </cell>
        </row>
      </sheetData>
      <sheetData sheetId="2450">
        <row r="2">
          <cell r="A2" t="str">
            <v>DMCI</v>
          </cell>
        </row>
      </sheetData>
      <sheetData sheetId="2451">
        <row r="2">
          <cell r="A2" t="str">
            <v>DMCI</v>
          </cell>
        </row>
      </sheetData>
      <sheetData sheetId="2452">
        <row r="2">
          <cell r="A2" t="str">
            <v>DMCI</v>
          </cell>
        </row>
      </sheetData>
      <sheetData sheetId="2453">
        <row r="2">
          <cell r="A2" t="str">
            <v>DMCI</v>
          </cell>
        </row>
      </sheetData>
      <sheetData sheetId="2454"/>
      <sheetData sheetId="2455"/>
      <sheetData sheetId="2456"/>
      <sheetData sheetId="2457"/>
      <sheetData sheetId="2458"/>
      <sheetData sheetId="2459"/>
      <sheetData sheetId="2460"/>
      <sheetData sheetId="2461"/>
      <sheetData sheetId="2462"/>
      <sheetData sheetId="2463"/>
      <sheetData sheetId="2464"/>
      <sheetData sheetId="2465">
        <row r="2">
          <cell r="A2" t="str">
            <v>DMCI</v>
          </cell>
        </row>
      </sheetData>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row r="2">
          <cell r="A2" t="str">
            <v>DMCI</v>
          </cell>
        </row>
      </sheetData>
      <sheetData sheetId="2480">
        <row r="2">
          <cell r="A2" t="str">
            <v>DMCI</v>
          </cell>
        </row>
      </sheetData>
      <sheetData sheetId="2481">
        <row r="2">
          <cell r="A2" t="str">
            <v>DMCI</v>
          </cell>
        </row>
      </sheetData>
      <sheetData sheetId="2482">
        <row r="2">
          <cell r="A2" t="str">
            <v>DMCI</v>
          </cell>
        </row>
      </sheetData>
      <sheetData sheetId="2483">
        <row r="2">
          <cell r="A2" t="str">
            <v>DMCI</v>
          </cell>
        </row>
      </sheetData>
      <sheetData sheetId="2484">
        <row r="2">
          <cell r="A2" t="str">
            <v>DMCI</v>
          </cell>
        </row>
      </sheetData>
      <sheetData sheetId="2485">
        <row r="2">
          <cell r="A2" t="str">
            <v>DMCI</v>
          </cell>
        </row>
      </sheetData>
      <sheetData sheetId="2486">
        <row r="2">
          <cell r="A2" t="str">
            <v>DMCI</v>
          </cell>
        </row>
      </sheetData>
      <sheetData sheetId="2487">
        <row r="2">
          <cell r="A2" t="str">
            <v>DMCI</v>
          </cell>
        </row>
      </sheetData>
      <sheetData sheetId="2488">
        <row r="2">
          <cell r="A2" t="str">
            <v>DMCI</v>
          </cell>
        </row>
      </sheetData>
      <sheetData sheetId="2489">
        <row r="2">
          <cell r="A2" t="str">
            <v>DMCI</v>
          </cell>
        </row>
      </sheetData>
      <sheetData sheetId="2490">
        <row r="2">
          <cell r="A2" t="str">
            <v>DMCI</v>
          </cell>
        </row>
      </sheetData>
      <sheetData sheetId="2491"/>
      <sheetData sheetId="2492"/>
      <sheetData sheetId="2493"/>
      <sheetData sheetId="2494"/>
      <sheetData sheetId="2495"/>
      <sheetData sheetId="2496"/>
      <sheetData sheetId="2497"/>
      <sheetData sheetId="2498"/>
      <sheetData sheetId="2499">
        <row r="2">
          <cell r="A2" t="str">
            <v>DMCI</v>
          </cell>
        </row>
      </sheetData>
      <sheetData sheetId="2500"/>
      <sheetData sheetId="2501"/>
      <sheetData sheetId="2502">
        <row r="2">
          <cell r="A2" t="str">
            <v>DMCI</v>
          </cell>
        </row>
      </sheetData>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refreshError="1"/>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row r="2">
          <cell r="A2" t="str">
            <v>DMCI</v>
          </cell>
        </row>
      </sheetData>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ow r="2">
          <cell r="A2" t="str">
            <v>DMCI</v>
          </cell>
        </row>
      </sheetData>
      <sheetData sheetId="2565">
        <row r="2">
          <cell r="A2" t="str">
            <v>DMCI</v>
          </cell>
        </row>
      </sheetData>
      <sheetData sheetId="2566">
        <row r="2">
          <cell r="A2" t="str">
            <v>DMCI</v>
          </cell>
        </row>
      </sheetData>
      <sheetData sheetId="2567">
        <row r="2">
          <cell r="A2" t="str">
            <v>DMCI</v>
          </cell>
        </row>
      </sheetData>
      <sheetData sheetId="2568" refreshError="1"/>
      <sheetData sheetId="2569" refreshError="1"/>
      <sheetData sheetId="2570" refreshError="1"/>
      <sheetData sheetId="2571" refreshError="1"/>
      <sheetData sheetId="2572" refreshError="1"/>
      <sheetData sheetId="2573" refreshError="1"/>
      <sheetData sheetId="2574">
        <row r="2">
          <cell r="A2" t="str">
            <v>DMCI</v>
          </cell>
        </row>
      </sheetData>
      <sheetData sheetId="2575">
        <row r="2">
          <cell r="A2" t="str">
            <v>DMCI</v>
          </cell>
        </row>
      </sheetData>
      <sheetData sheetId="2576" refreshError="1"/>
      <sheetData sheetId="2577" refreshError="1"/>
      <sheetData sheetId="2578" refreshError="1"/>
      <sheetData sheetId="2579" refreshError="1"/>
      <sheetData sheetId="2580" refreshError="1"/>
      <sheetData sheetId="2581" refreshError="1"/>
      <sheetData sheetId="2582" refreshError="1"/>
      <sheetData sheetId="2583">
        <row r="2">
          <cell r="A2" t="str">
            <v>DMCI</v>
          </cell>
        </row>
      </sheetData>
      <sheetData sheetId="2584">
        <row r="2">
          <cell r="A2" t="str">
            <v>DMCI</v>
          </cell>
        </row>
      </sheetData>
      <sheetData sheetId="2585" refreshError="1"/>
      <sheetData sheetId="2586" refreshError="1"/>
      <sheetData sheetId="2587" refreshError="1"/>
      <sheetData sheetId="2588" refreshError="1"/>
      <sheetData sheetId="2589" refreshError="1"/>
      <sheetData sheetId="2590" refreshError="1"/>
      <sheetData sheetId="2591" refreshError="1"/>
      <sheetData sheetId="2592">
        <row r="2">
          <cell r="A2" t="str">
            <v>DMCI</v>
          </cell>
        </row>
      </sheetData>
      <sheetData sheetId="2593">
        <row r="2">
          <cell r="A2" t="str">
            <v>DMCI</v>
          </cell>
        </row>
      </sheetData>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ow r="2">
          <cell r="A2" t="str">
            <v>DMCI</v>
          </cell>
        </row>
      </sheetData>
      <sheetData sheetId="2609">
        <row r="2">
          <cell r="A2" t="str">
            <v>DMCI</v>
          </cell>
        </row>
      </sheetData>
      <sheetData sheetId="2610">
        <row r="2">
          <cell r="A2" t="str">
            <v>DMCI</v>
          </cell>
        </row>
      </sheetData>
      <sheetData sheetId="2611">
        <row r="2">
          <cell r="A2" t="str">
            <v>DMCI</v>
          </cell>
        </row>
      </sheetData>
      <sheetData sheetId="2612">
        <row r="2">
          <cell r="A2" t="str">
            <v>DMCI</v>
          </cell>
        </row>
      </sheetData>
      <sheetData sheetId="2613">
        <row r="2">
          <cell r="A2" t="str">
            <v>DMCI</v>
          </cell>
        </row>
      </sheetData>
      <sheetData sheetId="2614">
        <row r="2">
          <cell r="A2" t="str">
            <v>DMCI</v>
          </cell>
        </row>
      </sheetData>
      <sheetData sheetId="2615">
        <row r="2">
          <cell r="A2" t="str">
            <v>DMCI</v>
          </cell>
        </row>
      </sheetData>
      <sheetData sheetId="2616">
        <row r="2">
          <cell r="A2" t="str">
            <v>DMCI</v>
          </cell>
        </row>
      </sheetData>
      <sheetData sheetId="2617">
        <row r="2">
          <cell r="A2" t="str">
            <v>DMCI</v>
          </cell>
        </row>
      </sheetData>
      <sheetData sheetId="2618">
        <row r="2">
          <cell r="A2" t="str">
            <v>DMCI</v>
          </cell>
        </row>
      </sheetData>
      <sheetData sheetId="2619">
        <row r="2">
          <cell r="A2" t="str">
            <v>DMCI</v>
          </cell>
        </row>
      </sheetData>
      <sheetData sheetId="2620">
        <row r="2">
          <cell r="A2" t="str">
            <v>DMCI</v>
          </cell>
        </row>
      </sheetData>
      <sheetData sheetId="2621">
        <row r="2">
          <cell r="A2" t="str">
            <v>DMCI</v>
          </cell>
        </row>
      </sheetData>
      <sheetData sheetId="2622">
        <row r="2">
          <cell r="A2" t="str">
            <v>DMCI</v>
          </cell>
        </row>
      </sheetData>
      <sheetData sheetId="2623">
        <row r="2">
          <cell r="A2" t="str">
            <v>DMCI</v>
          </cell>
        </row>
      </sheetData>
      <sheetData sheetId="2624">
        <row r="2">
          <cell r="A2" t="str">
            <v>DMCI</v>
          </cell>
        </row>
      </sheetData>
      <sheetData sheetId="2625">
        <row r="2">
          <cell r="A2" t="str">
            <v>DMCI</v>
          </cell>
        </row>
      </sheetData>
      <sheetData sheetId="2626">
        <row r="2">
          <cell r="A2" t="str">
            <v>DMCI</v>
          </cell>
        </row>
      </sheetData>
      <sheetData sheetId="2627" refreshError="1"/>
      <sheetData sheetId="2628" refreshError="1"/>
      <sheetData sheetId="2629" refreshError="1"/>
      <sheetData sheetId="2630" refreshError="1"/>
      <sheetData sheetId="2631" refreshError="1"/>
      <sheetData sheetId="2632" refreshError="1"/>
      <sheetData sheetId="2633" refreshError="1"/>
      <sheetData sheetId="2634">
        <row r="2">
          <cell r="A2" t="str">
            <v>DMCI</v>
          </cell>
        </row>
      </sheetData>
      <sheetData sheetId="2635">
        <row r="2">
          <cell r="A2" t="str">
            <v>DMCI</v>
          </cell>
        </row>
      </sheetData>
      <sheetData sheetId="2636">
        <row r="2">
          <cell r="A2" t="str">
            <v>DMCI</v>
          </cell>
        </row>
      </sheetData>
      <sheetData sheetId="2637">
        <row r="2">
          <cell r="A2" t="str">
            <v>DMCI</v>
          </cell>
        </row>
      </sheetData>
      <sheetData sheetId="2638">
        <row r="2">
          <cell r="A2" t="str">
            <v>DMCI</v>
          </cell>
        </row>
      </sheetData>
      <sheetData sheetId="2639">
        <row r="2">
          <cell r="A2" t="str">
            <v>DMCI</v>
          </cell>
        </row>
      </sheetData>
      <sheetData sheetId="2640">
        <row r="2">
          <cell r="A2" t="str">
            <v>DMCI</v>
          </cell>
        </row>
      </sheetData>
      <sheetData sheetId="2641">
        <row r="2">
          <cell r="A2" t="str">
            <v>DMCI</v>
          </cell>
        </row>
      </sheetData>
      <sheetData sheetId="2642">
        <row r="2">
          <cell r="A2" t="str">
            <v>DMCI</v>
          </cell>
        </row>
      </sheetData>
      <sheetData sheetId="2643">
        <row r="2">
          <cell r="A2" t="str">
            <v>DMCI</v>
          </cell>
        </row>
      </sheetData>
      <sheetData sheetId="2644">
        <row r="2">
          <cell r="A2" t="str">
            <v>DMCI</v>
          </cell>
        </row>
      </sheetData>
      <sheetData sheetId="2645">
        <row r="2">
          <cell r="A2" t="str">
            <v>DMCI</v>
          </cell>
        </row>
      </sheetData>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ow r="2">
          <cell r="A2" t="str">
            <v>DMCI</v>
          </cell>
        </row>
      </sheetData>
      <sheetData sheetId="2657">
        <row r="2">
          <cell r="A2" t="str">
            <v>DMCI</v>
          </cell>
        </row>
      </sheetData>
      <sheetData sheetId="2658" refreshError="1"/>
      <sheetData sheetId="2659" refreshError="1"/>
      <sheetData sheetId="2660" refreshError="1"/>
      <sheetData sheetId="2661" refreshError="1"/>
      <sheetData sheetId="2662" refreshError="1"/>
      <sheetData sheetId="2663" refreshError="1"/>
      <sheetData sheetId="2664">
        <row r="2">
          <cell r="A2" t="str">
            <v>DMCI</v>
          </cell>
        </row>
      </sheetData>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ow r="2">
          <cell r="A2" t="str">
            <v>DMCI</v>
          </cell>
        </row>
      </sheetData>
      <sheetData sheetId="2716"/>
      <sheetData sheetId="2717"/>
      <sheetData sheetId="2718"/>
      <sheetData sheetId="2719">
        <row r="2">
          <cell r="A2" t="str">
            <v>DMCI</v>
          </cell>
        </row>
      </sheetData>
      <sheetData sheetId="2720"/>
      <sheetData sheetId="2721"/>
      <sheetData sheetId="2722"/>
      <sheetData sheetId="2723"/>
      <sheetData sheetId="2724">
        <row r="2">
          <cell r="A2" t="str">
            <v>DMCI</v>
          </cell>
        </row>
      </sheetData>
      <sheetData sheetId="2725">
        <row r="2">
          <cell r="A2" t="str">
            <v>DMCI</v>
          </cell>
        </row>
      </sheetData>
      <sheetData sheetId="2726">
        <row r="2">
          <cell r="A2" t="str">
            <v>DMCI</v>
          </cell>
        </row>
      </sheetData>
      <sheetData sheetId="2727">
        <row r="2">
          <cell r="A2" t="str">
            <v>DMCI</v>
          </cell>
        </row>
      </sheetData>
      <sheetData sheetId="2728"/>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ow r="2">
          <cell r="A2" t="str">
            <v>DMCI</v>
          </cell>
        </row>
      </sheetData>
      <sheetData sheetId="2759"/>
      <sheetData sheetId="2760"/>
      <sheetData sheetId="2761"/>
      <sheetData sheetId="2762"/>
      <sheetData sheetId="2763"/>
      <sheetData sheetId="2764">
        <row r="2">
          <cell r="A2" t="str">
            <v>DMCI</v>
          </cell>
        </row>
      </sheetData>
      <sheetData sheetId="2765">
        <row r="2">
          <cell r="A2" t="str">
            <v>DMCI</v>
          </cell>
        </row>
      </sheetData>
      <sheetData sheetId="2766">
        <row r="2">
          <cell r="A2" t="str">
            <v>DMCI</v>
          </cell>
        </row>
      </sheetData>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sheetData sheetId="2914"/>
      <sheetData sheetId="2915"/>
      <sheetData sheetId="2916">
        <row r="2">
          <cell r="A2" t="str">
            <v>DMCI</v>
          </cell>
        </row>
      </sheetData>
      <sheetData sheetId="2917"/>
      <sheetData sheetId="2918"/>
      <sheetData sheetId="2919"/>
      <sheetData sheetId="2920"/>
      <sheetData sheetId="2921"/>
      <sheetData sheetId="2922"/>
      <sheetData sheetId="2923"/>
      <sheetData sheetId="2924"/>
      <sheetData sheetId="2925"/>
      <sheetData sheetId="2926"/>
      <sheetData sheetId="2927"/>
      <sheetData sheetId="2928" refreshError="1"/>
      <sheetData sheetId="2929"/>
      <sheetData sheetId="2930"/>
      <sheetData sheetId="2931"/>
      <sheetData sheetId="2932"/>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sheetData sheetId="2942">
        <row r="5">
          <cell r="N5">
            <v>450</v>
          </cell>
        </row>
      </sheetData>
      <sheetData sheetId="2943" refreshError="1"/>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ow r="2">
          <cell r="A2" t="str">
            <v>DMCI</v>
          </cell>
        </row>
      </sheetData>
      <sheetData sheetId="2974">
        <row r="2">
          <cell r="A2" t="str">
            <v>DMCI</v>
          </cell>
        </row>
      </sheetData>
      <sheetData sheetId="2975">
        <row r="2">
          <cell r="A2" t="str">
            <v>DMCI</v>
          </cell>
        </row>
      </sheetData>
      <sheetData sheetId="2976">
        <row r="2">
          <cell r="A2" t="str">
            <v>DMCI</v>
          </cell>
        </row>
      </sheetData>
      <sheetData sheetId="2977">
        <row r="2">
          <cell r="A2" t="str">
            <v>DMCI</v>
          </cell>
        </row>
      </sheetData>
      <sheetData sheetId="2978">
        <row r="2">
          <cell r="A2" t="str">
            <v>DMCI</v>
          </cell>
        </row>
      </sheetData>
      <sheetData sheetId="2979">
        <row r="2">
          <cell r="A2" t="str">
            <v>DMCI</v>
          </cell>
        </row>
      </sheetData>
      <sheetData sheetId="2980">
        <row r="2">
          <cell r="A2" t="str">
            <v>DMCI</v>
          </cell>
        </row>
      </sheetData>
      <sheetData sheetId="2981">
        <row r="2">
          <cell r="A2" t="str">
            <v>DMCI</v>
          </cell>
        </row>
      </sheetData>
      <sheetData sheetId="2982">
        <row r="2">
          <cell r="A2" t="str">
            <v>DMCI</v>
          </cell>
        </row>
      </sheetData>
      <sheetData sheetId="2983">
        <row r="2">
          <cell r="A2" t="str">
            <v>DMCI</v>
          </cell>
        </row>
      </sheetData>
      <sheetData sheetId="2984">
        <row r="2">
          <cell r="A2" t="str">
            <v>DMCI</v>
          </cell>
        </row>
      </sheetData>
      <sheetData sheetId="2985">
        <row r="2">
          <cell r="A2" t="str">
            <v>DMCI</v>
          </cell>
        </row>
      </sheetData>
      <sheetData sheetId="2986">
        <row r="2">
          <cell r="A2" t="str">
            <v>DMCI</v>
          </cell>
        </row>
      </sheetData>
      <sheetData sheetId="2987" refreshError="1"/>
      <sheetData sheetId="2988">
        <row r="2">
          <cell r="A2" t="str">
            <v>DMCI</v>
          </cell>
        </row>
      </sheetData>
      <sheetData sheetId="2989">
        <row r="2">
          <cell r="A2" t="str">
            <v>DMCI</v>
          </cell>
        </row>
      </sheetData>
      <sheetData sheetId="2990">
        <row r="2">
          <cell r="A2" t="str">
            <v>DMCI</v>
          </cell>
        </row>
      </sheetData>
      <sheetData sheetId="2991">
        <row r="2">
          <cell r="A2" t="str">
            <v>DMCI</v>
          </cell>
        </row>
      </sheetData>
      <sheetData sheetId="2992" refreshError="1"/>
      <sheetData sheetId="2993"/>
      <sheetData sheetId="2994"/>
      <sheetData sheetId="2995"/>
      <sheetData sheetId="2996"/>
      <sheetData sheetId="2997">
        <row r="2">
          <cell r="A2" t="str">
            <v>DMCI</v>
          </cell>
        </row>
      </sheetData>
      <sheetData sheetId="2998"/>
      <sheetData sheetId="2999"/>
      <sheetData sheetId="3000"/>
      <sheetData sheetId="3001"/>
      <sheetData sheetId="3002"/>
      <sheetData sheetId="3003">
        <row r="2">
          <cell r="A2" t="str">
            <v>DMCI</v>
          </cell>
        </row>
      </sheetData>
      <sheetData sheetId="3004"/>
      <sheetData sheetId="3005"/>
      <sheetData sheetId="3006" refreshError="1"/>
      <sheetData sheetId="3007"/>
      <sheetData sheetId="3008" refreshError="1"/>
      <sheetData sheetId="3009" refreshError="1"/>
      <sheetData sheetId="3010" refreshError="1"/>
      <sheetData sheetId="3011"/>
      <sheetData sheetId="3012"/>
      <sheetData sheetId="3013"/>
      <sheetData sheetId="3014"/>
      <sheetData sheetId="3015"/>
      <sheetData sheetId="3016"/>
      <sheetData sheetId="3017"/>
      <sheetData sheetId="3018"/>
      <sheetData sheetId="3019" refreshError="1"/>
      <sheetData sheetId="3020"/>
      <sheetData sheetId="3021"/>
      <sheetData sheetId="3022"/>
      <sheetData sheetId="302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68"/>
      <sheetName val="269"/>
      <sheetName val="270"/>
      <sheetName val="583"/>
      <sheetName val="585"/>
      <sheetName val="588"/>
      <sheetName val="591"/>
      <sheetName val="592"/>
      <sheetName val="595"/>
      <sheetName val="596"/>
      <sheetName val="901"/>
      <sheetName val="902"/>
      <sheetName val="L.C. 586"/>
      <sheetName val="L.C. 598A"/>
      <sheetName val="L.C. 599"/>
      <sheetName val="Parameters"/>
      <sheetName val="공사비 내역 (가)"/>
      <sheetName val="SUMMARY"/>
    </sheetNames>
    <sheetDataSet>
      <sheetData sheetId="0">
        <row r="33">
          <cell r="F33">
            <v>426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ess Summary"/>
      <sheetName val="Erection-01"/>
      <sheetName val="Welding-01"/>
      <sheetName val="Erection-08"/>
      <sheetName val="Welding-08"/>
      <sheetName val="Erection-16"/>
      <sheetName val="Welding-16"/>
      <sheetName val="Beveling-16"/>
      <sheetName val="Beveling-01"/>
      <sheetName val="Erection-11"/>
      <sheetName val="Welding-11"/>
      <sheetName val="Beveling-11"/>
      <sheetName val="Unloading-01"/>
      <sheetName val="Unloading-02"/>
      <sheetName val="Unloading-04"/>
      <sheetName val="Unloading-06"/>
      <sheetName val="Unloading-07"/>
      <sheetName val="Unloading-08"/>
      <sheetName val="Unloading-09"/>
      <sheetName val="Piping Erection"/>
      <sheetName val="Unloading-11"/>
      <sheetName val="Unloading-14"/>
      <sheetName val="Unloading-16"/>
      <sheetName val="Unloading-19"/>
      <sheetName val="Pipe Rack Area"/>
      <sheetName val="MIS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ELLE"/>
    </sheetNames>
    <sheetDataSet>
      <sheetData sheetId="0"/>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s"/>
    </sheetNames>
    <sheetDataSet>
      <sheetData sheetId="0" refreshError="1">
        <row r="6">
          <cell r="E6">
            <v>3.64</v>
          </cell>
        </row>
        <row r="9">
          <cell r="B9" t="str">
            <v>Grade</v>
          </cell>
          <cell r="C9" t="str">
            <v>Rate 1999</v>
          </cell>
          <cell r="D9" t="str">
            <v>Rate 2000</v>
          </cell>
          <cell r="E9" t="str">
            <v>Rate 2001</v>
          </cell>
          <cell r="F9" t="str">
            <v>Rate 2002</v>
          </cell>
        </row>
        <row r="11">
          <cell r="B11">
            <v>45</v>
          </cell>
          <cell r="C11">
            <v>36437.440000000002</v>
          </cell>
          <cell r="D11">
            <v>38413.550000000003</v>
          </cell>
          <cell r="E11">
            <v>40602.43</v>
          </cell>
          <cell r="F11">
            <v>43026.39</v>
          </cell>
        </row>
        <row r="12">
          <cell r="B12">
            <v>44</v>
          </cell>
          <cell r="C12">
            <v>31897.71</v>
          </cell>
          <cell r="D12">
            <v>33608.839999999997</v>
          </cell>
          <cell r="E12">
            <v>35504.21</v>
          </cell>
          <cell r="F12">
            <v>37603.14</v>
          </cell>
        </row>
        <row r="13">
          <cell r="B13">
            <v>43</v>
          </cell>
          <cell r="C13">
            <v>27992.58</v>
          </cell>
          <cell r="D13">
            <v>29475.78</v>
          </cell>
          <cell r="E13">
            <v>31118.66</v>
          </cell>
          <cell r="F13">
            <v>32938</v>
          </cell>
        </row>
        <row r="14">
          <cell r="B14">
            <v>42</v>
          </cell>
          <cell r="C14">
            <v>22630.7</v>
          </cell>
          <cell r="D14">
            <v>23800.92</v>
          </cell>
          <cell r="E14">
            <v>25097.15</v>
          </cell>
          <cell r="F14">
            <v>26532.59</v>
          </cell>
        </row>
        <row r="15">
          <cell r="B15">
            <v>41</v>
          </cell>
          <cell r="C15">
            <v>20087.29</v>
          </cell>
          <cell r="D15">
            <v>21109.07</v>
          </cell>
          <cell r="E15">
            <v>22240.85</v>
          </cell>
          <cell r="F15">
            <v>23494.19</v>
          </cell>
        </row>
        <row r="16">
          <cell r="B16">
            <v>40</v>
          </cell>
          <cell r="C16">
            <v>17810.5</v>
          </cell>
          <cell r="D16">
            <v>18699.38</v>
          </cell>
          <cell r="E16">
            <v>19683.97</v>
          </cell>
          <cell r="F16">
            <v>20774.29</v>
          </cell>
        </row>
        <row r="17">
          <cell r="B17">
            <v>35</v>
          </cell>
          <cell r="C17">
            <v>13007.4</v>
          </cell>
          <cell r="D17">
            <v>13769.46</v>
          </cell>
          <cell r="E17">
            <v>14614.29</v>
          </cell>
          <cell r="F17">
            <v>15550.6</v>
          </cell>
        </row>
        <row r="18">
          <cell r="B18">
            <v>34</v>
          </cell>
          <cell r="C18">
            <v>11339.73</v>
          </cell>
          <cell r="D18">
            <v>12004.09</v>
          </cell>
          <cell r="E18">
            <v>12740.6</v>
          </cell>
          <cell r="F18">
            <v>13556.87</v>
          </cell>
        </row>
        <row r="19">
          <cell r="B19">
            <v>33</v>
          </cell>
          <cell r="C19">
            <v>9912.67</v>
          </cell>
          <cell r="D19">
            <v>10493.42</v>
          </cell>
          <cell r="E19">
            <v>11137.25</v>
          </cell>
          <cell r="F19">
            <v>11850.79</v>
          </cell>
        </row>
        <row r="20">
          <cell r="B20">
            <v>32</v>
          </cell>
          <cell r="C20">
            <v>8311.1299999999992</v>
          </cell>
          <cell r="D20">
            <v>8801.9</v>
          </cell>
          <cell r="E20">
            <v>9346.9500000000007</v>
          </cell>
          <cell r="F20">
            <v>9952.0400000000009</v>
          </cell>
        </row>
        <row r="21">
          <cell r="B21">
            <v>31</v>
          </cell>
          <cell r="C21">
            <v>7250.09</v>
          </cell>
          <cell r="D21">
            <v>7678.21</v>
          </cell>
          <cell r="E21">
            <v>8153.67</v>
          </cell>
          <cell r="F21">
            <v>8681.51</v>
          </cell>
        </row>
        <row r="22">
          <cell r="B22">
            <v>30</v>
          </cell>
          <cell r="C22">
            <v>6322.43</v>
          </cell>
          <cell r="D22">
            <v>6695.77</v>
          </cell>
          <cell r="E22">
            <v>7110.4</v>
          </cell>
          <cell r="F22">
            <v>7570.7</v>
          </cell>
        </row>
        <row r="23">
          <cell r="B23">
            <v>28</v>
          </cell>
        </row>
        <row r="24">
          <cell r="B24">
            <v>27</v>
          </cell>
        </row>
        <row r="25">
          <cell r="B25">
            <v>26</v>
          </cell>
          <cell r="C25">
            <v>4331.46</v>
          </cell>
          <cell r="D25">
            <v>4590.58</v>
          </cell>
          <cell r="E25">
            <v>4879.2</v>
          </cell>
          <cell r="F25">
            <v>5200.4799999999996</v>
          </cell>
        </row>
        <row r="26">
          <cell r="B26">
            <v>25</v>
          </cell>
          <cell r="C26">
            <v>3788.63</v>
          </cell>
          <cell r="D26">
            <v>4015.28</v>
          </cell>
          <cell r="E26">
            <v>4267.72</v>
          </cell>
          <cell r="F26">
            <v>4548.74</v>
          </cell>
        </row>
        <row r="27">
          <cell r="B27">
            <v>24</v>
          </cell>
          <cell r="C27">
            <v>3320.41</v>
          </cell>
          <cell r="D27">
            <v>3519.05</v>
          </cell>
          <cell r="E27">
            <v>3740.3</v>
          </cell>
          <cell r="F27">
            <v>3986.59</v>
          </cell>
        </row>
        <row r="28">
          <cell r="B28">
            <v>23</v>
          </cell>
          <cell r="C28">
            <v>2913.76</v>
          </cell>
          <cell r="D28">
            <v>3088.07</v>
          </cell>
          <cell r="E28">
            <v>3282.22</v>
          </cell>
          <cell r="F28">
            <v>3498.34</v>
          </cell>
        </row>
        <row r="29">
          <cell r="B29">
            <v>22</v>
          </cell>
          <cell r="C29">
            <v>2546.27</v>
          </cell>
          <cell r="D29">
            <v>2698.6</v>
          </cell>
          <cell r="E29">
            <v>2868.26</v>
          </cell>
          <cell r="F29">
            <v>3057.13</v>
          </cell>
        </row>
        <row r="30">
          <cell r="B30">
            <v>21</v>
          </cell>
          <cell r="C30">
            <v>2219.83</v>
          </cell>
          <cell r="D30">
            <v>2352.62</v>
          </cell>
          <cell r="E30">
            <v>2500.54</v>
          </cell>
          <cell r="F30">
            <v>2665.19</v>
          </cell>
        </row>
        <row r="31">
          <cell r="B31">
            <v>20</v>
          </cell>
          <cell r="C31">
            <v>1954.94</v>
          </cell>
          <cell r="D31">
            <v>2071.89</v>
          </cell>
          <cell r="E31">
            <v>2202.15</v>
          </cell>
          <cell r="F31">
            <v>2347.16</v>
          </cell>
        </row>
        <row r="32">
          <cell r="B32">
            <v>19</v>
          </cell>
        </row>
        <row r="33">
          <cell r="B33">
            <v>18</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OME"/>
      <sheetName val="Weekly Progress Scurve"/>
      <sheetName val="Weekly Const. S-Curve"/>
      <sheetName val="Weekly Proc. S-Curve"/>
      <sheetName val="Monthly Progress Scurve "/>
      <sheetName val="WBS Preconstruction Summary"/>
      <sheetName val="WBS Construction Summary"/>
      <sheetName val="Weekly Meeting Report"/>
      <sheetName val="Building Wise Progress Status"/>
      <sheetName val="Level 2 Summary Report"/>
      <sheetName val="Level 3 detailed report"/>
      <sheetName val="Milestones Status"/>
      <sheetName val="Front Status Table"/>
      <sheetName val="Procurement Progress Tracking"/>
      <sheetName val="Material Procurement Status (A)"/>
      <sheetName val="Material Procurement Status (B)"/>
      <sheetName val="Resources"/>
      <sheetName val="Manpower Schedule"/>
      <sheetName val="Productivity Index"/>
      <sheetName val="Major QTY Table"/>
      <sheetName val="Progress Input 2"/>
      <sheetName val="Box Culverts ConcreteM"/>
      <sheetName val="Reinf &amp; Concrete"/>
      <sheetName val="Reach Channel Status"/>
      <sheetName val="WBS Procurement Summary"/>
      <sheetName val="Front Analysis Tracker"/>
      <sheetName val="Front Analysis Tracker 2"/>
      <sheetName val="Material Status Analysis"/>
      <sheetName val="Major QTY  Tracker"/>
      <sheetName val="Major QTY  Histograms Overa "/>
      <sheetName val="Major QTY  Histogram Excava "/>
      <sheetName val="Major QTY  Histogram Concre "/>
      <sheetName val="Equipment Schedule"/>
      <sheetName val="Progress Input"/>
      <sheetName val="Guidelines"/>
      <sheetName val="Summary"/>
      <sheetName val="Box Culverts ConcreteA"/>
      <sheetName val="ChannelA"/>
      <sheetName val="Waterproofing and Backfill"/>
      <sheetName val="Reach Status"/>
      <sheetName val="RCB, Channel&amp; Bridges Statu (2)"/>
      <sheetName val="Channel "/>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
          <cell r="A1" t="str">
            <v>Activity ID</v>
          </cell>
          <cell r="B1" t="str">
            <v>Activity Status</v>
          </cell>
          <cell r="C1" t="str">
            <v>Schedule % Complete</v>
          </cell>
          <cell r="D1" t="str">
            <v>Performance % Complete</v>
          </cell>
        </row>
        <row r="2">
          <cell r="A2" t="str">
            <v>A1A2CML1000</v>
          </cell>
          <cell r="B2" t="str">
            <v>Completed</v>
          </cell>
          <cell r="C2">
            <v>1</v>
          </cell>
          <cell r="D2">
            <v>1</v>
          </cell>
        </row>
        <row r="3">
          <cell r="A3" t="str">
            <v>A1A2CML1010</v>
          </cell>
          <cell r="B3" t="str">
            <v>Not Started</v>
          </cell>
          <cell r="C3">
            <v>1</v>
          </cell>
          <cell r="D3">
            <v>0</v>
          </cell>
        </row>
        <row r="4">
          <cell r="A4" t="str">
            <v>A1A2CML1020</v>
          </cell>
          <cell r="B4" t="str">
            <v>Not Started</v>
          </cell>
          <cell r="C4">
            <v>1</v>
          </cell>
          <cell r="D4">
            <v>0</v>
          </cell>
        </row>
        <row r="5">
          <cell r="A5" t="str">
            <v>A1A2CML1030</v>
          </cell>
          <cell r="B5" t="str">
            <v>Not Started</v>
          </cell>
          <cell r="C5">
            <v>1</v>
          </cell>
          <cell r="D5">
            <v>0</v>
          </cell>
        </row>
        <row r="6">
          <cell r="A6" t="str">
            <v>A1A2CML1040</v>
          </cell>
          <cell r="B6" t="str">
            <v>Not Started</v>
          </cell>
          <cell r="C6">
            <v>0</v>
          </cell>
          <cell r="D6">
            <v>0</v>
          </cell>
        </row>
        <row r="7">
          <cell r="A7" t="str">
            <v>A1A2CML1050</v>
          </cell>
          <cell r="B7" t="str">
            <v>Not Started</v>
          </cell>
          <cell r="C7">
            <v>0</v>
          </cell>
          <cell r="D7">
            <v>0</v>
          </cell>
        </row>
        <row r="8">
          <cell r="A8" t="str">
            <v>A1A2CML1060</v>
          </cell>
          <cell r="B8" t="str">
            <v>Not Started</v>
          </cell>
          <cell r="C8">
            <v>0</v>
          </cell>
          <cell r="D8">
            <v>0</v>
          </cell>
        </row>
        <row r="9">
          <cell r="A9" t="str">
            <v>A1A2CML1070</v>
          </cell>
          <cell r="B9" t="str">
            <v>Not Started</v>
          </cell>
          <cell r="C9">
            <v>0</v>
          </cell>
          <cell r="D9">
            <v>0</v>
          </cell>
        </row>
        <row r="10">
          <cell r="A10" t="str">
            <v>A1A2CML1080</v>
          </cell>
          <cell r="B10" t="str">
            <v>Not Started</v>
          </cell>
          <cell r="C10">
            <v>0</v>
          </cell>
          <cell r="D10">
            <v>0</v>
          </cell>
        </row>
        <row r="11">
          <cell r="A11" t="str">
            <v>A1A2CML1090</v>
          </cell>
          <cell r="B11" t="str">
            <v>Not Started</v>
          </cell>
          <cell r="C11">
            <v>0</v>
          </cell>
          <cell r="D11">
            <v>0</v>
          </cell>
        </row>
        <row r="12">
          <cell r="A12" t="str">
            <v>A1A2CML1100</v>
          </cell>
          <cell r="B12" t="str">
            <v>Not Started</v>
          </cell>
          <cell r="C12">
            <v>0</v>
          </cell>
          <cell r="D12">
            <v>0</v>
          </cell>
        </row>
        <row r="13">
          <cell r="A13" t="str">
            <v>A1A2DOC1000</v>
          </cell>
          <cell r="B13" t="str">
            <v>Completed</v>
          </cell>
          <cell r="C13">
            <v>1</v>
          </cell>
          <cell r="D13">
            <v>1</v>
          </cell>
        </row>
        <row r="14">
          <cell r="A14" t="str">
            <v>A1A2DOC1010</v>
          </cell>
          <cell r="B14" t="str">
            <v>Completed</v>
          </cell>
          <cell r="C14">
            <v>1</v>
          </cell>
          <cell r="D14">
            <v>1</v>
          </cell>
        </row>
        <row r="15">
          <cell r="A15" t="str">
            <v>A1A2DOC1020</v>
          </cell>
          <cell r="B15" t="str">
            <v>Completed</v>
          </cell>
          <cell r="C15">
            <v>1</v>
          </cell>
          <cell r="D15">
            <v>1</v>
          </cell>
        </row>
        <row r="16">
          <cell r="A16" t="str">
            <v>A1A2DOC1030</v>
          </cell>
          <cell r="B16" t="str">
            <v>Completed</v>
          </cell>
          <cell r="C16">
            <v>1</v>
          </cell>
          <cell r="D16">
            <v>1</v>
          </cell>
        </row>
        <row r="17">
          <cell r="A17" t="str">
            <v>A1A2DOC1040</v>
          </cell>
          <cell r="B17" t="str">
            <v>Completed</v>
          </cell>
          <cell r="C17">
            <v>1</v>
          </cell>
          <cell r="D17">
            <v>1</v>
          </cell>
        </row>
        <row r="18">
          <cell r="A18" t="str">
            <v>A1A2DOC1050</v>
          </cell>
          <cell r="B18" t="str">
            <v>Completed</v>
          </cell>
          <cell r="C18">
            <v>1</v>
          </cell>
          <cell r="D18">
            <v>1</v>
          </cell>
        </row>
        <row r="19">
          <cell r="A19" t="str">
            <v>A1A2DOC1060</v>
          </cell>
          <cell r="B19" t="str">
            <v>Completed</v>
          </cell>
          <cell r="C19">
            <v>1</v>
          </cell>
          <cell r="D19">
            <v>1</v>
          </cell>
        </row>
        <row r="20">
          <cell r="A20" t="str">
            <v>A1A2DOC1070</v>
          </cell>
          <cell r="B20" t="str">
            <v>Completed</v>
          </cell>
          <cell r="C20">
            <v>1</v>
          </cell>
          <cell r="D20">
            <v>1</v>
          </cell>
        </row>
        <row r="21">
          <cell r="A21" t="str">
            <v>A1A2DOC1080</v>
          </cell>
          <cell r="B21" t="str">
            <v>Completed</v>
          </cell>
          <cell r="C21">
            <v>1</v>
          </cell>
          <cell r="D21">
            <v>1</v>
          </cell>
        </row>
        <row r="22">
          <cell r="A22" t="str">
            <v>A1A2DOC1090</v>
          </cell>
          <cell r="B22" t="str">
            <v>Completed</v>
          </cell>
          <cell r="C22">
            <v>1</v>
          </cell>
          <cell r="D22">
            <v>1</v>
          </cell>
        </row>
        <row r="23">
          <cell r="A23" t="str">
            <v>A1A2DOC1100</v>
          </cell>
          <cell r="B23" t="str">
            <v>Completed</v>
          </cell>
          <cell r="C23">
            <v>1</v>
          </cell>
          <cell r="D23">
            <v>1</v>
          </cell>
        </row>
        <row r="24">
          <cell r="A24" t="str">
            <v>A1A2DOC1110</v>
          </cell>
          <cell r="B24" t="str">
            <v>Completed</v>
          </cell>
          <cell r="C24">
            <v>1</v>
          </cell>
          <cell r="D24">
            <v>1</v>
          </cell>
        </row>
        <row r="25">
          <cell r="A25" t="str">
            <v>A1A2DOC1120</v>
          </cell>
          <cell r="B25" t="str">
            <v>In Progress</v>
          </cell>
          <cell r="C25">
            <v>1</v>
          </cell>
          <cell r="D25">
            <v>0.8</v>
          </cell>
        </row>
        <row r="26">
          <cell r="A26" t="str">
            <v>A1A2DOC1170</v>
          </cell>
          <cell r="B26" t="str">
            <v>In Progress</v>
          </cell>
          <cell r="C26">
            <v>1</v>
          </cell>
          <cell r="D26">
            <v>0.8</v>
          </cell>
        </row>
        <row r="27">
          <cell r="A27" t="str">
            <v>A1A2DOC1180</v>
          </cell>
          <cell r="B27" t="str">
            <v>In Progress</v>
          </cell>
          <cell r="C27">
            <v>1</v>
          </cell>
          <cell r="D27">
            <v>0.4</v>
          </cell>
        </row>
        <row r="28">
          <cell r="A28" t="str">
            <v>A1A2DOC1190</v>
          </cell>
          <cell r="B28" t="str">
            <v>In Progress</v>
          </cell>
          <cell r="C28">
            <v>1</v>
          </cell>
          <cell r="D28">
            <v>0.2</v>
          </cell>
        </row>
        <row r="29">
          <cell r="A29" t="str">
            <v>A1A2DOC1200</v>
          </cell>
          <cell r="B29" t="str">
            <v>In Progress</v>
          </cell>
          <cell r="C29">
            <v>1</v>
          </cell>
          <cell r="D29">
            <v>0.05</v>
          </cell>
        </row>
        <row r="30">
          <cell r="A30" t="str">
            <v>A1A2DOC1210</v>
          </cell>
          <cell r="B30" t="str">
            <v>Completed</v>
          </cell>
          <cell r="C30">
            <v>1</v>
          </cell>
          <cell r="D30">
            <v>1</v>
          </cell>
        </row>
        <row r="31">
          <cell r="A31" t="str">
            <v>A1A2DOC1220</v>
          </cell>
          <cell r="B31" t="str">
            <v>In Progress</v>
          </cell>
          <cell r="C31">
            <v>1</v>
          </cell>
          <cell r="D31">
            <v>0.9</v>
          </cell>
        </row>
        <row r="32">
          <cell r="A32" t="str">
            <v>A1A2DOC1230</v>
          </cell>
          <cell r="B32" t="str">
            <v>In Progress</v>
          </cell>
          <cell r="C32">
            <v>1</v>
          </cell>
          <cell r="D32">
            <v>0.6</v>
          </cell>
        </row>
        <row r="33">
          <cell r="A33" t="str">
            <v>A1A2DOC1240</v>
          </cell>
          <cell r="B33" t="str">
            <v>In Progress</v>
          </cell>
          <cell r="C33">
            <v>1</v>
          </cell>
          <cell r="D33">
            <v>0</v>
          </cell>
        </row>
        <row r="34">
          <cell r="A34" t="str">
            <v>A1A2DOC1290</v>
          </cell>
          <cell r="B34" t="str">
            <v>Completed</v>
          </cell>
          <cell r="C34">
            <v>1</v>
          </cell>
          <cell r="D34">
            <v>1</v>
          </cell>
        </row>
        <row r="35">
          <cell r="A35" t="str">
            <v>A1A2MC1000</v>
          </cell>
          <cell r="B35" t="str">
            <v>Not Started</v>
          </cell>
          <cell r="C35">
            <v>0</v>
          </cell>
          <cell r="D35">
            <v>0</v>
          </cell>
        </row>
        <row r="36">
          <cell r="A36" t="str">
            <v>A1A2MC1010</v>
          </cell>
          <cell r="B36" t="str">
            <v>Not Started</v>
          </cell>
          <cell r="C36">
            <v>0</v>
          </cell>
          <cell r="D36">
            <v>0</v>
          </cell>
        </row>
        <row r="37">
          <cell r="A37" t="str">
            <v>A1A2MC1020</v>
          </cell>
          <cell r="B37" t="str">
            <v>Not Started</v>
          </cell>
          <cell r="C37">
            <v>0</v>
          </cell>
          <cell r="D37">
            <v>0</v>
          </cell>
        </row>
        <row r="38">
          <cell r="A38" t="str">
            <v>A1A2MC1030</v>
          </cell>
          <cell r="B38" t="str">
            <v>Not Started</v>
          </cell>
          <cell r="C38">
            <v>0</v>
          </cell>
          <cell r="D38">
            <v>0</v>
          </cell>
        </row>
        <row r="39">
          <cell r="A39" t="str">
            <v>A1A2MC1040</v>
          </cell>
          <cell r="B39" t="str">
            <v>Not Started</v>
          </cell>
          <cell r="C39">
            <v>0</v>
          </cell>
          <cell r="D39">
            <v>0</v>
          </cell>
        </row>
        <row r="40">
          <cell r="A40" t="str">
            <v>A1A2MC1050</v>
          </cell>
          <cell r="B40" t="str">
            <v>Not Started</v>
          </cell>
          <cell r="C40">
            <v>0</v>
          </cell>
          <cell r="D40">
            <v>0</v>
          </cell>
        </row>
        <row r="41">
          <cell r="A41" t="str">
            <v>A1A2MC1060</v>
          </cell>
          <cell r="B41" t="str">
            <v>Not Started</v>
          </cell>
          <cell r="C41">
            <v>0</v>
          </cell>
          <cell r="D41">
            <v>0</v>
          </cell>
        </row>
        <row r="42">
          <cell r="A42" t="str">
            <v>A1A2MC1070</v>
          </cell>
          <cell r="B42" t="str">
            <v>Not Started</v>
          </cell>
          <cell r="C42">
            <v>0</v>
          </cell>
          <cell r="D42">
            <v>0</v>
          </cell>
        </row>
        <row r="43">
          <cell r="A43" t="str">
            <v>A1A2MC1080</v>
          </cell>
          <cell r="B43" t="str">
            <v>Not Started</v>
          </cell>
          <cell r="C43">
            <v>0</v>
          </cell>
          <cell r="D43">
            <v>0</v>
          </cell>
        </row>
        <row r="44">
          <cell r="A44" t="str">
            <v>A1A2MOB1000</v>
          </cell>
          <cell r="B44" t="str">
            <v>Completed</v>
          </cell>
          <cell r="C44">
            <v>1</v>
          </cell>
          <cell r="D44">
            <v>1</v>
          </cell>
        </row>
        <row r="45">
          <cell r="A45" t="str">
            <v>A1A2MOB1010</v>
          </cell>
          <cell r="B45" t="str">
            <v>Completed</v>
          </cell>
          <cell r="C45">
            <v>1</v>
          </cell>
          <cell r="D45">
            <v>1</v>
          </cell>
        </row>
        <row r="46">
          <cell r="A46" t="str">
            <v>A1A2MOB1020</v>
          </cell>
          <cell r="B46" t="str">
            <v>Completed</v>
          </cell>
          <cell r="C46">
            <v>1</v>
          </cell>
          <cell r="D46">
            <v>1</v>
          </cell>
        </row>
        <row r="47">
          <cell r="A47" t="str">
            <v>A1A2MOB1030</v>
          </cell>
          <cell r="B47" t="str">
            <v>Completed</v>
          </cell>
          <cell r="C47">
            <v>1</v>
          </cell>
          <cell r="D47">
            <v>1</v>
          </cell>
        </row>
        <row r="48">
          <cell r="A48" t="str">
            <v>A1A2MOB1040</v>
          </cell>
          <cell r="B48" t="str">
            <v>Completed</v>
          </cell>
          <cell r="C48">
            <v>1</v>
          </cell>
          <cell r="D48">
            <v>1</v>
          </cell>
        </row>
        <row r="49">
          <cell r="A49" t="str">
            <v>A1A2MOB1050</v>
          </cell>
          <cell r="B49" t="str">
            <v>In Progress</v>
          </cell>
          <cell r="C49">
            <v>1</v>
          </cell>
          <cell r="D49">
            <v>0.95</v>
          </cell>
        </row>
        <row r="50">
          <cell r="A50" t="str">
            <v>A1A2PML1000</v>
          </cell>
          <cell r="B50" t="str">
            <v>Completed</v>
          </cell>
          <cell r="C50">
            <v>1</v>
          </cell>
          <cell r="D50">
            <v>1</v>
          </cell>
        </row>
        <row r="51">
          <cell r="A51" t="str">
            <v>A1A2PML1010</v>
          </cell>
          <cell r="B51" t="str">
            <v>Completed</v>
          </cell>
          <cell r="C51">
            <v>1</v>
          </cell>
          <cell r="D51">
            <v>1</v>
          </cell>
        </row>
        <row r="52">
          <cell r="A52" t="str">
            <v>A1A2PML1020</v>
          </cell>
          <cell r="B52" t="str">
            <v>Completed</v>
          </cell>
          <cell r="C52">
            <v>1</v>
          </cell>
          <cell r="D52">
            <v>1</v>
          </cell>
        </row>
        <row r="53">
          <cell r="A53" t="str">
            <v>A1A2PML1030</v>
          </cell>
          <cell r="B53" t="str">
            <v>Not Started</v>
          </cell>
          <cell r="C53">
            <v>0</v>
          </cell>
          <cell r="D53">
            <v>0</v>
          </cell>
        </row>
        <row r="54">
          <cell r="A54" t="str">
            <v>A1A2PML1040</v>
          </cell>
          <cell r="B54" t="str">
            <v>Completed</v>
          </cell>
          <cell r="C54">
            <v>1</v>
          </cell>
          <cell r="D54">
            <v>1</v>
          </cell>
        </row>
        <row r="55">
          <cell r="A55" t="str">
            <v>A1EMCCOCIV1000</v>
          </cell>
          <cell r="B55" t="str">
            <v>Completed</v>
          </cell>
          <cell r="C55">
            <v>1</v>
          </cell>
          <cell r="D55">
            <v>1</v>
          </cell>
        </row>
        <row r="56">
          <cell r="A56" t="str">
            <v>A1EMCCOCIV1010</v>
          </cell>
          <cell r="B56" t="str">
            <v>Completed</v>
          </cell>
          <cell r="C56">
            <v>1</v>
          </cell>
          <cell r="D56">
            <v>1</v>
          </cell>
        </row>
        <row r="57">
          <cell r="A57" t="str">
            <v>A1EMCCOCIV1020</v>
          </cell>
          <cell r="B57" t="str">
            <v>Completed</v>
          </cell>
          <cell r="C57">
            <v>1</v>
          </cell>
          <cell r="D57">
            <v>1</v>
          </cell>
        </row>
        <row r="58">
          <cell r="A58" t="str">
            <v>A1EMCCOCIV1030</v>
          </cell>
          <cell r="B58" t="str">
            <v>Completed</v>
          </cell>
          <cell r="C58">
            <v>1</v>
          </cell>
          <cell r="D58">
            <v>1</v>
          </cell>
        </row>
        <row r="59">
          <cell r="A59" t="str">
            <v>A1EMCCOCIV1040</v>
          </cell>
          <cell r="B59" t="str">
            <v>Completed</v>
          </cell>
          <cell r="C59">
            <v>1</v>
          </cell>
          <cell r="D59">
            <v>1</v>
          </cell>
        </row>
        <row r="60">
          <cell r="A60" t="str">
            <v>A1EMCCOCIV1050</v>
          </cell>
          <cell r="B60" t="str">
            <v>Completed</v>
          </cell>
          <cell r="C60">
            <v>1</v>
          </cell>
          <cell r="D60">
            <v>1</v>
          </cell>
        </row>
        <row r="61">
          <cell r="A61" t="str">
            <v>A1EMCCOCIV1060</v>
          </cell>
          <cell r="B61" t="str">
            <v>Completed</v>
          </cell>
          <cell r="C61">
            <v>1</v>
          </cell>
          <cell r="D61">
            <v>1</v>
          </cell>
        </row>
        <row r="62">
          <cell r="A62" t="str">
            <v>A1EMCCOCIV1070</v>
          </cell>
          <cell r="B62" t="str">
            <v>Completed</v>
          </cell>
          <cell r="C62">
            <v>1</v>
          </cell>
          <cell r="D62">
            <v>1</v>
          </cell>
        </row>
        <row r="63">
          <cell r="A63" t="str">
            <v>A1EMCCOCIV1080</v>
          </cell>
          <cell r="B63" t="str">
            <v>Not Started</v>
          </cell>
          <cell r="C63">
            <v>1</v>
          </cell>
          <cell r="D63">
            <v>0</v>
          </cell>
        </row>
        <row r="64">
          <cell r="A64" t="str">
            <v>A1EMCCOCIV1090</v>
          </cell>
          <cell r="B64" t="str">
            <v>Not Started</v>
          </cell>
          <cell r="C64">
            <v>1</v>
          </cell>
          <cell r="D64">
            <v>0</v>
          </cell>
        </row>
        <row r="65">
          <cell r="A65" t="str">
            <v>A1EMCCOCIV1100</v>
          </cell>
          <cell r="B65" t="str">
            <v>Not Started</v>
          </cell>
          <cell r="C65">
            <v>1</v>
          </cell>
          <cell r="D65">
            <v>0</v>
          </cell>
        </row>
        <row r="66">
          <cell r="A66" t="str">
            <v>A1EMCCOCIV1110</v>
          </cell>
          <cell r="B66" t="str">
            <v>Not Started</v>
          </cell>
          <cell r="C66">
            <v>1</v>
          </cell>
          <cell r="D66">
            <v>0</v>
          </cell>
        </row>
        <row r="67">
          <cell r="A67" t="str">
            <v>A1EMCCOCIV1120</v>
          </cell>
          <cell r="B67" t="str">
            <v>Not Started</v>
          </cell>
          <cell r="C67">
            <v>0.22500000000000001</v>
          </cell>
          <cell r="D67">
            <v>0</v>
          </cell>
        </row>
        <row r="68">
          <cell r="A68" t="str">
            <v>A1EMCCOCIV1130</v>
          </cell>
          <cell r="B68" t="str">
            <v>Not Started</v>
          </cell>
          <cell r="C68">
            <v>0</v>
          </cell>
          <cell r="D68">
            <v>0</v>
          </cell>
        </row>
        <row r="69">
          <cell r="A69" t="str">
            <v>A1EMCCOCIV1140</v>
          </cell>
          <cell r="B69" t="str">
            <v>Not Started</v>
          </cell>
          <cell r="C69">
            <v>0</v>
          </cell>
          <cell r="D69">
            <v>0</v>
          </cell>
        </row>
        <row r="70">
          <cell r="A70" t="str">
            <v>A1EMCCOCIV1150</v>
          </cell>
          <cell r="B70" t="str">
            <v>Not Started</v>
          </cell>
          <cell r="C70">
            <v>0</v>
          </cell>
          <cell r="D70">
            <v>0</v>
          </cell>
        </row>
        <row r="71">
          <cell r="A71" t="str">
            <v>A1EMCCOCIV1160</v>
          </cell>
          <cell r="B71" t="str">
            <v>Not Started</v>
          </cell>
          <cell r="C71">
            <v>0</v>
          </cell>
          <cell r="D71">
            <v>0</v>
          </cell>
        </row>
        <row r="72">
          <cell r="A72" t="str">
            <v>A1EMCCOCIV1170</v>
          </cell>
          <cell r="B72" t="str">
            <v>Not Started</v>
          </cell>
          <cell r="C72">
            <v>0</v>
          </cell>
          <cell r="D72">
            <v>0</v>
          </cell>
        </row>
        <row r="73">
          <cell r="A73" t="str">
            <v>A1EMCCOCIV1180</v>
          </cell>
          <cell r="B73" t="str">
            <v>Not Started</v>
          </cell>
          <cell r="C73">
            <v>0</v>
          </cell>
          <cell r="D73">
            <v>0</v>
          </cell>
        </row>
        <row r="74">
          <cell r="A74" t="str">
            <v>A1EMCCOCIV1190</v>
          </cell>
          <cell r="B74" t="str">
            <v>Not Started</v>
          </cell>
          <cell r="C74">
            <v>0</v>
          </cell>
          <cell r="D74">
            <v>0</v>
          </cell>
        </row>
        <row r="75">
          <cell r="A75" t="str">
            <v>A1EMCCOCIV1200</v>
          </cell>
          <cell r="B75" t="str">
            <v>Not Started</v>
          </cell>
          <cell r="C75">
            <v>0</v>
          </cell>
          <cell r="D75">
            <v>0</v>
          </cell>
        </row>
        <row r="76">
          <cell r="A76" t="str">
            <v>A1EMCCOCIV1210</v>
          </cell>
          <cell r="B76" t="str">
            <v>Not Started</v>
          </cell>
          <cell r="C76">
            <v>0</v>
          </cell>
          <cell r="D76">
            <v>0</v>
          </cell>
        </row>
        <row r="77">
          <cell r="A77" t="str">
            <v>A1EMCCOCIV1220</v>
          </cell>
          <cell r="B77" t="str">
            <v>Not Started</v>
          </cell>
          <cell r="C77">
            <v>0</v>
          </cell>
          <cell r="D77">
            <v>0</v>
          </cell>
        </row>
        <row r="78">
          <cell r="A78" t="str">
            <v>A1EMCCOCIV1230</v>
          </cell>
          <cell r="B78" t="str">
            <v>Not Started</v>
          </cell>
          <cell r="C78">
            <v>0</v>
          </cell>
          <cell r="D78">
            <v>0</v>
          </cell>
        </row>
        <row r="79">
          <cell r="A79" t="str">
            <v>A1EMCCOCIV1240</v>
          </cell>
          <cell r="B79" t="str">
            <v>Not Started</v>
          </cell>
          <cell r="C79">
            <v>0</v>
          </cell>
          <cell r="D79">
            <v>0</v>
          </cell>
        </row>
        <row r="80">
          <cell r="A80" t="str">
            <v>A1EMCCOCIV1250</v>
          </cell>
          <cell r="B80" t="str">
            <v>Not Started</v>
          </cell>
          <cell r="C80">
            <v>0</v>
          </cell>
          <cell r="D80">
            <v>0</v>
          </cell>
        </row>
        <row r="81">
          <cell r="A81" t="str">
            <v>A1EMCCOCIV1260</v>
          </cell>
          <cell r="B81" t="str">
            <v>Not Started</v>
          </cell>
          <cell r="C81">
            <v>0</v>
          </cell>
          <cell r="D81">
            <v>0</v>
          </cell>
        </row>
        <row r="82">
          <cell r="A82" t="str">
            <v>A1EMCCOCIV1270</v>
          </cell>
          <cell r="B82" t="str">
            <v>Not Started</v>
          </cell>
          <cell r="C82">
            <v>0</v>
          </cell>
          <cell r="D82">
            <v>0</v>
          </cell>
        </row>
        <row r="83">
          <cell r="A83" t="str">
            <v>A1EMCCOCIV1280</v>
          </cell>
          <cell r="B83" t="str">
            <v>Not Started</v>
          </cell>
          <cell r="C83">
            <v>0</v>
          </cell>
          <cell r="D83">
            <v>0</v>
          </cell>
        </row>
        <row r="84">
          <cell r="A84" t="str">
            <v>A1EMCCOCIV1290</v>
          </cell>
          <cell r="B84" t="str">
            <v>Not Started</v>
          </cell>
          <cell r="C84">
            <v>0</v>
          </cell>
          <cell r="D84">
            <v>0</v>
          </cell>
        </row>
        <row r="85">
          <cell r="A85" t="str">
            <v>A1EMCCOCIV1300</v>
          </cell>
          <cell r="B85" t="str">
            <v>Not Started</v>
          </cell>
          <cell r="C85">
            <v>0</v>
          </cell>
          <cell r="D85">
            <v>0</v>
          </cell>
        </row>
        <row r="86">
          <cell r="A86" t="str">
            <v>A1EMCCOCIV1310</v>
          </cell>
          <cell r="B86" t="str">
            <v>Not Started</v>
          </cell>
          <cell r="C86">
            <v>0</v>
          </cell>
          <cell r="D86">
            <v>0</v>
          </cell>
        </row>
        <row r="87">
          <cell r="A87" t="str">
            <v>A1EMCCOCIV1320</v>
          </cell>
          <cell r="B87" t="str">
            <v>Not Started</v>
          </cell>
          <cell r="C87">
            <v>0</v>
          </cell>
          <cell r="D87">
            <v>0</v>
          </cell>
        </row>
        <row r="88">
          <cell r="A88" t="str">
            <v>A1EMCCOCIV1330</v>
          </cell>
          <cell r="B88" t="str">
            <v>Not Started</v>
          </cell>
          <cell r="C88">
            <v>0</v>
          </cell>
          <cell r="D88">
            <v>0</v>
          </cell>
        </row>
        <row r="89">
          <cell r="A89" t="str">
            <v>A1EMCCOCIV1340</v>
          </cell>
          <cell r="B89" t="str">
            <v>Not Started</v>
          </cell>
          <cell r="C89">
            <v>0</v>
          </cell>
          <cell r="D89">
            <v>0</v>
          </cell>
        </row>
        <row r="90">
          <cell r="A90" t="str">
            <v>A1EMCCOCIV1350</v>
          </cell>
          <cell r="B90" t="str">
            <v>Not Started</v>
          </cell>
          <cell r="C90">
            <v>0</v>
          </cell>
          <cell r="D90">
            <v>0</v>
          </cell>
        </row>
        <row r="91">
          <cell r="A91" t="str">
            <v>A1EMCCOCIV1360</v>
          </cell>
          <cell r="B91" t="str">
            <v>Not Started</v>
          </cell>
          <cell r="C91">
            <v>0</v>
          </cell>
          <cell r="D91">
            <v>0</v>
          </cell>
        </row>
        <row r="92">
          <cell r="A92" t="str">
            <v>A1EMCCOCIV1370</v>
          </cell>
          <cell r="B92" t="str">
            <v>Not Started</v>
          </cell>
          <cell r="C92">
            <v>0</v>
          </cell>
          <cell r="D92">
            <v>0</v>
          </cell>
        </row>
        <row r="93">
          <cell r="A93" t="str">
            <v>A1EMCCOCIV1380</v>
          </cell>
          <cell r="B93" t="str">
            <v>Not Started</v>
          </cell>
          <cell r="C93">
            <v>0</v>
          </cell>
          <cell r="D93">
            <v>0</v>
          </cell>
        </row>
        <row r="94">
          <cell r="A94" t="str">
            <v>A1EMCCOCIV1390</v>
          </cell>
          <cell r="B94" t="str">
            <v>Not Started</v>
          </cell>
          <cell r="C94">
            <v>0</v>
          </cell>
          <cell r="D94">
            <v>0</v>
          </cell>
        </row>
        <row r="95">
          <cell r="A95" t="str">
            <v>A1EMCCOCIV1400</v>
          </cell>
          <cell r="B95" t="str">
            <v>Not Started</v>
          </cell>
          <cell r="C95">
            <v>0</v>
          </cell>
          <cell r="D95">
            <v>0</v>
          </cell>
        </row>
        <row r="96">
          <cell r="A96" t="str">
            <v>A1EMCCOCIV1410</v>
          </cell>
          <cell r="B96" t="str">
            <v>Not Started</v>
          </cell>
          <cell r="C96">
            <v>0</v>
          </cell>
          <cell r="D96">
            <v>0</v>
          </cell>
        </row>
        <row r="97">
          <cell r="A97" t="str">
            <v>A1EMCCOCIV1420</v>
          </cell>
          <cell r="B97" t="str">
            <v>Not Started</v>
          </cell>
          <cell r="C97">
            <v>0</v>
          </cell>
          <cell r="D97">
            <v>0</v>
          </cell>
        </row>
        <row r="98">
          <cell r="A98" t="str">
            <v>A1EMCCOCIV1430</v>
          </cell>
          <cell r="B98" t="str">
            <v>Completed</v>
          </cell>
          <cell r="C98">
            <v>1</v>
          </cell>
          <cell r="D98">
            <v>1</v>
          </cell>
        </row>
        <row r="99">
          <cell r="A99" t="str">
            <v>A1EMCCOCIV1440</v>
          </cell>
          <cell r="B99" t="str">
            <v>Completed</v>
          </cell>
          <cell r="C99">
            <v>1</v>
          </cell>
          <cell r="D99">
            <v>1</v>
          </cell>
        </row>
        <row r="100">
          <cell r="A100" t="str">
            <v>A1EMCCOCIV1450</v>
          </cell>
          <cell r="B100" t="str">
            <v>Not Started</v>
          </cell>
          <cell r="C100">
            <v>0</v>
          </cell>
          <cell r="D100">
            <v>0</v>
          </cell>
        </row>
        <row r="101">
          <cell r="A101" t="str">
            <v>A1EMCCOCIV1460</v>
          </cell>
          <cell r="B101" t="str">
            <v>Not Started</v>
          </cell>
          <cell r="C101">
            <v>1</v>
          </cell>
          <cell r="D101">
            <v>0</v>
          </cell>
        </row>
        <row r="102">
          <cell r="A102" t="str">
            <v>A1EMCCOCIV1470</v>
          </cell>
          <cell r="B102" t="str">
            <v>Not Started</v>
          </cell>
          <cell r="C102">
            <v>0</v>
          </cell>
          <cell r="D102">
            <v>0</v>
          </cell>
        </row>
        <row r="103">
          <cell r="A103" t="str">
            <v>A1EMCCOCIV1490</v>
          </cell>
          <cell r="B103" t="str">
            <v>Not Started</v>
          </cell>
          <cell r="C103">
            <v>0</v>
          </cell>
          <cell r="D103">
            <v>0</v>
          </cell>
        </row>
        <row r="104">
          <cell r="A104" t="str">
            <v>A1EMCCOCIV1500</v>
          </cell>
          <cell r="B104" t="str">
            <v>Not Started</v>
          </cell>
          <cell r="C104">
            <v>0</v>
          </cell>
          <cell r="D104">
            <v>0</v>
          </cell>
        </row>
        <row r="105">
          <cell r="A105" t="str">
            <v>A1EMCCOCIV1510</v>
          </cell>
          <cell r="B105" t="str">
            <v>Not Started</v>
          </cell>
          <cell r="C105">
            <v>0</v>
          </cell>
          <cell r="D105">
            <v>0</v>
          </cell>
        </row>
        <row r="106">
          <cell r="A106" t="str">
            <v>A1EMCCOCIV1520</v>
          </cell>
          <cell r="B106" t="str">
            <v>Not Started</v>
          </cell>
          <cell r="C106">
            <v>0</v>
          </cell>
          <cell r="D106">
            <v>0</v>
          </cell>
        </row>
        <row r="107">
          <cell r="A107" t="str">
            <v>A1EMCCOCIV1530</v>
          </cell>
          <cell r="B107" t="str">
            <v>Not Started</v>
          </cell>
          <cell r="C107">
            <v>0</v>
          </cell>
          <cell r="D107">
            <v>0</v>
          </cell>
        </row>
        <row r="108">
          <cell r="A108" t="str">
            <v>A1EMCCOCIV1540</v>
          </cell>
          <cell r="B108" t="str">
            <v>Not Started</v>
          </cell>
          <cell r="C108">
            <v>0</v>
          </cell>
          <cell r="D108">
            <v>0</v>
          </cell>
        </row>
        <row r="109">
          <cell r="A109" t="str">
            <v>A1EMCCOCIV1560</v>
          </cell>
          <cell r="B109" t="str">
            <v>Not Started</v>
          </cell>
          <cell r="C109">
            <v>0</v>
          </cell>
          <cell r="D109">
            <v>0</v>
          </cell>
        </row>
        <row r="110">
          <cell r="A110" t="str">
            <v>A1EMCCOCOM1000</v>
          </cell>
          <cell r="B110" t="str">
            <v>Not Started</v>
          </cell>
          <cell r="C110">
            <v>0</v>
          </cell>
          <cell r="D110">
            <v>0</v>
          </cell>
        </row>
        <row r="111">
          <cell r="A111" t="str">
            <v>A1EMCCOCOM1010</v>
          </cell>
          <cell r="B111" t="str">
            <v>Not Started</v>
          </cell>
          <cell r="C111">
            <v>0</v>
          </cell>
          <cell r="D111">
            <v>0</v>
          </cell>
        </row>
        <row r="112">
          <cell r="A112" t="str">
            <v>A1EMCCOCOM1020</v>
          </cell>
          <cell r="B112" t="str">
            <v>Not Started</v>
          </cell>
          <cell r="C112">
            <v>0</v>
          </cell>
          <cell r="D112">
            <v>0</v>
          </cell>
        </row>
        <row r="113">
          <cell r="A113" t="str">
            <v>A1EMCCOCOM1030</v>
          </cell>
          <cell r="B113" t="str">
            <v>Not Started</v>
          </cell>
          <cell r="C113">
            <v>0</v>
          </cell>
          <cell r="D113">
            <v>0</v>
          </cell>
        </row>
        <row r="114">
          <cell r="A114" t="str">
            <v>A1EMCCOCOM1040</v>
          </cell>
          <cell r="B114" t="str">
            <v>Not Started</v>
          </cell>
          <cell r="C114">
            <v>0</v>
          </cell>
          <cell r="D114">
            <v>0</v>
          </cell>
        </row>
        <row r="115">
          <cell r="A115" t="str">
            <v>A1EMCCOCOM1050</v>
          </cell>
          <cell r="B115" t="str">
            <v>Not Started</v>
          </cell>
          <cell r="C115">
            <v>0</v>
          </cell>
          <cell r="D115">
            <v>0</v>
          </cell>
        </row>
        <row r="116">
          <cell r="A116" t="str">
            <v>A1EMCCOCOM1060</v>
          </cell>
          <cell r="B116" t="str">
            <v>Not Started</v>
          </cell>
          <cell r="C116">
            <v>0</v>
          </cell>
          <cell r="D116">
            <v>0</v>
          </cell>
        </row>
        <row r="117">
          <cell r="A117" t="str">
            <v>A1EMCCOCOM1070</v>
          </cell>
          <cell r="B117" t="str">
            <v>Not Started</v>
          </cell>
          <cell r="C117">
            <v>0</v>
          </cell>
          <cell r="D117">
            <v>0</v>
          </cell>
        </row>
        <row r="118">
          <cell r="A118" t="str">
            <v>A1EMCCOCOM1080</v>
          </cell>
          <cell r="B118" t="str">
            <v>Not Started</v>
          </cell>
          <cell r="C118">
            <v>0</v>
          </cell>
          <cell r="D118">
            <v>0</v>
          </cell>
        </row>
        <row r="119">
          <cell r="A119" t="str">
            <v>A1EMCCOCOM1090</v>
          </cell>
          <cell r="B119" t="str">
            <v>Not Started</v>
          </cell>
          <cell r="C119">
            <v>0</v>
          </cell>
          <cell r="D119">
            <v>0</v>
          </cell>
        </row>
        <row r="120">
          <cell r="A120" t="str">
            <v>A1EMCCOCOM1100</v>
          </cell>
          <cell r="B120" t="str">
            <v>Not Started</v>
          </cell>
          <cell r="C120">
            <v>0</v>
          </cell>
          <cell r="D120">
            <v>0</v>
          </cell>
        </row>
        <row r="121">
          <cell r="A121" t="str">
            <v>A1EMCCOEAR1000</v>
          </cell>
          <cell r="B121" t="str">
            <v>Completed</v>
          </cell>
          <cell r="C121">
            <v>1</v>
          </cell>
          <cell r="D121">
            <v>1</v>
          </cell>
        </row>
        <row r="122">
          <cell r="A122" t="str">
            <v>A1EMCCOEAR1010</v>
          </cell>
          <cell r="B122" t="str">
            <v>Completed</v>
          </cell>
          <cell r="C122">
            <v>1</v>
          </cell>
          <cell r="D122">
            <v>1</v>
          </cell>
        </row>
        <row r="123">
          <cell r="A123" t="str">
            <v>A1EMCCOEAR1020</v>
          </cell>
          <cell r="B123" t="str">
            <v>Completed</v>
          </cell>
          <cell r="C123">
            <v>1</v>
          </cell>
          <cell r="D123">
            <v>1</v>
          </cell>
        </row>
        <row r="124">
          <cell r="A124" t="str">
            <v>A1EMCCOEAR1030</v>
          </cell>
          <cell r="B124" t="str">
            <v>In Progress</v>
          </cell>
          <cell r="C124">
            <v>1</v>
          </cell>
          <cell r="D124">
            <v>0.9</v>
          </cell>
        </row>
        <row r="125">
          <cell r="A125" t="str">
            <v>A1EMCCOEAR1040</v>
          </cell>
          <cell r="B125" t="str">
            <v>Not Started</v>
          </cell>
          <cell r="C125">
            <v>0</v>
          </cell>
          <cell r="D125">
            <v>0</v>
          </cell>
        </row>
        <row r="126">
          <cell r="A126" t="str">
            <v>A1EMCCOEAR1050</v>
          </cell>
          <cell r="B126" t="str">
            <v>Not Started</v>
          </cell>
          <cell r="C126">
            <v>0</v>
          </cell>
          <cell r="D126">
            <v>0</v>
          </cell>
        </row>
        <row r="127">
          <cell r="A127" t="str">
            <v>A1EMCCOEAR1060</v>
          </cell>
          <cell r="B127" t="str">
            <v>Not Started</v>
          </cell>
          <cell r="C127">
            <v>0</v>
          </cell>
          <cell r="D127">
            <v>0</v>
          </cell>
        </row>
        <row r="128">
          <cell r="A128" t="str">
            <v>A1EMCCOEAR1070</v>
          </cell>
          <cell r="B128" t="str">
            <v>Not Started</v>
          </cell>
          <cell r="C128">
            <v>0</v>
          </cell>
          <cell r="D128">
            <v>0</v>
          </cell>
        </row>
        <row r="129">
          <cell r="A129" t="str">
            <v>A1EMCCOEAR1080</v>
          </cell>
          <cell r="B129" t="str">
            <v>Not Started</v>
          </cell>
          <cell r="C129">
            <v>0</v>
          </cell>
          <cell r="D129">
            <v>0</v>
          </cell>
        </row>
        <row r="130">
          <cell r="A130" t="str">
            <v>A1EMCCOEAR1090</v>
          </cell>
          <cell r="B130" t="str">
            <v>Not Started</v>
          </cell>
          <cell r="C130">
            <v>0</v>
          </cell>
          <cell r="D130">
            <v>0</v>
          </cell>
        </row>
        <row r="131">
          <cell r="A131" t="str">
            <v>A1EMCCOEAR1100</v>
          </cell>
          <cell r="B131" t="str">
            <v>Completed</v>
          </cell>
          <cell r="C131">
            <v>1</v>
          </cell>
          <cell r="D131">
            <v>1</v>
          </cell>
        </row>
        <row r="132">
          <cell r="A132" t="str">
            <v>A1EMCCOEAR1110</v>
          </cell>
          <cell r="B132" t="str">
            <v>Not Started</v>
          </cell>
          <cell r="C132">
            <v>1</v>
          </cell>
          <cell r="D132">
            <v>0</v>
          </cell>
        </row>
        <row r="133">
          <cell r="A133" t="str">
            <v>A1EMCCOEAR1120</v>
          </cell>
          <cell r="B133" t="str">
            <v>Not Started</v>
          </cell>
          <cell r="C133">
            <v>1</v>
          </cell>
          <cell r="D133">
            <v>0</v>
          </cell>
        </row>
        <row r="134">
          <cell r="A134" t="str">
            <v>A1EMCCOEAR1130</v>
          </cell>
          <cell r="B134" t="str">
            <v>Completed</v>
          </cell>
          <cell r="C134">
            <v>1</v>
          </cell>
          <cell r="D134">
            <v>1</v>
          </cell>
        </row>
        <row r="135">
          <cell r="A135" t="str">
            <v>A1EMCCOEAR1140</v>
          </cell>
          <cell r="B135" t="str">
            <v>Completed</v>
          </cell>
          <cell r="C135">
            <v>1</v>
          </cell>
          <cell r="D135">
            <v>1</v>
          </cell>
        </row>
        <row r="136">
          <cell r="A136" t="str">
            <v>A1EMCCOEAR1200</v>
          </cell>
          <cell r="B136" t="str">
            <v>Completed</v>
          </cell>
          <cell r="C136">
            <v>1</v>
          </cell>
          <cell r="D136">
            <v>1</v>
          </cell>
        </row>
        <row r="137">
          <cell r="A137" t="str">
            <v>A1EMCCOELE1000</v>
          </cell>
          <cell r="B137" t="str">
            <v>Not Started</v>
          </cell>
          <cell r="C137">
            <v>0</v>
          </cell>
          <cell r="D137">
            <v>0</v>
          </cell>
        </row>
        <row r="138">
          <cell r="A138" t="str">
            <v>A1EMCCOELE1010</v>
          </cell>
          <cell r="B138" t="str">
            <v>Not Started</v>
          </cell>
          <cell r="C138">
            <v>0</v>
          </cell>
          <cell r="D138">
            <v>0</v>
          </cell>
        </row>
        <row r="139">
          <cell r="A139" t="str">
            <v>A1EMCCOELE1020</v>
          </cell>
          <cell r="B139" t="str">
            <v>Not Started</v>
          </cell>
          <cell r="C139">
            <v>0</v>
          </cell>
          <cell r="D139">
            <v>0</v>
          </cell>
        </row>
        <row r="140">
          <cell r="A140" t="str">
            <v>A1EMCCOELE1030</v>
          </cell>
          <cell r="B140" t="str">
            <v>Not Started</v>
          </cell>
          <cell r="C140">
            <v>0</v>
          </cell>
          <cell r="D140">
            <v>0</v>
          </cell>
        </row>
        <row r="141">
          <cell r="A141" t="str">
            <v>A1EMCCOELE1040</v>
          </cell>
          <cell r="B141" t="str">
            <v>Not Started</v>
          </cell>
          <cell r="C141">
            <v>0</v>
          </cell>
          <cell r="D141">
            <v>0</v>
          </cell>
        </row>
        <row r="142">
          <cell r="A142" t="str">
            <v>A1EMCCOELE1050</v>
          </cell>
          <cell r="B142" t="str">
            <v>Not Started</v>
          </cell>
          <cell r="C142">
            <v>0</v>
          </cell>
          <cell r="D142">
            <v>0</v>
          </cell>
        </row>
        <row r="143">
          <cell r="A143" t="str">
            <v>A1EMCCOELE1060</v>
          </cell>
          <cell r="B143" t="str">
            <v>Not Started</v>
          </cell>
          <cell r="C143">
            <v>0</v>
          </cell>
          <cell r="D143">
            <v>0</v>
          </cell>
        </row>
        <row r="144">
          <cell r="A144" t="str">
            <v>A1EMCCOELE1070</v>
          </cell>
          <cell r="B144" t="str">
            <v>Not Started</v>
          </cell>
          <cell r="C144">
            <v>0</v>
          </cell>
          <cell r="D144">
            <v>0</v>
          </cell>
        </row>
        <row r="145">
          <cell r="A145" t="str">
            <v>A1EMCCOELE1080</v>
          </cell>
          <cell r="B145" t="str">
            <v>Not Started</v>
          </cell>
          <cell r="C145">
            <v>0</v>
          </cell>
          <cell r="D145">
            <v>0</v>
          </cell>
        </row>
        <row r="146">
          <cell r="A146" t="str">
            <v>A1EMCCOELE1090</v>
          </cell>
          <cell r="B146" t="str">
            <v>Not Started</v>
          </cell>
          <cell r="C146">
            <v>0</v>
          </cell>
          <cell r="D146">
            <v>0</v>
          </cell>
        </row>
        <row r="147">
          <cell r="A147" t="str">
            <v>A1EMCCOELE1100</v>
          </cell>
          <cell r="B147" t="str">
            <v>Not Started</v>
          </cell>
          <cell r="C147">
            <v>0</v>
          </cell>
          <cell r="D147">
            <v>0</v>
          </cell>
        </row>
        <row r="148">
          <cell r="A148" t="str">
            <v>A1EMCCOELE1110</v>
          </cell>
          <cell r="B148" t="str">
            <v>Not Started</v>
          </cell>
          <cell r="C148">
            <v>0</v>
          </cell>
          <cell r="D148">
            <v>0</v>
          </cell>
        </row>
        <row r="149">
          <cell r="A149" t="str">
            <v>A1EMCCOELE2111</v>
          </cell>
          <cell r="B149" t="str">
            <v>Not Started</v>
          </cell>
          <cell r="C149">
            <v>0</v>
          </cell>
          <cell r="D149">
            <v>0</v>
          </cell>
        </row>
        <row r="150">
          <cell r="A150" t="str">
            <v>A1EMCCOELE2112</v>
          </cell>
          <cell r="B150" t="str">
            <v>Not Started</v>
          </cell>
          <cell r="C150">
            <v>0</v>
          </cell>
          <cell r="D150">
            <v>0</v>
          </cell>
        </row>
        <row r="151">
          <cell r="A151" t="str">
            <v>A1EMCCOELE2113</v>
          </cell>
          <cell r="B151" t="str">
            <v>Not Started</v>
          </cell>
          <cell r="C151">
            <v>0</v>
          </cell>
          <cell r="D151">
            <v>0</v>
          </cell>
        </row>
        <row r="152">
          <cell r="A152" t="str">
            <v>A1EMCCOINS1000</v>
          </cell>
          <cell r="B152" t="str">
            <v>Not Started</v>
          </cell>
          <cell r="C152">
            <v>0</v>
          </cell>
          <cell r="D152">
            <v>0</v>
          </cell>
        </row>
        <row r="153">
          <cell r="A153" t="str">
            <v>A1EMCCOINS1010</v>
          </cell>
          <cell r="B153" t="str">
            <v>Not Started</v>
          </cell>
          <cell r="C153">
            <v>0</v>
          </cell>
          <cell r="D153">
            <v>0</v>
          </cell>
        </row>
        <row r="154">
          <cell r="A154" t="str">
            <v>A1EMCCOINS1020</v>
          </cell>
          <cell r="B154" t="str">
            <v>Not Started</v>
          </cell>
          <cell r="C154">
            <v>0</v>
          </cell>
          <cell r="D154">
            <v>0</v>
          </cell>
        </row>
        <row r="155">
          <cell r="A155" t="str">
            <v>A1EMCCOINS1030</v>
          </cell>
          <cell r="B155" t="str">
            <v>Not Started</v>
          </cell>
          <cell r="C155">
            <v>0</v>
          </cell>
          <cell r="D155">
            <v>0</v>
          </cell>
        </row>
        <row r="156">
          <cell r="A156" t="str">
            <v>A1EMCCOINS1031</v>
          </cell>
          <cell r="B156" t="str">
            <v>Not Started</v>
          </cell>
          <cell r="C156">
            <v>0</v>
          </cell>
          <cell r="D156">
            <v>0</v>
          </cell>
        </row>
        <row r="157">
          <cell r="A157" t="str">
            <v>A1EMCCOLAN1000</v>
          </cell>
          <cell r="B157" t="str">
            <v>Not Started</v>
          </cell>
          <cell r="C157">
            <v>0</v>
          </cell>
          <cell r="D157">
            <v>0</v>
          </cell>
        </row>
        <row r="158">
          <cell r="A158" t="str">
            <v>A1EMCCOLAN1010</v>
          </cell>
          <cell r="B158" t="str">
            <v>Not Started</v>
          </cell>
          <cell r="C158">
            <v>0</v>
          </cell>
          <cell r="D158">
            <v>0</v>
          </cell>
        </row>
        <row r="159">
          <cell r="A159" t="str">
            <v>A1EMCCOLAN1020</v>
          </cell>
          <cell r="B159" t="str">
            <v>Not Started</v>
          </cell>
          <cell r="C159">
            <v>0</v>
          </cell>
          <cell r="D159">
            <v>0</v>
          </cell>
        </row>
        <row r="160">
          <cell r="A160" t="str">
            <v>A1EMCCOLAN1030</v>
          </cell>
          <cell r="B160" t="str">
            <v>Not Started</v>
          </cell>
          <cell r="C160">
            <v>0</v>
          </cell>
          <cell r="D160">
            <v>0</v>
          </cell>
        </row>
        <row r="161">
          <cell r="A161" t="str">
            <v>A1EMCCOLAN1040</v>
          </cell>
          <cell r="B161" t="str">
            <v>Not Started</v>
          </cell>
          <cell r="C161">
            <v>0</v>
          </cell>
          <cell r="D161">
            <v>0</v>
          </cell>
        </row>
        <row r="162">
          <cell r="A162" t="str">
            <v>A1EMCCOLAN1050</v>
          </cell>
          <cell r="B162" t="str">
            <v>Not Started</v>
          </cell>
          <cell r="C162">
            <v>0</v>
          </cell>
          <cell r="D162">
            <v>0</v>
          </cell>
        </row>
        <row r="163">
          <cell r="A163" t="str">
            <v>A1EMCCOLAN1060</v>
          </cell>
          <cell r="B163" t="str">
            <v>Not Started</v>
          </cell>
          <cell r="C163">
            <v>0</v>
          </cell>
          <cell r="D163">
            <v>0</v>
          </cell>
        </row>
        <row r="164">
          <cell r="A164" t="str">
            <v>A1EMCCOLAN1070</v>
          </cell>
          <cell r="B164" t="str">
            <v>Not Started</v>
          </cell>
          <cell r="C164">
            <v>0</v>
          </cell>
          <cell r="D164">
            <v>0</v>
          </cell>
        </row>
        <row r="165">
          <cell r="A165" t="str">
            <v>A1EMCCOLAN1080</v>
          </cell>
          <cell r="B165" t="str">
            <v>Not Started</v>
          </cell>
          <cell r="C165">
            <v>0</v>
          </cell>
          <cell r="D165">
            <v>0</v>
          </cell>
        </row>
        <row r="166">
          <cell r="A166" t="str">
            <v>A1EMCCOLAN1090</v>
          </cell>
          <cell r="B166" t="str">
            <v>Not Started</v>
          </cell>
          <cell r="C166">
            <v>0</v>
          </cell>
          <cell r="D166">
            <v>0</v>
          </cell>
        </row>
        <row r="167">
          <cell r="A167" t="str">
            <v>A1EMCCOLAN1100</v>
          </cell>
          <cell r="B167" t="str">
            <v>Not Started</v>
          </cell>
          <cell r="C167">
            <v>0</v>
          </cell>
          <cell r="D167">
            <v>0</v>
          </cell>
        </row>
        <row r="168">
          <cell r="A168" t="str">
            <v>A1EMCCOLAN1110</v>
          </cell>
          <cell r="B168" t="str">
            <v>Not Started</v>
          </cell>
          <cell r="C168">
            <v>0</v>
          </cell>
          <cell r="D168">
            <v>0</v>
          </cell>
        </row>
        <row r="169">
          <cell r="A169" t="str">
            <v>A1EMCCOMEC1000</v>
          </cell>
          <cell r="B169" t="str">
            <v>Not Started</v>
          </cell>
          <cell r="C169">
            <v>1</v>
          </cell>
          <cell r="D169">
            <v>0</v>
          </cell>
        </row>
        <row r="170">
          <cell r="A170" t="str">
            <v>A1EMCCOMEC1010</v>
          </cell>
          <cell r="B170" t="str">
            <v>Not Started</v>
          </cell>
          <cell r="C170">
            <v>1</v>
          </cell>
          <cell r="D170">
            <v>0</v>
          </cell>
        </row>
        <row r="171">
          <cell r="A171" t="str">
            <v>A1EMCCOMEC1020</v>
          </cell>
          <cell r="B171" t="str">
            <v>Not Started</v>
          </cell>
          <cell r="C171">
            <v>0</v>
          </cell>
          <cell r="D171">
            <v>0</v>
          </cell>
        </row>
        <row r="172">
          <cell r="A172" t="str">
            <v>A1EMCCOMEC1030</v>
          </cell>
          <cell r="B172" t="str">
            <v>Not Started</v>
          </cell>
          <cell r="C172">
            <v>0</v>
          </cell>
          <cell r="D172">
            <v>0</v>
          </cell>
        </row>
        <row r="173">
          <cell r="A173" t="str">
            <v>A1EMCCOMEC1040</v>
          </cell>
          <cell r="B173" t="str">
            <v>Not Started</v>
          </cell>
          <cell r="C173">
            <v>0</v>
          </cell>
          <cell r="D173">
            <v>0</v>
          </cell>
        </row>
        <row r="174">
          <cell r="A174" t="str">
            <v>A1EMCCOMEC1050</v>
          </cell>
          <cell r="B174" t="str">
            <v>Not Started</v>
          </cell>
          <cell r="C174">
            <v>0</v>
          </cell>
          <cell r="D174">
            <v>0</v>
          </cell>
        </row>
        <row r="175">
          <cell r="A175" t="str">
            <v>A1EMCCOMEC1060</v>
          </cell>
          <cell r="B175" t="str">
            <v>Not Started</v>
          </cell>
          <cell r="C175">
            <v>0</v>
          </cell>
          <cell r="D175">
            <v>0</v>
          </cell>
        </row>
        <row r="176">
          <cell r="A176" t="str">
            <v>A1EMCCOMEC1070</v>
          </cell>
          <cell r="B176" t="str">
            <v>Not Started</v>
          </cell>
          <cell r="C176">
            <v>0</v>
          </cell>
          <cell r="D176">
            <v>0</v>
          </cell>
        </row>
        <row r="177">
          <cell r="A177" t="str">
            <v>A1EMCCOMEC1080</v>
          </cell>
          <cell r="B177" t="str">
            <v>Not Started</v>
          </cell>
          <cell r="C177">
            <v>0</v>
          </cell>
          <cell r="D177">
            <v>0</v>
          </cell>
        </row>
        <row r="178">
          <cell r="A178" t="str">
            <v>A1EMCCOMEC1090</v>
          </cell>
          <cell r="B178" t="str">
            <v>Not Started</v>
          </cell>
          <cell r="C178">
            <v>0</v>
          </cell>
          <cell r="D178">
            <v>0</v>
          </cell>
        </row>
        <row r="179">
          <cell r="A179" t="str">
            <v>A1EMCCOMEC1100</v>
          </cell>
          <cell r="B179" t="str">
            <v>Not Started</v>
          </cell>
          <cell r="C179">
            <v>0</v>
          </cell>
          <cell r="D179">
            <v>0</v>
          </cell>
        </row>
        <row r="180">
          <cell r="A180" t="str">
            <v>A1EMCCOMEC1110</v>
          </cell>
          <cell r="B180" t="str">
            <v>Not Started</v>
          </cell>
          <cell r="C180">
            <v>0</v>
          </cell>
          <cell r="D180">
            <v>0</v>
          </cell>
        </row>
        <row r="181">
          <cell r="A181" t="str">
            <v>A1EMCCOMEC1120</v>
          </cell>
          <cell r="B181" t="str">
            <v>Not Started</v>
          </cell>
          <cell r="C181">
            <v>0</v>
          </cell>
          <cell r="D181">
            <v>0</v>
          </cell>
        </row>
        <row r="182">
          <cell r="A182" t="str">
            <v>A1EMCCOMEC1130</v>
          </cell>
          <cell r="B182" t="str">
            <v>Not Started</v>
          </cell>
          <cell r="C182">
            <v>0</v>
          </cell>
          <cell r="D182">
            <v>0</v>
          </cell>
        </row>
        <row r="183">
          <cell r="A183" t="str">
            <v>A1EMCCOMEC1140</v>
          </cell>
          <cell r="B183" t="str">
            <v>Not Started</v>
          </cell>
          <cell r="C183">
            <v>0</v>
          </cell>
          <cell r="D183">
            <v>0</v>
          </cell>
        </row>
        <row r="184">
          <cell r="A184" t="str">
            <v>A1EMCCOMEC1150</v>
          </cell>
          <cell r="B184" t="str">
            <v>Not Started</v>
          </cell>
          <cell r="C184">
            <v>0</v>
          </cell>
          <cell r="D184">
            <v>0</v>
          </cell>
        </row>
        <row r="185">
          <cell r="A185" t="str">
            <v>A1EMCCOMEC1160</v>
          </cell>
          <cell r="B185" t="str">
            <v>Not Started</v>
          </cell>
          <cell r="C185">
            <v>0</v>
          </cell>
          <cell r="D185">
            <v>0</v>
          </cell>
        </row>
        <row r="186">
          <cell r="A186" t="str">
            <v>A1EMCCOMEC1170</v>
          </cell>
          <cell r="B186" t="str">
            <v>Not Started</v>
          </cell>
          <cell r="C186">
            <v>0</v>
          </cell>
          <cell r="D186">
            <v>0</v>
          </cell>
        </row>
        <row r="187">
          <cell r="A187" t="str">
            <v>A1EMCCOMEC1180</v>
          </cell>
          <cell r="B187" t="str">
            <v>Not Started</v>
          </cell>
          <cell r="C187">
            <v>0</v>
          </cell>
          <cell r="D187">
            <v>0</v>
          </cell>
        </row>
        <row r="188">
          <cell r="A188" t="str">
            <v>A1EMCCOMEC1190</v>
          </cell>
          <cell r="B188" t="str">
            <v>Not Started</v>
          </cell>
          <cell r="C188">
            <v>0</v>
          </cell>
          <cell r="D188">
            <v>0</v>
          </cell>
        </row>
        <row r="189">
          <cell r="A189" t="str">
            <v>A1EMCCOMEC1200</v>
          </cell>
          <cell r="B189" t="str">
            <v>Not Started</v>
          </cell>
          <cell r="C189">
            <v>0</v>
          </cell>
          <cell r="D189">
            <v>0</v>
          </cell>
        </row>
        <row r="190">
          <cell r="A190" t="str">
            <v>A1EMCCOMEC1210</v>
          </cell>
          <cell r="B190" t="str">
            <v>Not Started</v>
          </cell>
          <cell r="C190">
            <v>0</v>
          </cell>
          <cell r="D190">
            <v>0</v>
          </cell>
        </row>
        <row r="191">
          <cell r="A191" t="str">
            <v>A1EMCCOMEC1220</v>
          </cell>
          <cell r="B191" t="str">
            <v>Not Started</v>
          </cell>
          <cell r="C191">
            <v>0</v>
          </cell>
          <cell r="D191">
            <v>0</v>
          </cell>
        </row>
        <row r="192">
          <cell r="A192" t="str">
            <v>A1EMCCOMEC1230</v>
          </cell>
          <cell r="B192" t="str">
            <v>Not Started</v>
          </cell>
          <cell r="C192">
            <v>0</v>
          </cell>
          <cell r="D192">
            <v>0</v>
          </cell>
        </row>
        <row r="193">
          <cell r="A193" t="str">
            <v>A1EMCCOMEC1240</v>
          </cell>
          <cell r="B193" t="str">
            <v>Not Started</v>
          </cell>
          <cell r="C193">
            <v>0</v>
          </cell>
          <cell r="D193">
            <v>0</v>
          </cell>
        </row>
        <row r="194">
          <cell r="A194" t="str">
            <v>A1EMCCOMEC1250</v>
          </cell>
          <cell r="B194" t="str">
            <v>Not Started</v>
          </cell>
          <cell r="C194">
            <v>0</v>
          </cell>
          <cell r="D194">
            <v>0</v>
          </cell>
        </row>
        <row r="195">
          <cell r="A195" t="str">
            <v>A1EMCCOMEC1260</v>
          </cell>
          <cell r="B195" t="str">
            <v>Not Started</v>
          </cell>
          <cell r="C195">
            <v>0</v>
          </cell>
          <cell r="D195">
            <v>0</v>
          </cell>
        </row>
        <row r="196">
          <cell r="A196" t="str">
            <v>A1EMCCOMEC1270</v>
          </cell>
          <cell r="B196" t="str">
            <v>Not Started</v>
          </cell>
          <cell r="C196">
            <v>0</v>
          </cell>
          <cell r="D196">
            <v>0</v>
          </cell>
        </row>
        <row r="197">
          <cell r="A197" t="str">
            <v>A1EMCCOMEC1280</v>
          </cell>
          <cell r="B197" t="str">
            <v>Not Started</v>
          </cell>
          <cell r="C197">
            <v>0</v>
          </cell>
          <cell r="D197">
            <v>0</v>
          </cell>
        </row>
        <row r="198">
          <cell r="A198" t="str">
            <v>A1EMCCOMEC1290</v>
          </cell>
          <cell r="B198" t="str">
            <v>Not Started</v>
          </cell>
          <cell r="C198">
            <v>0</v>
          </cell>
          <cell r="D198">
            <v>0</v>
          </cell>
        </row>
        <row r="199">
          <cell r="A199" t="str">
            <v>A1EMCCOMEC1300</v>
          </cell>
          <cell r="B199" t="str">
            <v>Not Started</v>
          </cell>
          <cell r="C199">
            <v>0</v>
          </cell>
          <cell r="D199">
            <v>0</v>
          </cell>
        </row>
        <row r="200">
          <cell r="A200" t="str">
            <v>A1EMCCOMEC1310</v>
          </cell>
          <cell r="B200" t="str">
            <v>Not Started</v>
          </cell>
          <cell r="C200">
            <v>0</v>
          </cell>
          <cell r="D200">
            <v>0</v>
          </cell>
        </row>
        <row r="201">
          <cell r="A201" t="str">
            <v>A1EMCCOMEC1320</v>
          </cell>
          <cell r="B201" t="str">
            <v>Not Started</v>
          </cell>
          <cell r="C201">
            <v>0</v>
          </cell>
          <cell r="D201">
            <v>0</v>
          </cell>
        </row>
        <row r="202">
          <cell r="A202" t="str">
            <v>A1EMCCOMEC1330</v>
          </cell>
          <cell r="B202" t="str">
            <v>Not Started</v>
          </cell>
          <cell r="C202">
            <v>0</v>
          </cell>
          <cell r="D202">
            <v>0</v>
          </cell>
        </row>
        <row r="203">
          <cell r="A203" t="str">
            <v>A1EMCCOMEC1340</v>
          </cell>
          <cell r="B203" t="str">
            <v>Not Started</v>
          </cell>
          <cell r="C203">
            <v>0</v>
          </cell>
          <cell r="D203">
            <v>0</v>
          </cell>
        </row>
        <row r="204">
          <cell r="A204" t="str">
            <v>A1EMCCOMEC1350</v>
          </cell>
          <cell r="B204" t="str">
            <v>Not Started</v>
          </cell>
          <cell r="C204">
            <v>0</v>
          </cell>
          <cell r="D204">
            <v>0</v>
          </cell>
        </row>
        <row r="205">
          <cell r="A205" t="str">
            <v>A1EMCCOMEC1360</v>
          </cell>
          <cell r="B205" t="str">
            <v>Not Started</v>
          </cell>
          <cell r="C205">
            <v>0</v>
          </cell>
          <cell r="D205">
            <v>0</v>
          </cell>
        </row>
        <row r="206">
          <cell r="A206" t="str">
            <v>A1EMCCOMEC1370</v>
          </cell>
          <cell r="B206" t="str">
            <v>Not Started</v>
          </cell>
          <cell r="C206">
            <v>0</v>
          </cell>
          <cell r="D206">
            <v>0</v>
          </cell>
        </row>
        <row r="207">
          <cell r="A207" t="str">
            <v>A1EMCCOMEC1380</v>
          </cell>
          <cell r="B207" t="str">
            <v>Not Started</v>
          </cell>
          <cell r="C207">
            <v>0</v>
          </cell>
          <cell r="D207">
            <v>0</v>
          </cell>
        </row>
        <row r="208">
          <cell r="A208" t="str">
            <v>A1EMCCOMEC1390</v>
          </cell>
          <cell r="B208" t="str">
            <v>Not Started</v>
          </cell>
          <cell r="C208">
            <v>0</v>
          </cell>
          <cell r="D208">
            <v>0</v>
          </cell>
        </row>
        <row r="209">
          <cell r="A209" t="str">
            <v>A1EMCCOMEC1400</v>
          </cell>
          <cell r="B209" t="str">
            <v>Not Started</v>
          </cell>
          <cell r="C209">
            <v>0</v>
          </cell>
          <cell r="D209">
            <v>0</v>
          </cell>
        </row>
        <row r="210">
          <cell r="A210" t="str">
            <v>A1EMCCOMEC1410</v>
          </cell>
          <cell r="B210" t="str">
            <v>Not Started</v>
          </cell>
          <cell r="C210">
            <v>0</v>
          </cell>
          <cell r="D210">
            <v>0</v>
          </cell>
        </row>
        <row r="211">
          <cell r="A211" t="str">
            <v>A1EMCCOMEC1420</v>
          </cell>
          <cell r="B211" t="str">
            <v>Not Started</v>
          </cell>
          <cell r="C211">
            <v>0</v>
          </cell>
          <cell r="D211">
            <v>0</v>
          </cell>
        </row>
        <row r="212">
          <cell r="A212" t="str">
            <v>A1EMCCOMEC1430</v>
          </cell>
          <cell r="B212" t="str">
            <v>Not Started</v>
          </cell>
          <cell r="C212">
            <v>0</v>
          </cell>
          <cell r="D212">
            <v>0</v>
          </cell>
        </row>
        <row r="213">
          <cell r="A213" t="str">
            <v>A1EMCCOMEC1440</v>
          </cell>
          <cell r="B213" t="str">
            <v>Not Started</v>
          </cell>
          <cell r="C213">
            <v>0</v>
          </cell>
          <cell r="D213">
            <v>0</v>
          </cell>
        </row>
        <row r="214">
          <cell r="A214" t="str">
            <v>A1EMCCOMEC1450</v>
          </cell>
          <cell r="B214" t="str">
            <v>Not Started</v>
          </cell>
          <cell r="C214">
            <v>0</v>
          </cell>
          <cell r="D214">
            <v>0</v>
          </cell>
        </row>
        <row r="215">
          <cell r="A215" t="str">
            <v>A1EMCMC1000</v>
          </cell>
          <cell r="B215" t="str">
            <v>Not Started</v>
          </cell>
          <cell r="C215">
            <v>0</v>
          </cell>
          <cell r="D215">
            <v>0</v>
          </cell>
        </row>
        <row r="216">
          <cell r="A216" t="str">
            <v>A1EMCMC1010</v>
          </cell>
          <cell r="B216" t="str">
            <v>Not Started</v>
          </cell>
          <cell r="C216">
            <v>0</v>
          </cell>
          <cell r="D216">
            <v>0</v>
          </cell>
        </row>
        <row r="217">
          <cell r="A217" t="str">
            <v>A1EMCMC1020</v>
          </cell>
          <cell r="B217" t="str">
            <v>Not Started</v>
          </cell>
          <cell r="C217">
            <v>0</v>
          </cell>
          <cell r="D217">
            <v>0</v>
          </cell>
        </row>
        <row r="218">
          <cell r="A218" t="str">
            <v>A1EMCMC1030</v>
          </cell>
          <cell r="B218" t="str">
            <v>Not Started</v>
          </cell>
          <cell r="C218">
            <v>0</v>
          </cell>
          <cell r="D218">
            <v>0</v>
          </cell>
        </row>
        <row r="219">
          <cell r="A219" t="str">
            <v>A1EMCML1000</v>
          </cell>
          <cell r="B219" t="str">
            <v>Completed</v>
          </cell>
          <cell r="C219">
            <v>1</v>
          </cell>
          <cell r="D219">
            <v>1</v>
          </cell>
        </row>
        <row r="220">
          <cell r="A220" t="str">
            <v>A1EMCML1010</v>
          </cell>
          <cell r="B220" t="str">
            <v>Not Started</v>
          </cell>
          <cell r="C220">
            <v>0</v>
          </cell>
          <cell r="D220">
            <v>0</v>
          </cell>
        </row>
        <row r="221">
          <cell r="A221" t="str">
            <v>A1EMCML1020</v>
          </cell>
          <cell r="B221" t="str">
            <v>Not Started</v>
          </cell>
          <cell r="C221">
            <v>0</v>
          </cell>
          <cell r="D221">
            <v>0</v>
          </cell>
        </row>
        <row r="222">
          <cell r="A222" t="str">
            <v>A1EMCML1030</v>
          </cell>
          <cell r="B222" t="str">
            <v>Not Started</v>
          </cell>
          <cell r="C222">
            <v>0</v>
          </cell>
          <cell r="D222">
            <v>0</v>
          </cell>
        </row>
        <row r="223">
          <cell r="A223" t="str">
            <v>A1EMCML1040</v>
          </cell>
          <cell r="B223" t="str">
            <v>Not Started</v>
          </cell>
          <cell r="C223">
            <v>0</v>
          </cell>
          <cell r="D223">
            <v>0</v>
          </cell>
        </row>
        <row r="224">
          <cell r="A224" t="str">
            <v>A1EMCML1050</v>
          </cell>
          <cell r="B224" t="str">
            <v>Not Started</v>
          </cell>
          <cell r="C224">
            <v>0</v>
          </cell>
          <cell r="D224">
            <v>0</v>
          </cell>
        </row>
        <row r="225">
          <cell r="A225" t="str">
            <v>A1EMCML1060</v>
          </cell>
          <cell r="B225" t="str">
            <v>Not Started</v>
          </cell>
          <cell r="C225">
            <v>0</v>
          </cell>
          <cell r="D225">
            <v>0</v>
          </cell>
        </row>
        <row r="226">
          <cell r="A226" t="str">
            <v>A1EMCPRCIV1000</v>
          </cell>
          <cell r="B226" t="str">
            <v>Completed</v>
          </cell>
          <cell r="C226">
            <v>1</v>
          </cell>
          <cell r="D226">
            <v>1</v>
          </cell>
        </row>
        <row r="227">
          <cell r="A227" t="str">
            <v>A1EMCPRCIV1010</v>
          </cell>
          <cell r="B227" t="str">
            <v>Completed</v>
          </cell>
          <cell r="C227">
            <v>1</v>
          </cell>
          <cell r="D227">
            <v>1</v>
          </cell>
        </row>
        <row r="228">
          <cell r="A228" t="str">
            <v>A1EMCPRCIV1020</v>
          </cell>
          <cell r="B228" t="str">
            <v>Completed</v>
          </cell>
          <cell r="C228">
            <v>1</v>
          </cell>
          <cell r="D228">
            <v>1</v>
          </cell>
        </row>
        <row r="229">
          <cell r="A229" t="str">
            <v>A1EMCPRCIV1030</v>
          </cell>
          <cell r="B229" t="str">
            <v>Completed</v>
          </cell>
          <cell r="C229">
            <v>1</v>
          </cell>
          <cell r="D229">
            <v>1</v>
          </cell>
        </row>
        <row r="230">
          <cell r="A230" t="str">
            <v>A1EMCPRCIV1040</v>
          </cell>
          <cell r="B230" t="str">
            <v>Completed</v>
          </cell>
          <cell r="C230">
            <v>1</v>
          </cell>
          <cell r="D230">
            <v>1</v>
          </cell>
        </row>
        <row r="231">
          <cell r="A231" t="str">
            <v>A1EMCPRCIV1050</v>
          </cell>
          <cell r="B231" t="str">
            <v>In Progress</v>
          </cell>
          <cell r="C231">
            <v>1</v>
          </cell>
          <cell r="D231">
            <v>0</v>
          </cell>
        </row>
        <row r="232">
          <cell r="A232" t="str">
            <v>A1EMCPRCIV1060</v>
          </cell>
          <cell r="B232" t="str">
            <v>In Progress</v>
          </cell>
          <cell r="C232">
            <v>1</v>
          </cell>
          <cell r="D232">
            <v>0</v>
          </cell>
        </row>
        <row r="233">
          <cell r="A233" t="str">
            <v>A1EMCPRCIV1070</v>
          </cell>
          <cell r="B233" t="str">
            <v>In Progress</v>
          </cell>
          <cell r="C233">
            <v>1</v>
          </cell>
          <cell r="D233">
            <v>0</v>
          </cell>
        </row>
        <row r="234">
          <cell r="A234" t="str">
            <v>A1EMCPRCIV1080</v>
          </cell>
          <cell r="B234" t="str">
            <v>In Progress</v>
          </cell>
          <cell r="C234">
            <v>1</v>
          </cell>
          <cell r="D234">
            <v>0</v>
          </cell>
        </row>
        <row r="235">
          <cell r="A235" t="str">
            <v>A1EMCPRCIV1090</v>
          </cell>
          <cell r="B235" t="str">
            <v>In Progress</v>
          </cell>
          <cell r="C235">
            <v>1</v>
          </cell>
          <cell r="D235">
            <v>0</v>
          </cell>
        </row>
        <row r="236">
          <cell r="A236" t="str">
            <v>A1EMCPRCIV1100</v>
          </cell>
          <cell r="B236" t="str">
            <v>In Progress</v>
          </cell>
          <cell r="C236">
            <v>1</v>
          </cell>
          <cell r="D236">
            <v>0</v>
          </cell>
        </row>
        <row r="237">
          <cell r="A237" t="str">
            <v>A1EMCPRCIV1110</v>
          </cell>
          <cell r="B237" t="str">
            <v>In Progress</v>
          </cell>
          <cell r="C237">
            <v>1</v>
          </cell>
          <cell r="D237">
            <v>0</v>
          </cell>
        </row>
        <row r="238">
          <cell r="A238" t="str">
            <v>A1EMCPRCIV1120</v>
          </cell>
          <cell r="B238" t="str">
            <v>In Progress</v>
          </cell>
          <cell r="C238">
            <v>1</v>
          </cell>
          <cell r="D238">
            <v>0</v>
          </cell>
        </row>
        <row r="239">
          <cell r="A239" t="str">
            <v>A1EMCPRCIV1130</v>
          </cell>
          <cell r="B239" t="str">
            <v>In Progress</v>
          </cell>
          <cell r="C239">
            <v>1</v>
          </cell>
          <cell r="D239">
            <v>0</v>
          </cell>
        </row>
        <row r="240">
          <cell r="A240" t="str">
            <v>A1EMCPRCIV1140</v>
          </cell>
          <cell r="B240" t="str">
            <v>In Progress</v>
          </cell>
          <cell r="C240">
            <v>1</v>
          </cell>
          <cell r="D240">
            <v>0</v>
          </cell>
        </row>
        <row r="241">
          <cell r="A241" t="str">
            <v>A1EMCPRCIV1150</v>
          </cell>
          <cell r="B241" t="str">
            <v>In Progress</v>
          </cell>
          <cell r="C241">
            <v>1</v>
          </cell>
          <cell r="D241">
            <v>0</v>
          </cell>
        </row>
        <row r="242">
          <cell r="A242" t="str">
            <v>A1EMCPRCIV1160</v>
          </cell>
          <cell r="B242" t="str">
            <v>In Progress</v>
          </cell>
          <cell r="C242">
            <v>1</v>
          </cell>
          <cell r="D242">
            <v>0</v>
          </cell>
        </row>
        <row r="243">
          <cell r="A243" t="str">
            <v>A1EMCPRCIV1170</v>
          </cell>
          <cell r="B243" t="str">
            <v>Completed</v>
          </cell>
          <cell r="C243">
            <v>1</v>
          </cell>
          <cell r="D243">
            <v>1</v>
          </cell>
        </row>
        <row r="244">
          <cell r="A244" t="str">
            <v>A1EMCPRCIV1180</v>
          </cell>
          <cell r="B244" t="str">
            <v>Completed</v>
          </cell>
          <cell r="C244">
            <v>1</v>
          </cell>
          <cell r="D244">
            <v>1</v>
          </cell>
        </row>
        <row r="245">
          <cell r="A245" t="str">
            <v>A1EMCPRCIV1190</v>
          </cell>
          <cell r="B245" t="str">
            <v>Completed</v>
          </cell>
          <cell r="C245">
            <v>1</v>
          </cell>
          <cell r="D245">
            <v>1</v>
          </cell>
        </row>
        <row r="246">
          <cell r="A246" t="str">
            <v>A1EMCPRCIV1200</v>
          </cell>
          <cell r="B246" t="str">
            <v>Completed</v>
          </cell>
          <cell r="C246">
            <v>1</v>
          </cell>
          <cell r="D246">
            <v>1</v>
          </cell>
        </row>
        <row r="247">
          <cell r="A247" t="str">
            <v>A1EMCPRCIV1210</v>
          </cell>
          <cell r="B247" t="str">
            <v>In Progress</v>
          </cell>
          <cell r="C247">
            <v>0.89580000000000004</v>
          </cell>
          <cell r="D247">
            <v>0</v>
          </cell>
        </row>
        <row r="248">
          <cell r="A248" t="str">
            <v>A1EMCPRCIV1220</v>
          </cell>
          <cell r="B248" t="str">
            <v>In Progress</v>
          </cell>
          <cell r="C248">
            <v>1</v>
          </cell>
          <cell r="D248">
            <v>0</v>
          </cell>
        </row>
        <row r="249">
          <cell r="A249" t="str">
            <v>A1EMCPRCIV1230</v>
          </cell>
          <cell r="B249" t="str">
            <v>In Progress</v>
          </cell>
          <cell r="C249">
            <v>1</v>
          </cell>
          <cell r="D249">
            <v>0</v>
          </cell>
        </row>
        <row r="250">
          <cell r="A250" t="str">
            <v>A1EMCPRCIV1240</v>
          </cell>
          <cell r="B250" t="str">
            <v>In Progress</v>
          </cell>
          <cell r="C250">
            <v>1</v>
          </cell>
          <cell r="D250">
            <v>0</v>
          </cell>
        </row>
        <row r="251">
          <cell r="A251" t="str">
            <v>A1EMCPRCIV1250</v>
          </cell>
          <cell r="B251" t="str">
            <v>In Progress</v>
          </cell>
          <cell r="C251">
            <v>1</v>
          </cell>
          <cell r="D251">
            <v>0</v>
          </cell>
        </row>
        <row r="252">
          <cell r="A252" t="str">
            <v>A1EMCPRCIV1260</v>
          </cell>
          <cell r="B252" t="str">
            <v>In Progress</v>
          </cell>
          <cell r="C252">
            <v>1</v>
          </cell>
          <cell r="D252">
            <v>0</v>
          </cell>
        </row>
        <row r="253">
          <cell r="A253" t="str">
            <v>A1EMCPRCIV1270</v>
          </cell>
          <cell r="B253" t="str">
            <v>In Progress</v>
          </cell>
          <cell r="C253">
            <v>1</v>
          </cell>
          <cell r="D253">
            <v>0</v>
          </cell>
        </row>
        <row r="254">
          <cell r="A254" t="str">
            <v>A1EMCPRCIV1280</v>
          </cell>
          <cell r="B254" t="str">
            <v>In Progress</v>
          </cell>
          <cell r="C254">
            <v>1</v>
          </cell>
          <cell r="D254">
            <v>0</v>
          </cell>
        </row>
        <row r="255">
          <cell r="A255" t="str">
            <v>A1EMCPRCIV1290</v>
          </cell>
          <cell r="B255" t="str">
            <v>In Progress</v>
          </cell>
          <cell r="C255">
            <v>1</v>
          </cell>
          <cell r="D255">
            <v>0</v>
          </cell>
        </row>
        <row r="256">
          <cell r="A256" t="str">
            <v>A1EMCPRCIV1300</v>
          </cell>
          <cell r="B256" t="str">
            <v>In Progress</v>
          </cell>
          <cell r="C256">
            <v>1</v>
          </cell>
          <cell r="D256">
            <v>0</v>
          </cell>
        </row>
        <row r="257">
          <cell r="A257" t="str">
            <v>A1EMCPRCIV1310</v>
          </cell>
          <cell r="B257" t="str">
            <v>In Progress</v>
          </cell>
          <cell r="C257">
            <v>1</v>
          </cell>
          <cell r="D257">
            <v>0</v>
          </cell>
        </row>
        <row r="258">
          <cell r="A258" t="str">
            <v>A1EMCPRCIV1320</v>
          </cell>
          <cell r="B258" t="str">
            <v>In Progress</v>
          </cell>
          <cell r="C258">
            <v>1</v>
          </cell>
          <cell r="D258">
            <v>0</v>
          </cell>
        </row>
        <row r="259">
          <cell r="A259" t="str">
            <v>A1EMCPRCIV1330</v>
          </cell>
          <cell r="B259" t="str">
            <v>In Progress</v>
          </cell>
          <cell r="C259">
            <v>0.7167</v>
          </cell>
          <cell r="D259">
            <v>0</v>
          </cell>
        </row>
        <row r="260">
          <cell r="A260" t="str">
            <v>A1EMCPRCIV1340</v>
          </cell>
          <cell r="B260" t="str">
            <v>In Progress</v>
          </cell>
          <cell r="C260">
            <v>0.6875</v>
          </cell>
          <cell r="D260">
            <v>0.33350000000000002</v>
          </cell>
        </row>
        <row r="261">
          <cell r="A261" t="str">
            <v>A1EMCPRCIV1350</v>
          </cell>
          <cell r="B261" t="str">
            <v>In Progress</v>
          </cell>
          <cell r="C261">
            <v>0.92500000000000004</v>
          </cell>
          <cell r="D261">
            <v>0.61680000000000001</v>
          </cell>
        </row>
        <row r="262">
          <cell r="A262" t="str">
            <v>A1EMCPRCIV1360</v>
          </cell>
          <cell r="B262" t="str">
            <v>In Progress</v>
          </cell>
          <cell r="C262">
            <v>0</v>
          </cell>
          <cell r="D262">
            <v>0.4</v>
          </cell>
        </row>
        <row r="263">
          <cell r="A263" t="str">
            <v>A1EMCPRCIV1370</v>
          </cell>
          <cell r="B263" t="str">
            <v>In Progress</v>
          </cell>
          <cell r="C263">
            <v>0.9</v>
          </cell>
          <cell r="D263">
            <v>0.3</v>
          </cell>
        </row>
        <row r="264">
          <cell r="A264" t="str">
            <v>A1EMCPRCIV1380</v>
          </cell>
          <cell r="B264" t="str">
            <v>Not Started</v>
          </cell>
          <cell r="C264">
            <v>0</v>
          </cell>
          <cell r="D264">
            <v>0</v>
          </cell>
        </row>
        <row r="265">
          <cell r="A265" t="str">
            <v>A1EMCPRCIV1390</v>
          </cell>
          <cell r="B265" t="str">
            <v>Not Started</v>
          </cell>
          <cell r="C265">
            <v>0</v>
          </cell>
          <cell r="D265">
            <v>0</v>
          </cell>
        </row>
        <row r="266">
          <cell r="A266" t="str">
            <v>A1EMCPRCIV1400</v>
          </cell>
          <cell r="B266" t="str">
            <v>Not Started</v>
          </cell>
          <cell r="C266">
            <v>0</v>
          </cell>
          <cell r="D266">
            <v>0</v>
          </cell>
        </row>
        <row r="267">
          <cell r="A267" t="str">
            <v>A1EMCPRCIV1410</v>
          </cell>
          <cell r="B267" t="str">
            <v>Not Started</v>
          </cell>
          <cell r="C267">
            <v>0</v>
          </cell>
          <cell r="D267">
            <v>0</v>
          </cell>
        </row>
        <row r="268">
          <cell r="A268" t="str">
            <v>A1EMCPRCIV1420</v>
          </cell>
          <cell r="B268" t="str">
            <v>Not Started</v>
          </cell>
          <cell r="C268">
            <v>0</v>
          </cell>
          <cell r="D268">
            <v>0</v>
          </cell>
        </row>
        <row r="269">
          <cell r="A269" t="str">
            <v>A1EMCPRCIV1430</v>
          </cell>
          <cell r="B269" t="str">
            <v>Not Started</v>
          </cell>
          <cell r="C269">
            <v>0</v>
          </cell>
          <cell r="D269">
            <v>0</v>
          </cell>
        </row>
        <row r="270">
          <cell r="A270" t="str">
            <v>A1EMCPRCIV1440</v>
          </cell>
          <cell r="B270" t="str">
            <v>Not Started</v>
          </cell>
          <cell r="C270">
            <v>0</v>
          </cell>
          <cell r="D270">
            <v>0</v>
          </cell>
        </row>
        <row r="271">
          <cell r="A271" t="str">
            <v>A1EMCPRCIV1450</v>
          </cell>
          <cell r="B271" t="str">
            <v>Not Started</v>
          </cell>
          <cell r="C271">
            <v>0.13200000000000001</v>
          </cell>
          <cell r="D271">
            <v>0</v>
          </cell>
        </row>
        <row r="272">
          <cell r="A272" t="str">
            <v>A1EMCPRCIV1460</v>
          </cell>
          <cell r="B272" t="str">
            <v>Not Started</v>
          </cell>
          <cell r="C272">
            <v>0</v>
          </cell>
          <cell r="D272">
            <v>0</v>
          </cell>
        </row>
        <row r="273">
          <cell r="A273" t="str">
            <v>A1EMCPRCIV1470</v>
          </cell>
          <cell r="B273" t="str">
            <v>Not Started</v>
          </cell>
          <cell r="C273">
            <v>0</v>
          </cell>
          <cell r="D273">
            <v>0</v>
          </cell>
        </row>
        <row r="274">
          <cell r="A274" t="str">
            <v>A1EMCPRCIV1480</v>
          </cell>
          <cell r="B274" t="str">
            <v>Not Started</v>
          </cell>
          <cell r="C274">
            <v>0</v>
          </cell>
          <cell r="D274">
            <v>0</v>
          </cell>
        </row>
        <row r="275">
          <cell r="A275" t="str">
            <v>A1EMCPRCIV1490</v>
          </cell>
          <cell r="B275" t="str">
            <v>Not Started</v>
          </cell>
          <cell r="C275">
            <v>0</v>
          </cell>
          <cell r="D275">
            <v>0</v>
          </cell>
        </row>
        <row r="276">
          <cell r="A276" t="str">
            <v>A1EMCPRCIV1500</v>
          </cell>
          <cell r="B276" t="str">
            <v>Not Started</v>
          </cell>
          <cell r="C276">
            <v>0</v>
          </cell>
          <cell r="D276">
            <v>0</v>
          </cell>
        </row>
        <row r="277">
          <cell r="A277" t="str">
            <v>A1EMCPRCIV1510</v>
          </cell>
          <cell r="B277" t="str">
            <v>In Progress</v>
          </cell>
          <cell r="C277">
            <v>0.6875</v>
          </cell>
          <cell r="D277">
            <v>0.33350000000000002</v>
          </cell>
        </row>
        <row r="278">
          <cell r="A278" t="str">
            <v>A1EMCPRCIV1520</v>
          </cell>
          <cell r="B278" t="str">
            <v>In Progress</v>
          </cell>
          <cell r="C278">
            <v>0.97370000000000001</v>
          </cell>
          <cell r="D278">
            <v>0.59470000000000001</v>
          </cell>
        </row>
        <row r="279">
          <cell r="A279" t="str">
            <v>A1EMCPRCIV1530</v>
          </cell>
          <cell r="B279" t="str">
            <v>Not Started</v>
          </cell>
          <cell r="C279">
            <v>0</v>
          </cell>
          <cell r="D279">
            <v>0</v>
          </cell>
        </row>
        <row r="280">
          <cell r="A280" t="str">
            <v>A1EMCPRCIV1540</v>
          </cell>
          <cell r="B280" t="str">
            <v>In Progress</v>
          </cell>
          <cell r="C280">
            <v>0</v>
          </cell>
          <cell r="D280">
            <v>0.1</v>
          </cell>
        </row>
        <row r="281">
          <cell r="A281" t="str">
            <v>A1EMCPRCIV1550</v>
          </cell>
          <cell r="B281" t="str">
            <v>Not Started</v>
          </cell>
          <cell r="C281">
            <v>0</v>
          </cell>
          <cell r="D281">
            <v>0</v>
          </cell>
        </row>
        <row r="282">
          <cell r="A282" t="str">
            <v>A1EMCPRCIV1560</v>
          </cell>
          <cell r="B282" t="str">
            <v>Not Started</v>
          </cell>
          <cell r="C282">
            <v>0</v>
          </cell>
          <cell r="D282">
            <v>0</v>
          </cell>
        </row>
        <row r="283">
          <cell r="A283" t="str">
            <v>A1EMCPRCIV1570</v>
          </cell>
          <cell r="B283" t="str">
            <v>Not Started</v>
          </cell>
          <cell r="C283">
            <v>0</v>
          </cell>
          <cell r="D283">
            <v>0</v>
          </cell>
        </row>
        <row r="284">
          <cell r="A284" t="str">
            <v>A1EMCPRCIV1580</v>
          </cell>
          <cell r="B284" t="str">
            <v>Not Started</v>
          </cell>
          <cell r="C284">
            <v>0</v>
          </cell>
          <cell r="D284">
            <v>0</v>
          </cell>
        </row>
        <row r="285">
          <cell r="A285" t="str">
            <v>A1EMCPRCIV1590</v>
          </cell>
          <cell r="B285" t="str">
            <v>Not Started</v>
          </cell>
          <cell r="C285">
            <v>0</v>
          </cell>
          <cell r="D285">
            <v>0</v>
          </cell>
        </row>
        <row r="286">
          <cell r="A286" t="str">
            <v>A1EMCPRCIV1600</v>
          </cell>
          <cell r="B286" t="str">
            <v>Not Started</v>
          </cell>
          <cell r="C286">
            <v>0</v>
          </cell>
          <cell r="D286">
            <v>0</v>
          </cell>
        </row>
        <row r="287">
          <cell r="A287" t="str">
            <v>A1EMCPRCIV1610</v>
          </cell>
          <cell r="B287" t="str">
            <v>Not Started</v>
          </cell>
          <cell r="C287">
            <v>0</v>
          </cell>
          <cell r="D287">
            <v>0</v>
          </cell>
        </row>
        <row r="288">
          <cell r="A288" t="str">
            <v>A1EMCPRCIV1620</v>
          </cell>
          <cell r="B288" t="str">
            <v>Not Started</v>
          </cell>
          <cell r="C288">
            <v>0</v>
          </cell>
          <cell r="D288">
            <v>0</v>
          </cell>
        </row>
        <row r="289">
          <cell r="A289" t="str">
            <v>A1EMCPRCIV1630</v>
          </cell>
          <cell r="B289" t="str">
            <v>Not Started</v>
          </cell>
          <cell r="C289">
            <v>0</v>
          </cell>
          <cell r="D289">
            <v>0</v>
          </cell>
        </row>
        <row r="290">
          <cell r="A290" t="str">
            <v>A1EMCPRCIV1640</v>
          </cell>
          <cell r="B290" t="str">
            <v>Not Started</v>
          </cell>
          <cell r="C290">
            <v>0</v>
          </cell>
          <cell r="D290">
            <v>0</v>
          </cell>
        </row>
        <row r="291">
          <cell r="A291" t="str">
            <v>A1EMCPRCIV1650</v>
          </cell>
          <cell r="B291" t="str">
            <v>Not Started</v>
          </cell>
          <cell r="C291">
            <v>0</v>
          </cell>
          <cell r="D291">
            <v>0</v>
          </cell>
        </row>
        <row r="292">
          <cell r="A292" t="str">
            <v>A1EMCPRCIV1660</v>
          </cell>
          <cell r="B292" t="str">
            <v>Not Started</v>
          </cell>
          <cell r="C292">
            <v>0</v>
          </cell>
          <cell r="D292">
            <v>0</v>
          </cell>
        </row>
        <row r="293">
          <cell r="A293" t="str">
            <v>A1EMCPRCIV1670</v>
          </cell>
          <cell r="B293" t="str">
            <v>Not Started</v>
          </cell>
          <cell r="C293">
            <v>0</v>
          </cell>
          <cell r="D293">
            <v>0</v>
          </cell>
        </row>
        <row r="294">
          <cell r="A294" t="str">
            <v>A1EMCPRCIV1680</v>
          </cell>
          <cell r="B294" t="str">
            <v>In Progress</v>
          </cell>
          <cell r="C294">
            <v>0.71499999999999997</v>
          </cell>
          <cell r="D294">
            <v>0.33350000000000002</v>
          </cell>
        </row>
        <row r="295">
          <cell r="A295" t="str">
            <v>A1EMCPRCIV1690</v>
          </cell>
          <cell r="B295" t="str">
            <v>In Progress</v>
          </cell>
          <cell r="C295">
            <v>0.95630000000000004</v>
          </cell>
          <cell r="D295">
            <v>0.2</v>
          </cell>
        </row>
        <row r="296">
          <cell r="A296" t="str">
            <v>A1EMCPRCIV1700</v>
          </cell>
          <cell r="B296" t="str">
            <v>Not Started</v>
          </cell>
          <cell r="C296">
            <v>0</v>
          </cell>
          <cell r="D296">
            <v>0</v>
          </cell>
        </row>
        <row r="297">
          <cell r="A297" t="str">
            <v>A1EMCPRCIV1710</v>
          </cell>
          <cell r="B297" t="str">
            <v>Not Started</v>
          </cell>
          <cell r="C297">
            <v>0</v>
          </cell>
          <cell r="D297">
            <v>0</v>
          </cell>
        </row>
        <row r="298">
          <cell r="A298" t="str">
            <v>A1EMCPRCIV1720</v>
          </cell>
          <cell r="B298" t="str">
            <v>Not Started</v>
          </cell>
          <cell r="C298">
            <v>0</v>
          </cell>
          <cell r="D298">
            <v>0</v>
          </cell>
        </row>
        <row r="299">
          <cell r="A299" t="str">
            <v>A1EMCPRCIV1730</v>
          </cell>
          <cell r="B299" t="str">
            <v>Not Started</v>
          </cell>
          <cell r="C299">
            <v>0</v>
          </cell>
          <cell r="D299">
            <v>0</v>
          </cell>
        </row>
        <row r="300">
          <cell r="A300" t="str">
            <v>A1EMCPRCIV1740</v>
          </cell>
          <cell r="B300" t="str">
            <v>Not Started</v>
          </cell>
          <cell r="C300">
            <v>0</v>
          </cell>
          <cell r="D300">
            <v>0</v>
          </cell>
        </row>
        <row r="301">
          <cell r="A301" t="str">
            <v>A1EMCPRCIV1750</v>
          </cell>
          <cell r="B301" t="str">
            <v>Not Started</v>
          </cell>
          <cell r="C301">
            <v>0</v>
          </cell>
          <cell r="D301">
            <v>0</v>
          </cell>
        </row>
        <row r="302">
          <cell r="A302" t="str">
            <v>A1EMCPRCIV1760</v>
          </cell>
          <cell r="B302" t="str">
            <v>Not Started</v>
          </cell>
          <cell r="C302">
            <v>0</v>
          </cell>
          <cell r="D302">
            <v>0</v>
          </cell>
        </row>
        <row r="303">
          <cell r="A303" t="str">
            <v>A1EMCPRCIV1770</v>
          </cell>
          <cell r="B303" t="str">
            <v>Not Started</v>
          </cell>
          <cell r="C303">
            <v>0</v>
          </cell>
          <cell r="D303">
            <v>0</v>
          </cell>
        </row>
        <row r="304">
          <cell r="A304" t="str">
            <v>A1EMCPRCIV1780</v>
          </cell>
          <cell r="B304" t="str">
            <v>Not Started</v>
          </cell>
          <cell r="C304">
            <v>0</v>
          </cell>
          <cell r="D304">
            <v>0</v>
          </cell>
        </row>
        <row r="305">
          <cell r="A305" t="str">
            <v>A1EMCPRCIV1790</v>
          </cell>
          <cell r="B305" t="str">
            <v>Not Started</v>
          </cell>
          <cell r="C305">
            <v>0</v>
          </cell>
          <cell r="D305">
            <v>0</v>
          </cell>
        </row>
        <row r="306">
          <cell r="A306" t="str">
            <v>A1EMCPRCIV1800</v>
          </cell>
          <cell r="B306" t="str">
            <v>Not Started</v>
          </cell>
          <cell r="C306">
            <v>0</v>
          </cell>
          <cell r="D306">
            <v>0</v>
          </cell>
        </row>
        <row r="307">
          <cell r="A307" t="str">
            <v>A1EMCPRCIV1810</v>
          </cell>
          <cell r="B307" t="str">
            <v>Not Started</v>
          </cell>
          <cell r="C307">
            <v>0</v>
          </cell>
          <cell r="D307">
            <v>0</v>
          </cell>
        </row>
        <row r="308">
          <cell r="A308" t="str">
            <v>A1EMCPRCIV1820</v>
          </cell>
          <cell r="B308" t="str">
            <v>Not Started</v>
          </cell>
          <cell r="C308">
            <v>0</v>
          </cell>
          <cell r="D308">
            <v>0</v>
          </cell>
        </row>
        <row r="309">
          <cell r="A309" t="str">
            <v>A1EMCPRCIV1830</v>
          </cell>
          <cell r="B309" t="str">
            <v>Not Started</v>
          </cell>
          <cell r="C309">
            <v>0</v>
          </cell>
          <cell r="D309">
            <v>0</v>
          </cell>
        </row>
        <row r="310">
          <cell r="A310" t="str">
            <v>A1EMCPRCIV1840</v>
          </cell>
          <cell r="B310" t="str">
            <v>Not Started</v>
          </cell>
          <cell r="C310">
            <v>0</v>
          </cell>
          <cell r="D310">
            <v>0</v>
          </cell>
        </row>
        <row r="311">
          <cell r="A311" t="str">
            <v>A1EMCPRCIV1850</v>
          </cell>
          <cell r="B311" t="str">
            <v>Not Started</v>
          </cell>
          <cell r="C311">
            <v>0</v>
          </cell>
          <cell r="D311">
            <v>0</v>
          </cell>
        </row>
        <row r="312">
          <cell r="A312" t="str">
            <v>A1EMCPRCIV1860</v>
          </cell>
          <cell r="B312" t="str">
            <v>Not Started</v>
          </cell>
          <cell r="C312">
            <v>0</v>
          </cell>
          <cell r="D312">
            <v>0</v>
          </cell>
        </row>
        <row r="313">
          <cell r="A313" t="str">
            <v>A1EMCPRCIV1870</v>
          </cell>
          <cell r="B313" t="str">
            <v>Not Started</v>
          </cell>
          <cell r="C313">
            <v>0</v>
          </cell>
          <cell r="D313">
            <v>0</v>
          </cell>
        </row>
        <row r="314">
          <cell r="A314" t="str">
            <v>A1EMCPRCIV1880</v>
          </cell>
          <cell r="B314" t="str">
            <v>Not Started</v>
          </cell>
          <cell r="C314">
            <v>0</v>
          </cell>
          <cell r="D314">
            <v>0</v>
          </cell>
        </row>
        <row r="315">
          <cell r="A315" t="str">
            <v>A1EMCPRCIV1890</v>
          </cell>
          <cell r="B315" t="str">
            <v>Not Started</v>
          </cell>
          <cell r="C315">
            <v>0</v>
          </cell>
          <cell r="D315">
            <v>0</v>
          </cell>
        </row>
        <row r="316">
          <cell r="A316" t="str">
            <v>A1EMCPRCIV1900</v>
          </cell>
          <cell r="B316" t="str">
            <v>Not Started</v>
          </cell>
          <cell r="C316">
            <v>0</v>
          </cell>
          <cell r="D316">
            <v>0</v>
          </cell>
        </row>
        <row r="317">
          <cell r="A317" t="str">
            <v>A1EMCPRCIV1910</v>
          </cell>
          <cell r="B317" t="str">
            <v>Not Started</v>
          </cell>
          <cell r="C317">
            <v>0</v>
          </cell>
          <cell r="D317">
            <v>0</v>
          </cell>
        </row>
        <row r="318">
          <cell r="A318" t="str">
            <v>A1EMCPRCIV1920</v>
          </cell>
          <cell r="B318" t="str">
            <v>Not Started</v>
          </cell>
          <cell r="C318">
            <v>0</v>
          </cell>
          <cell r="D318">
            <v>0</v>
          </cell>
        </row>
        <row r="319">
          <cell r="A319" t="str">
            <v>A1EMCPRCOM1000</v>
          </cell>
          <cell r="B319" t="str">
            <v>In Progress</v>
          </cell>
          <cell r="C319">
            <v>1</v>
          </cell>
          <cell r="D319">
            <v>0</v>
          </cell>
        </row>
        <row r="320">
          <cell r="A320" t="str">
            <v>A1EMCPRCOM1010</v>
          </cell>
          <cell r="B320" t="str">
            <v>In Progress</v>
          </cell>
          <cell r="C320">
            <v>1</v>
          </cell>
          <cell r="D320">
            <v>0</v>
          </cell>
        </row>
        <row r="321">
          <cell r="A321" t="str">
            <v>A1EMCPRCOM1020</v>
          </cell>
          <cell r="B321" t="str">
            <v>In Progress</v>
          </cell>
          <cell r="C321">
            <v>1</v>
          </cell>
          <cell r="D321">
            <v>0</v>
          </cell>
        </row>
        <row r="322">
          <cell r="A322" t="str">
            <v>A1EMCPRCOM1030</v>
          </cell>
          <cell r="B322" t="str">
            <v>In Progress</v>
          </cell>
          <cell r="C322">
            <v>1</v>
          </cell>
          <cell r="D322">
            <v>0</v>
          </cell>
        </row>
        <row r="323">
          <cell r="A323" t="str">
            <v>A1EMCPRCOM1040</v>
          </cell>
          <cell r="B323" t="str">
            <v>In Progress</v>
          </cell>
          <cell r="C323">
            <v>1</v>
          </cell>
          <cell r="D323">
            <v>0</v>
          </cell>
        </row>
        <row r="324">
          <cell r="A324" t="str">
            <v>A1EMCPRCOM1050</v>
          </cell>
          <cell r="B324" t="str">
            <v>In Progress</v>
          </cell>
          <cell r="C324">
            <v>1</v>
          </cell>
          <cell r="D324">
            <v>0</v>
          </cell>
        </row>
        <row r="325">
          <cell r="A325" t="str">
            <v>A1EMCPRCOM1060</v>
          </cell>
          <cell r="B325" t="str">
            <v>Not Started</v>
          </cell>
          <cell r="C325">
            <v>0</v>
          </cell>
          <cell r="D325">
            <v>0</v>
          </cell>
        </row>
        <row r="326">
          <cell r="A326" t="str">
            <v>A1EMCPRCOM1070</v>
          </cell>
          <cell r="B326" t="str">
            <v>Not Started</v>
          </cell>
          <cell r="C326">
            <v>0</v>
          </cell>
          <cell r="D326">
            <v>0</v>
          </cell>
        </row>
        <row r="327">
          <cell r="A327" t="str">
            <v>A1EMCPRCOM1080</v>
          </cell>
          <cell r="B327" t="str">
            <v>Not Started</v>
          </cell>
          <cell r="C327">
            <v>0</v>
          </cell>
          <cell r="D327">
            <v>0</v>
          </cell>
        </row>
        <row r="328">
          <cell r="A328" t="str">
            <v>A1EMCPRCOM1090</v>
          </cell>
          <cell r="B328" t="str">
            <v>Not Started</v>
          </cell>
          <cell r="C328">
            <v>0</v>
          </cell>
          <cell r="D328">
            <v>0</v>
          </cell>
        </row>
        <row r="329">
          <cell r="A329" t="str">
            <v>A1EMCPRCOM1100</v>
          </cell>
          <cell r="B329" t="str">
            <v>Not Started</v>
          </cell>
          <cell r="C329">
            <v>0</v>
          </cell>
          <cell r="D329">
            <v>0</v>
          </cell>
        </row>
        <row r="330">
          <cell r="A330" t="str">
            <v>A1EMCPRCOM1110</v>
          </cell>
          <cell r="B330" t="str">
            <v>Not Started</v>
          </cell>
          <cell r="C330">
            <v>0</v>
          </cell>
          <cell r="D330">
            <v>0</v>
          </cell>
        </row>
        <row r="331">
          <cell r="A331" t="str">
            <v>A1EMCPRCOM1120</v>
          </cell>
          <cell r="B331" t="str">
            <v>Not Started</v>
          </cell>
          <cell r="C331">
            <v>0</v>
          </cell>
          <cell r="D331">
            <v>0</v>
          </cell>
        </row>
        <row r="332">
          <cell r="A332" t="str">
            <v>A1EMCPRCOM1130</v>
          </cell>
          <cell r="B332" t="str">
            <v>Not Started</v>
          </cell>
          <cell r="C332">
            <v>0</v>
          </cell>
          <cell r="D332">
            <v>0</v>
          </cell>
        </row>
        <row r="333">
          <cell r="A333" t="str">
            <v>A1EMCPRCOM1140</v>
          </cell>
          <cell r="B333" t="str">
            <v>Not Started</v>
          </cell>
          <cell r="C333">
            <v>0</v>
          </cell>
          <cell r="D333">
            <v>0</v>
          </cell>
        </row>
        <row r="334">
          <cell r="A334" t="str">
            <v>A1EMCPRCOM1150</v>
          </cell>
          <cell r="B334" t="str">
            <v>Not Started</v>
          </cell>
          <cell r="C334">
            <v>0</v>
          </cell>
          <cell r="D334">
            <v>0</v>
          </cell>
        </row>
        <row r="335">
          <cell r="A335" t="str">
            <v>A1EMCPRCOM1160</v>
          </cell>
          <cell r="B335" t="str">
            <v>Not Started</v>
          </cell>
          <cell r="C335">
            <v>0</v>
          </cell>
          <cell r="D335">
            <v>0</v>
          </cell>
        </row>
        <row r="336">
          <cell r="A336" t="str">
            <v>A1EMCPRCOM1170</v>
          </cell>
          <cell r="B336" t="str">
            <v>Not Started</v>
          </cell>
          <cell r="C336">
            <v>0</v>
          </cell>
          <cell r="D336">
            <v>0</v>
          </cell>
        </row>
        <row r="337">
          <cell r="A337" t="str">
            <v>A1EMCPRCOM1180</v>
          </cell>
          <cell r="B337" t="str">
            <v>Not Started</v>
          </cell>
          <cell r="C337">
            <v>0</v>
          </cell>
          <cell r="D337">
            <v>0</v>
          </cell>
        </row>
        <row r="338">
          <cell r="A338" t="str">
            <v>A1EMCPRCOM1190</v>
          </cell>
          <cell r="B338" t="str">
            <v>Not Started</v>
          </cell>
          <cell r="C338">
            <v>0</v>
          </cell>
          <cell r="D338">
            <v>0</v>
          </cell>
        </row>
        <row r="339">
          <cell r="A339" t="str">
            <v>A1EMCPRCOM1200</v>
          </cell>
          <cell r="B339" t="str">
            <v>Not Started</v>
          </cell>
          <cell r="C339">
            <v>0</v>
          </cell>
          <cell r="D339">
            <v>0</v>
          </cell>
        </row>
        <row r="340">
          <cell r="A340" t="str">
            <v>A1EMCPREAR1000</v>
          </cell>
          <cell r="B340" t="str">
            <v>Completed</v>
          </cell>
          <cell r="C340">
            <v>1</v>
          </cell>
          <cell r="D340">
            <v>1</v>
          </cell>
        </row>
        <row r="341">
          <cell r="A341" t="str">
            <v>A1EMCPREAR1010</v>
          </cell>
          <cell r="B341" t="str">
            <v>In Progress</v>
          </cell>
          <cell r="C341">
            <v>1</v>
          </cell>
          <cell r="D341">
            <v>0</v>
          </cell>
        </row>
        <row r="342">
          <cell r="A342" t="str">
            <v>A1EMCPREAR1020</v>
          </cell>
          <cell r="B342" t="str">
            <v>In Progress</v>
          </cell>
          <cell r="C342">
            <v>1</v>
          </cell>
          <cell r="D342">
            <v>0</v>
          </cell>
        </row>
        <row r="343">
          <cell r="A343" t="str">
            <v>A1EMCPREAR1030</v>
          </cell>
          <cell r="B343" t="str">
            <v>Completed</v>
          </cell>
          <cell r="C343">
            <v>1</v>
          </cell>
          <cell r="D343">
            <v>1</v>
          </cell>
        </row>
        <row r="344">
          <cell r="A344" t="str">
            <v>A1EMCPREAR1040</v>
          </cell>
          <cell r="B344" t="str">
            <v>In Progress</v>
          </cell>
          <cell r="C344">
            <v>1</v>
          </cell>
          <cell r="D344">
            <v>0</v>
          </cell>
        </row>
        <row r="345">
          <cell r="A345" t="str">
            <v>A1EMCPREAR1050</v>
          </cell>
          <cell r="B345" t="str">
            <v>In Progress</v>
          </cell>
          <cell r="C345">
            <v>1</v>
          </cell>
          <cell r="D345">
            <v>0</v>
          </cell>
        </row>
        <row r="346">
          <cell r="A346" t="str">
            <v>A1EMCPREAR1060</v>
          </cell>
          <cell r="B346" t="str">
            <v>Completed</v>
          </cell>
          <cell r="C346">
            <v>1</v>
          </cell>
          <cell r="D346">
            <v>1</v>
          </cell>
        </row>
        <row r="347">
          <cell r="A347" t="str">
            <v>A1EMCPREAR1070</v>
          </cell>
          <cell r="B347" t="str">
            <v>Not Started</v>
          </cell>
          <cell r="C347">
            <v>0</v>
          </cell>
          <cell r="D347">
            <v>0</v>
          </cell>
        </row>
        <row r="348">
          <cell r="A348" t="str">
            <v>A1EMCPREAR1080</v>
          </cell>
          <cell r="B348" t="str">
            <v>Not Started</v>
          </cell>
          <cell r="C348">
            <v>0</v>
          </cell>
          <cell r="D348">
            <v>0</v>
          </cell>
        </row>
        <row r="349">
          <cell r="A349" t="str">
            <v>A1EMCPREAR1090</v>
          </cell>
          <cell r="B349" t="str">
            <v>Completed</v>
          </cell>
          <cell r="C349">
            <v>1</v>
          </cell>
          <cell r="D349">
            <v>1</v>
          </cell>
        </row>
        <row r="350">
          <cell r="A350" t="str">
            <v>A1EMCPREAR1100</v>
          </cell>
          <cell r="B350" t="str">
            <v>Not Started</v>
          </cell>
          <cell r="C350">
            <v>0</v>
          </cell>
          <cell r="D350">
            <v>0</v>
          </cell>
        </row>
        <row r="351">
          <cell r="A351" t="str">
            <v>A1EMCPREAR1110</v>
          </cell>
          <cell r="B351" t="str">
            <v>Not Started</v>
          </cell>
          <cell r="C351">
            <v>0</v>
          </cell>
          <cell r="D351">
            <v>0</v>
          </cell>
        </row>
        <row r="352">
          <cell r="A352" t="str">
            <v>A1EMCPREAR1120</v>
          </cell>
          <cell r="B352" t="str">
            <v>Completed</v>
          </cell>
          <cell r="C352">
            <v>1</v>
          </cell>
          <cell r="D352">
            <v>1</v>
          </cell>
        </row>
        <row r="353">
          <cell r="A353" t="str">
            <v>A1EMCPREAR1130</v>
          </cell>
          <cell r="B353" t="str">
            <v>Not Started</v>
          </cell>
          <cell r="C353">
            <v>0</v>
          </cell>
          <cell r="D353">
            <v>0</v>
          </cell>
        </row>
        <row r="354">
          <cell r="A354" t="str">
            <v>A1EMCPREAR1140</v>
          </cell>
          <cell r="B354" t="str">
            <v>Not Started</v>
          </cell>
          <cell r="C354">
            <v>0</v>
          </cell>
          <cell r="D354">
            <v>0</v>
          </cell>
        </row>
        <row r="355">
          <cell r="A355" t="str">
            <v>A1EMCPRELE1000</v>
          </cell>
          <cell r="B355" t="str">
            <v>Completed</v>
          </cell>
          <cell r="C355">
            <v>1</v>
          </cell>
          <cell r="D355">
            <v>1</v>
          </cell>
        </row>
        <row r="356">
          <cell r="A356" t="str">
            <v>A1EMCPRELE1010</v>
          </cell>
          <cell r="B356" t="str">
            <v>Completed</v>
          </cell>
          <cell r="C356">
            <v>1</v>
          </cell>
          <cell r="D356">
            <v>1</v>
          </cell>
        </row>
        <row r="357">
          <cell r="A357" t="str">
            <v>A1EMCPRELE1020</v>
          </cell>
          <cell r="B357" t="str">
            <v>Completed</v>
          </cell>
          <cell r="C357">
            <v>1</v>
          </cell>
          <cell r="D357">
            <v>1</v>
          </cell>
        </row>
        <row r="358">
          <cell r="A358" t="str">
            <v>A1EMCPRELE1030</v>
          </cell>
          <cell r="B358" t="str">
            <v>Completed</v>
          </cell>
          <cell r="C358">
            <v>1</v>
          </cell>
          <cell r="D358">
            <v>1</v>
          </cell>
        </row>
        <row r="359">
          <cell r="A359" t="str">
            <v>A1EMCPRELE1040</v>
          </cell>
          <cell r="B359" t="str">
            <v>Completed</v>
          </cell>
          <cell r="C359">
            <v>1</v>
          </cell>
          <cell r="D359">
            <v>1</v>
          </cell>
        </row>
        <row r="360">
          <cell r="A360" t="str">
            <v>A1EMCPRELE1050</v>
          </cell>
          <cell r="B360" t="str">
            <v>In Progress</v>
          </cell>
          <cell r="C360">
            <v>1</v>
          </cell>
          <cell r="D360">
            <v>0</v>
          </cell>
        </row>
        <row r="361">
          <cell r="A361" t="str">
            <v>A1EMCPRELE1060</v>
          </cell>
          <cell r="B361" t="str">
            <v>In Progress</v>
          </cell>
          <cell r="C361">
            <v>1</v>
          </cell>
          <cell r="D361">
            <v>0</v>
          </cell>
        </row>
        <row r="362">
          <cell r="A362" t="str">
            <v>A1EMCPRELE1070</v>
          </cell>
          <cell r="B362" t="str">
            <v>Completed</v>
          </cell>
          <cell r="C362">
            <v>1</v>
          </cell>
          <cell r="D362">
            <v>1</v>
          </cell>
        </row>
        <row r="363">
          <cell r="A363" t="str">
            <v>A1EMCPRELE1080</v>
          </cell>
          <cell r="B363" t="str">
            <v>Completed</v>
          </cell>
          <cell r="C363">
            <v>1</v>
          </cell>
          <cell r="D363">
            <v>1</v>
          </cell>
        </row>
        <row r="364">
          <cell r="A364" t="str">
            <v>A1EMCPRELE1090</v>
          </cell>
          <cell r="B364" t="str">
            <v>Completed</v>
          </cell>
          <cell r="C364">
            <v>1</v>
          </cell>
          <cell r="D364">
            <v>1</v>
          </cell>
        </row>
        <row r="365">
          <cell r="A365" t="str">
            <v>A1EMCPRELE1100</v>
          </cell>
          <cell r="B365" t="str">
            <v>In Progress</v>
          </cell>
          <cell r="C365">
            <v>1</v>
          </cell>
          <cell r="D365">
            <v>0</v>
          </cell>
        </row>
        <row r="366">
          <cell r="A366" t="str">
            <v>A1EMCPRELE1110</v>
          </cell>
          <cell r="B366" t="str">
            <v>In Progress</v>
          </cell>
          <cell r="C366">
            <v>1</v>
          </cell>
          <cell r="D366">
            <v>0</v>
          </cell>
        </row>
        <row r="367">
          <cell r="A367" t="str">
            <v>A1EMCPRELE1120</v>
          </cell>
          <cell r="B367" t="str">
            <v>In Progress</v>
          </cell>
          <cell r="C367">
            <v>1</v>
          </cell>
          <cell r="D367">
            <v>0</v>
          </cell>
        </row>
        <row r="368">
          <cell r="A368" t="str">
            <v>A1EMCPRELE1130</v>
          </cell>
          <cell r="B368" t="str">
            <v>In Progress</v>
          </cell>
          <cell r="C368">
            <v>1</v>
          </cell>
          <cell r="D368">
            <v>0</v>
          </cell>
        </row>
        <row r="369">
          <cell r="A369" t="str">
            <v>A1EMCPRELE1140</v>
          </cell>
          <cell r="B369" t="str">
            <v>Not Started</v>
          </cell>
          <cell r="C369">
            <v>0</v>
          </cell>
          <cell r="D369">
            <v>0</v>
          </cell>
        </row>
        <row r="370">
          <cell r="A370" t="str">
            <v>A1EMCPRELE1150</v>
          </cell>
          <cell r="B370" t="str">
            <v>Not Started</v>
          </cell>
          <cell r="C370">
            <v>0</v>
          </cell>
          <cell r="D370">
            <v>0</v>
          </cell>
        </row>
        <row r="371">
          <cell r="A371" t="str">
            <v>A1EMCPRELE1160</v>
          </cell>
          <cell r="B371" t="str">
            <v>In Progress</v>
          </cell>
          <cell r="C371">
            <v>1</v>
          </cell>
          <cell r="D371">
            <v>0.15</v>
          </cell>
        </row>
        <row r="372">
          <cell r="A372" t="str">
            <v>A1EMCPRELE1170</v>
          </cell>
          <cell r="B372" t="str">
            <v>Not Started</v>
          </cell>
          <cell r="C372">
            <v>0.1042</v>
          </cell>
          <cell r="D372">
            <v>0</v>
          </cell>
        </row>
        <row r="373">
          <cell r="A373" t="str">
            <v>A1EMCPRELE1180</v>
          </cell>
          <cell r="B373" t="str">
            <v>Not Started</v>
          </cell>
          <cell r="C373">
            <v>0</v>
          </cell>
          <cell r="D373">
            <v>0</v>
          </cell>
        </row>
        <row r="374">
          <cell r="A374" t="str">
            <v>A1EMCPRELE1190</v>
          </cell>
          <cell r="B374" t="str">
            <v>Not Started</v>
          </cell>
          <cell r="C374">
            <v>2.7799999999999998E-2</v>
          </cell>
          <cell r="D374">
            <v>0</v>
          </cell>
        </row>
        <row r="375">
          <cell r="A375" t="str">
            <v>A1EMCPRELE1200</v>
          </cell>
          <cell r="B375" t="str">
            <v>Not Started</v>
          </cell>
          <cell r="C375">
            <v>0</v>
          </cell>
          <cell r="D375">
            <v>0</v>
          </cell>
        </row>
        <row r="376">
          <cell r="A376" t="str">
            <v>A1EMCPRELE1210</v>
          </cell>
          <cell r="B376" t="str">
            <v>Not Started</v>
          </cell>
          <cell r="C376">
            <v>0</v>
          </cell>
          <cell r="D376">
            <v>0</v>
          </cell>
        </row>
        <row r="377">
          <cell r="A377" t="str">
            <v>A1EMCPRELE1220</v>
          </cell>
          <cell r="B377" t="str">
            <v>Not Started</v>
          </cell>
          <cell r="C377">
            <v>0</v>
          </cell>
          <cell r="D377">
            <v>0</v>
          </cell>
        </row>
        <row r="378">
          <cell r="A378" t="str">
            <v>A1EMCPRELE1230</v>
          </cell>
          <cell r="B378" t="str">
            <v>In Progress</v>
          </cell>
          <cell r="C378">
            <v>0.28000000000000003</v>
          </cell>
          <cell r="D378">
            <v>0.15</v>
          </cell>
        </row>
        <row r="379">
          <cell r="A379" t="str">
            <v>A1EMCPRELE1240</v>
          </cell>
          <cell r="B379" t="str">
            <v>Not Started</v>
          </cell>
          <cell r="C379">
            <v>0</v>
          </cell>
          <cell r="D379">
            <v>0</v>
          </cell>
        </row>
        <row r="380">
          <cell r="A380" t="str">
            <v>A1EMCPRELE1250</v>
          </cell>
          <cell r="B380" t="str">
            <v>Not Started</v>
          </cell>
          <cell r="C380">
            <v>0</v>
          </cell>
          <cell r="D380">
            <v>0</v>
          </cell>
        </row>
        <row r="381">
          <cell r="A381" t="str">
            <v>A1EMCPRELE1260</v>
          </cell>
          <cell r="B381" t="str">
            <v>Not Started</v>
          </cell>
          <cell r="C381">
            <v>0</v>
          </cell>
          <cell r="D381">
            <v>0</v>
          </cell>
        </row>
        <row r="382">
          <cell r="A382" t="str">
            <v>A1EMCPRELE1270</v>
          </cell>
          <cell r="B382" t="str">
            <v>Not Started</v>
          </cell>
          <cell r="C382">
            <v>0</v>
          </cell>
          <cell r="D382">
            <v>0</v>
          </cell>
        </row>
        <row r="383">
          <cell r="A383" t="str">
            <v>A1EMCPRELE1280</v>
          </cell>
          <cell r="B383" t="str">
            <v>Not Started</v>
          </cell>
          <cell r="C383">
            <v>0</v>
          </cell>
          <cell r="D383">
            <v>0</v>
          </cell>
        </row>
        <row r="384">
          <cell r="A384" t="str">
            <v>A1EMCPRELE1290</v>
          </cell>
          <cell r="B384" t="str">
            <v>Not Started</v>
          </cell>
          <cell r="C384">
            <v>0</v>
          </cell>
          <cell r="D384">
            <v>0</v>
          </cell>
        </row>
        <row r="385">
          <cell r="A385" t="str">
            <v>A1EMCPRELE1300</v>
          </cell>
          <cell r="B385" t="str">
            <v>In Progress</v>
          </cell>
          <cell r="C385">
            <v>0</v>
          </cell>
          <cell r="D385">
            <v>0.15</v>
          </cell>
        </row>
        <row r="386">
          <cell r="A386" t="str">
            <v>A1EMCPRELE1310</v>
          </cell>
          <cell r="B386" t="str">
            <v>Not Started</v>
          </cell>
          <cell r="C386">
            <v>0</v>
          </cell>
          <cell r="D386">
            <v>0</v>
          </cell>
        </row>
        <row r="387">
          <cell r="A387" t="str">
            <v>A1EMCPRELE1320</v>
          </cell>
          <cell r="B387" t="str">
            <v>Not Started</v>
          </cell>
          <cell r="C387">
            <v>0</v>
          </cell>
          <cell r="D387">
            <v>0</v>
          </cell>
        </row>
        <row r="388">
          <cell r="A388" t="str">
            <v>A1EMCPRELE1330</v>
          </cell>
          <cell r="B388" t="str">
            <v>Not Started</v>
          </cell>
          <cell r="C388">
            <v>0</v>
          </cell>
          <cell r="D388">
            <v>0</v>
          </cell>
        </row>
        <row r="389">
          <cell r="A389" t="str">
            <v>A1EMCPRELE1340</v>
          </cell>
          <cell r="B389" t="str">
            <v>Not Started</v>
          </cell>
          <cell r="C389">
            <v>0</v>
          </cell>
          <cell r="D389">
            <v>0</v>
          </cell>
        </row>
        <row r="390">
          <cell r="A390" t="str">
            <v>A1EMCPRELE1350</v>
          </cell>
          <cell r="B390" t="str">
            <v>Not Started</v>
          </cell>
          <cell r="C390">
            <v>0</v>
          </cell>
          <cell r="D390">
            <v>0</v>
          </cell>
        </row>
        <row r="391">
          <cell r="A391" t="str">
            <v>A1EMCPRELE1360</v>
          </cell>
          <cell r="B391" t="str">
            <v>Not Started</v>
          </cell>
          <cell r="C391">
            <v>0</v>
          </cell>
          <cell r="D391">
            <v>0</v>
          </cell>
        </row>
        <row r="392">
          <cell r="A392" t="str">
            <v>A1EMCPRELE1370</v>
          </cell>
          <cell r="B392" t="str">
            <v>Not Started</v>
          </cell>
          <cell r="C392">
            <v>0</v>
          </cell>
          <cell r="D392">
            <v>0</v>
          </cell>
        </row>
        <row r="393">
          <cell r="A393" t="str">
            <v>A1EMCPRELE1380</v>
          </cell>
          <cell r="B393" t="str">
            <v>Not Started</v>
          </cell>
          <cell r="C393">
            <v>0</v>
          </cell>
          <cell r="D393">
            <v>0</v>
          </cell>
        </row>
        <row r="394">
          <cell r="A394" t="str">
            <v>A1EMCPRELE1390</v>
          </cell>
          <cell r="B394" t="str">
            <v>Not Started</v>
          </cell>
          <cell r="C394">
            <v>0</v>
          </cell>
          <cell r="D394">
            <v>0</v>
          </cell>
        </row>
        <row r="395">
          <cell r="A395" t="str">
            <v>A1EMCPRELE1400</v>
          </cell>
          <cell r="B395" t="str">
            <v>Not Started</v>
          </cell>
          <cell r="C395">
            <v>0</v>
          </cell>
          <cell r="D395">
            <v>0</v>
          </cell>
        </row>
        <row r="396">
          <cell r="A396" t="str">
            <v>A1EMCPRELE1410</v>
          </cell>
          <cell r="B396" t="str">
            <v>Not Started</v>
          </cell>
          <cell r="C396">
            <v>0</v>
          </cell>
          <cell r="D396">
            <v>0</v>
          </cell>
        </row>
        <row r="397">
          <cell r="A397" t="str">
            <v>A1EMCPRELE1420</v>
          </cell>
          <cell r="B397" t="str">
            <v>Not Started</v>
          </cell>
          <cell r="C397">
            <v>0</v>
          </cell>
          <cell r="D397">
            <v>0</v>
          </cell>
        </row>
        <row r="398">
          <cell r="A398" t="str">
            <v>A1EMCPRELE1430</v>
          </cell>
          <cell r="B398" t="str">
            <v>Not Started</v>
          </cell>
          <cell r="C398">
            <v>0</v>
          </cell>
          <cell r="D398">
            <v>0</v>
          </cell>
        </row>
        <row r="399">
          <cell r="A399" t="str">
            <v>A1EMCPRELE1440</v>
          </cell>
          <cell r="B399" t="str">
            <v>Not Started</v>
          </cell>
          <cell r="C399">
            <v>0</v>
          </cell>
          <cell r="D399">
            <v>0</v>
          </cell>
        </row>
        <row r="400">
          <cell r="A400" t="str">
            <v>A1EMCPRELE1450</v>
          </cell>
          <cell r="B400" t="str">
            <v>Not Started</v>
          </cell>
          <cell r="C400">
            <v>0</v>
          </cell>
          <cell r="D400">
            <v>0</v>
          </cell>
        </row>
        <row r="401">
          <cell r="A401" t="str">
            <v>A1EMCPRELE1460</v>
          </cell>
          <cell r="B401" t="str">
            <v>Not Started</v>
          </cell>
          <cell r="C401">
            <v>0</v>
          </cell>
          <cell r="D401">
            <v>0</v>
          </cell>
        </row>
        <row r="402">
          <cell r="A402" t="str">
            <v>A1EMCPRELE1470</v>
          </cell>
          <cell r="B402" t="str">
            <v>Not Started</v>
          </cell>
          <cell r="C402">
            <v>0</v>
          </cell>
          <cell r="D402">
            <v>0</v>
          </cell>
        </row>
        <row r="403">
          <cell r="A403" t="str">
            <v>A1EMCPRELE1480</v>
          </cell>
          <cell r="B403" t="str">
            <v>Not Started</v>
          </cell>
          <cell r="C403">
            <v>0</v>
          </cell>
          <cell r="D403">
            <v>0</v>
          </cell>
        </row>
        <row r="404">
          <cell r="A404" t="str">
            <v>A1EMCPRELE2000</v>
          </cell>
          <cell r="B404" t="str">
            <v>Completed</v>
          </cell>
          <cell r="C404">
            <v>1</v>
          </cell>
          <cell r="D404">
            <v>1</v>
          </cell>
        </row>
        <row r="405">
          <cell r="A405" t="str">
            <v>A1EMCPRELE2010</v>
          </cell>
          <cell r="B405" t="str">
            <v>Completed</v>
          </cell>
          <cell r="C405">
            <v>1</v>
          </cell>
          <cell r="D405">
            <v>1</v>
          </cell>
        </row>
        <row r="406">
          <cell r="A406" t="str">
            <v>A1EMCPRELE2020</v>
          </cell>
          <cell r="B406" t="str">
            <v>Not Started</v>
          </cell>
          <cell r="C406">
            <v>0</v>
          </cell>
          <cell r="D406">
            <v>0</v>
          </cell>
        </row>
        <row r="407">
          <cell r="A407" t="str">
            <v>A1EMCPRELE2030</v>
          </cell>
          <cell r="B407" t="str">
            <v>Not Started</v>
          </cell>
          <cell r="C407">
            <v>0</v>
          </cell>
          <cell r="D407">
            <v>0</v>
          </cell>
        </row>
        <row r="408">
          <cell r="A408" t="str">
            <v>A1EMCPRELE2040</v>
          </cell>
          <cell r="B408" t="str">
            <v>Not Started</v>
          </cell>
          <cell r="C408">
            <v>0</v>
          </cell>
          <cell r="D408">
            <v>0</v>
          </cell>
        </row>
        <row r="409">
          <cell r="A409" t="str">
            <v>A1EMCPRELE2050</v>
          </cell>
          <cell r="B409" t="str">
            <v>Not Started</v>
          </cell>
          <cell r="C409">
            <v>0</v>
          </cell>
          <cell r="D409">
            <v>0</v>
          </cell>
        </row>
        <row r="410">
          <cell r="A410" t="str">
            <v>A1EMCPRELE2060</v>
          </cell>
          <cell r="B410" t="str">
            <v>Not Started</v>
          </cell>
          <cell r="C410">
            <v>0</v>
          </cell>
          <cell r="D410">
            <v>0</v>
          </cell>
        </row>
        <row r="411">
          <cell r="A411" t="str">
            <v>A1EMCPRELE2070</v>
          </cell>
          <cell r="B411" t="str">
            <v>Completed</v>
          </cell>
          <cell r="C411">
            <v>1</v>
          </cell>
          <cell r="D411">
            <v>1</v>
          </cell>
        </row>
        <row r="412">
          <cell r="A412" t="str">
            <v>A1EMCPRELE2080</v>
          </cell>
          <cell r="B412" t="str">
            <v>Completed</v>
          </cell>
          <cell r="C412">
            <v>1</v>
          </cell>
          <cell r="D412">
            <v>1</v>
          </cell>
        </row>
        <row r="413">
          <cell r="A413" t="str">
            <v>A1EMCPRELE2090</v>
          </cell>
          <cell r="B413" t="str">
            <v>Not Started</v>
          </cell>
          <cell r="C413">
            <v>0.9375</v>
          </cell>
          <cell r="D413">
            <v>0</v>
          </cell>
        </row>
        <row r="414">
          <cell r="A414" t="str">
            <v>A1EMCPRELE2100</v>
          </cell>
          <cell r="B414" t="str">
            <v>Not Started</v>
          </cell>
          <cell r="C414">
            <v>0</v>
          </cell>
          <cell r="D414">
            <v>0</v>
          </cell>
        </row>
        <row r="415">
          <cell r="A415" t="str">
            <v>A1EMCPRELE2110</v>
          </cell>
          <cell r="B415" t="str">
            <v>Not Started</v>
          </cell>
          <cell r="C415">
            <v>0</v>
          </cell>
          <cell r="D415">
            <v>0</v>
          </cell>
        </row>
        <row r="416">
          <cell r="A416" t="str">
            <v>A1EMCPRELE2120</v>
          </cell>
          <cell r="B416" t="str">
            <v>Not Started</v>
          </cell>
          <cell r="C416">
            <v>0</v>
          </cell>
          <cell r="D416">
            <v>0</v>
          </cell>
        </row>
        <row r="417">
          <cell r="A417" t="str">
            <v>A1EMCPRELE2130</v>
          </cell>
          <cell r="B417" t="str">
            <v>Not Started</v>
          </cell>
          <cell r="C417">
            <v>0</v>
          </cell>
          <cell r="D417">
            <v>0</v>
          </cell>
        </row>
        <row r="418">
          <cell r="A418" t="str">
            <v>A1EMCPRELE2140</v>
          </cell>
          <cell r="B418" t="str">
            <v>In Progress</v>
          </cell>
          <cell r="C418">
            <v>1</v>
          </cell>
          <cell r="D418">
            <v>0</v>
          </cell>
        </row>
        <row r="419">
          <cell r="A419" t="str">
            <v>A1EMCPRELE2150</v>
          </cell>
          <cell r="B419" t="str">
            <v>In Progress</v>
          </cell>
          <cell r="C419">
            <v>1</v>
          </cell>
          <cell r="D419">
            <v>0</v>
          </cell>
        </row>
        <row r="420">
          <cell r="A420" t="str">
            <v>A1EMCPRELE2160</v>
          </cell>
          <cell r="B420" t="str">
            <v>Not Started</v>
          </cell>
          <cell r="C420">
            <v>0</v>
          </cell>
          <cell r="D420">
            <v>0</v>
          </cell>
        </row>
        <row r="421">
          <cell r="A421" t="str">
            <v>A1EMCPRELE2170</v>
          </cell>
          <cell r="B421" t="str">
            <v>Not Started</v>
          </cell>
          <cell r="C421">
            <v>0</v>
          </cell>
          <cell r="D421">
            <v>0</v>
          </cell>
        </row>
        <row r="422">
          <cell r="A422" t="str">
            <v>A1EMCPRELE2180</v>
          </cell>
          <cell r="B422" t="str">
            <v>Not Started</v>
          </cell>
          <cell r="C422">
            <v>0</v>
          </cell>
          <cell r="D422">
            <v>0</v>
          </cell>
        </row>
        <row r="423">
          <cell r="A423" t="str">
            <v>A1EMCPRELE2190</v>
          </cell>
          <cell r="B423" t="str">
            <v>Not Started</v>
          </cell>
          <cell r="C423">
            <v>0</v>
          </cell>
          <cell r="D423">
            <v>0</v>
          </cell>
        </row>
        <row r="424">
          <cell r="A424" t="str">
            <v>A1EMCPRELE2200</v>
          </cell>
          <cell r="B424" t="str">
            <v>Not Started</v>
          </cell>
          <cell r="C424">
            <v>0</v>
          </cell>
          <cell r="D424">
            <v>0</v>
          </cell>
        </row>
        <row r="425">
          <cell r="A425" t="str">
            <v>A1EMCPRINS1000</v>
          </cell>
          <cell r="B425" t="str">
            <v>In Progress</v>
          </cell>
          <cell r="C425">
            <v>1</v>
          </cell>
          <cell r="D425">
            <v>0</v>
          </cell>
        </row>
        <row r="426">
          <cell r="A426" t="str">
            <v>A1EMCPRINS1010</v>
          </cell>
          <cell r="B426" t="str">
            <v>In Progress</v>
          </cell>
          <cell r="C426">
            <v>1</v>
          </cell>
          <cell r="D426">
            <v>0</v>
          </cell>
        </row>
        <row r="427">
          <cell r="A427" t="str">
            <v>A1EMCPRINS1020</v>
          </cell>
          <cell r="B427" t="str">
            <v>In Progress</v>
          </cell>
          <cell r="C427">
            <v>1</v>
          </cell>
          <cell r="D427">
            <v>0</v>
          </cell>
        </row>
        <row r="428">
          <cell r="A428" t="str">
            <v>A1EMCPRINS1030</v>
          </cell>
          <cell r="B428" t="str">
            <v>In Progress</v>
          </cell>
          <cell r="C428">
            <v>1</v>
          </cell>
          <cell r="D428">
            <v>0</v>
          </cell>
        </row>
        <row r="429">
          <cell r="A429" t="str">
            <v>A1EMCPRINS1040</v>
          </cell>
          <cell r="B429" t="str">
            <v>In Progress</v>
          </cell>
          <cell r="C429">
            <v>1</v>
          </cell>
          <cell r="D429">
            <v>0</v>
          </cell>
        </row>
        <row r="430">
          <cell r="A430" t="str">
            <v>A1EMCPRINS1050</v>
          </cell>
          <cell r="B430" t="str">
            <v>In Progress</v>
          </cell>
          <cell r="C430">
            <v>1</v>
          </cell>
          <cell r="D430">
            <v>0</v>
          </cell>
        </row>
        <row r="431">
          <cell r="A431" t="str">
            <v>A1EMCPRINS1060</v>
          </cell>
          <cell r="B431" t="str">
            <v>In Progress</v>
          </cell>
          <cell r="C431">
            <v>1</v>
          </cell>
          <cell r="D431">
            <v>0</v>
          </cell>
        </row>
        <row r="432">
          <cell r="A432" t="str">
            <v>A1EMCPRINS1070</v>
          </cell>
          <cell r="B432" t="str">
            <v>In Progress</v>
          </cell>
          <cell r="C432">
            <v>1</v>
          </cell>
          <cell r="D432">
            <v>0</v>
          </cell>
        </row>
        <row r="433">
          <cell r="A433" t="str">
            <v>A1EMCPRINS1080</v>
          </cell>
          <cell r="B433" t="str">
            <v>Not Started</v>
          </cell>
          <cell r="C433">
            <v>0.28129999999999999</v>
          </cell>
          <cell r="D433">
            <v>0</v>
          </cell>
        </row>
        <row r="434">
          <cell r="A434" t="str">
            <v>A1EMCPRINS1090</v>
          </cell>
          <cell r="B434" t="str">
            <v>Not Started</v>
          </cell>
          <cell r="C434">
            <v>0</v>
          </cell>
          <cell r="D434">
            <v>0</v>
          </cell>
        </row>
        <row r="435">
          <cell r="A435" t="str">
            <v>A1EMCPRINS1100</v>
          </cell>
          <cell r="B435" t="str">
            <v>Not Started</v>
          </cell>
          <cell r="C435">
            <v>0</v>
          </cell>
          <cell r="D435">
            <v>0</v>
          </cell>
        </row>
        <row r="436">
          <cell r="A436" t="str">
            <v>A1EMCPRINS1110</v>
          </cell>
          <cell r="B436" t="str">
            <v>Not Started</v>
          </cell>
          <cell r="C436">
            <v>0</v>
          </cell>
          <cell r="D436">
            <v>0</v>
          </cell>
        </row>
        <row r="437">
          <cell r="A437" t="str">
            <v>A1EMCPRINS1120</v>
          </cell>
          <cell r="B437" t="str">
            <v>Not Started</v>
          </cell>
          <cell r="C437">
            <v>0</v>
          </cell>
          <cell r="D437">
            <v>0</v>
          </cell>
        </row>
        <row r="438">
          <cell r="A438" t="str">
            <v>A1EMCPRINS1130</v>
          </cell>
          <cell r="B438" t="str">
            <v>Not Started</v>
          </cell>
          <cell r="C438">
            <v>0</v>
          </cell>
          <cell r="D438">
            <v>0</v>
          </cell>
        </row>
        <row r="439">
          <cell r="A439" t="str">
            <v>A1EMCPRINS1140</v>
          </cell>
          <cell r="B439" t="str">
            <v>Not Started</v>
          </cell>
          <cell r="C439">
            <v>0</v>
          </cell>
          <cell r="D439">
            <v>0</v>
          </cell>
        </row>
        <row r="440">
          <cell r="A440" t="str">
            <v>A1EMCPRINS1150</v>
          </cell>
          <cell r="B440" t="str">
            <v>Not Started</v>
          </cell>
          <cell r="C440">
            <v>0</v>
          </cell>
          <cell r="D440">
            <v>0</v>
          </cell>
        </row>
        <row r="441">
          <cell r="A441" t="str">
            <v>A1EMCPRINS1160</v>
          </cell>
          <cell r="B441" t="str">
            <v>Not Started</v>
          </cell>
          <cell r="C441">
            <v>0</v>
          </cell>
          <cell r="D441">
            <v>0</v>
          </cell>
        </row>
        <row r="442">
          <cell r="A442" t="str">
            <v>A1EMCPRINS1170</v>
          </cell>
          <cell r="B442" t="str">
            <v>Not Started</v>
          </cell>
          <cell r="C442">
            <v>0</v>
          </cell>
          <cell r="D442">
            <v>0</v>
          </cell>
        </row>
        <row r="443">
          <cell r="A443" t="str">
            <v>A1EMCPRINS1180</v>
          </cell>
          <cell r="B443" t="str">
            <v>Not Started</v>
          </cell>
          <cell r="C443">
            <v>0</v>
          </cell>
          <cell r="D443">
            <v>0</v>
          </cell>
        </row>
        <row r="444">
          <cell r="A444" t="str">
            <v>A1EMCPRINS1190</v>
          </cell>
          <cell r="B444" t="str">
            <v>Not Started</v>
          </cell>
          <cell r="C444">
            <v>0</v>
          </cell>
          <cell r="D444">
            <v>0</v>
          </cell>
        </row>
        <row r="445">
          <cell r="A445" t="str">
            <v>A1EMCPRINS1200</v>
          </cell>
          <cell r="B445" t="str">
            <v>Not Started</v>
          </cell>
          <cell r="C445">
            <v>0</v>
          </cell>
          <cell r="D445">
            <v>0</v>
          </cell>
        </row>
        <row r="446">
          <cell r="A446" t="str">
            <v>A1EMCPRINS1210</v>
          </cell>
          <cell r="B446" t="str">
            <v>Not Started</v>
          </cell>
          <cell r="C446">
            <v>0</v>
          </cell>
          <cell r="D446">
            <v>0</v>
          </cell>
        </row>
        <row r="447">
          <cell r="A447" t="str">
            <v>A1EMCPRINS1220</v>
          </cell>
          <cell r="B447" t="str">
            <v>Not Started</v>
          </cell>
          <cell r="C447">
            <v>0</v>
          </cell>
          <cell r="D447">
            <v>0</v>
          </cell>
        </row>
        <row r="448">
          <cell r="A448" t="str">
            <v>A1EMCPRINS1230</v>
          </cell>
          <cell r="B448" t="str">
            <v>Not Started</v>
          </cell>
          <cell r="C448">
            <v>0</v>
          </cell>
          <cell r="D448">
            <v>0</v>
          </cell>
        </row>
        <row r="449">
          <cell r="A449" t="str">
            <v>A1EMCPRINS1240</v>
          </cell>
          <cell r="B449" t="str">
            <v>Not Started</v>
          </cell>
          <cell r="C449">
            <v>0</v>
          </cell>
          <cell r="D449">
            <v>0</v>
          </cell>
        </row>
        <row r="450">
          <cell r="A450" t="str">
            <v>A1EMCPRINS1250</v>
          </cell>
          <cell r="B450" t="str">
            <v>Not Started</v>
          </cell>
          <cell r="C450">
            <v>0</v>
          </cell>
          <cell r="D450">
            <v>0</v>
          </cell>
        </row>
        <row r="451">
          <cell r="A451" t="str">
            <v>A1EMCPRINS1260</v>
          </cell>
          <cell r="B451" t="str">
            <v>Not Started</v>
          </cell>
          <cell r="C451">
            <v>0</v>
          </cell>
          <cell r="D451">
            <v>0</v>
          </cell>
        </row>
        <row r="452">
          <cell r="A452" t="str">
            <v>A1EMCPRINS1270</v>
          </cell>
          <cell r="B452" t="str">
            <v>Not Started</v>
          </cell>
          <cell r="C452">
            <v>0</v>
          </cell>
          <cell r="D452">
            <v>0</v>
          </cell>
        </row>
        <row r="453">
          <cell r="A453" t="str">
            <v>A1EMCPRINS1281</v>
          </cell>
          <cell r="B453" t="str">
            <v>In Progress</v>
          </cell>
          <cell r="C453">
            <v>1</v>
          </cell>
          <cell r="D453">
            <v>0</v>
          </cell>
        </row>
        <row r="454">
          <cell r="A454" t="str">
            <v>A1EMCPRINS1291</v>
          </cell>
          <cell r="B454" t="str">
            <v>In Progress</v>
          </cell>
          <cell r="C454">
            <v>1</v>
          </cell>
          <cell r="D454">
            <v>0</v>
          </cell>
        </row>
        <row r="455">
          <cell r="A455" t="str">
            <v>A1EMCPRINS1301</v>
          </cell>
          <cell r="B455" t="str">
            <v>Not Started</v>
          </cell>
          <cell r="C455">
            <v>0</v>
          </cell>
          <cell r="D455">
            <v>0</v>
          </cell>
        </row>
        <row r="456">
          <cell r="A456" t="str">
            <v>A1EMCPRINS1311</v>
          </cell>
          <cell r="B456" t="str">
            <v>Not Started</v>
          </cell>
          <cell r="C456">
            <v>0</v>
          </cell>
          <cell r="D456">
            <v>0</v>
          </cell>
        </row>
        <row r="457">
          <cell r="A457" t="str">
            <v>A1EMCPRINS1321</v>
          </cell>
          <cell r="B457" t="str">
            <v>Not Started</v>
          </cell>
          <cell r="C457">
            <v>0</v>
          </cell>
          <cell r="D457">
            <v>0</v>
          </cell>
        </row>
        <row r="458">
          <cell r="A458" t="str">
            <v>A1EMCPRINS1331</v>
          </cell>
          <cell r="B458" t="str">
            <v>Not Started</v>
          </cell>
          <cell r="C458">
            <v>0</v>
          </cell>
          <cell r="D458">
            <v>0</v>
          </cell>
        </row>
        <row r="459">
          <cell r="A459" t="str">
            <v>A1EMCPRINS1341</v>
          </cell>
          <cell r="B459" t="str">
            <v>Not Started</v>
          </cell>
          <cell r="C459">
            <v>0</v>
          </cell>
          <cell r="D459">
            <v>0</v>
          </cell>
        </row>
        <row r="460">
          <cell r="A460" t="str">
            <v>A1EMCPRLAN1000</v>
          </cell>
          <cell r="B460" t="str">
            <v>In Progress</v>
          </cell>
          <cell r="C460">
            <v>1</v>
          </cell>
          <cell r="D460">
            <v>0</v>
          </cell>
        </row>
        <row r="461">
          <cell r="A461" t="str">
            <v>A1EMCPRLAN1010</v>
          </cell>
          <cell r="B461" t="str">
            <v>In Progress</v>
          </cell>
          <cell r="C461">
            <v>1</v>
          </cell>
          <cell r="D461">
            <v>0</v>
          </cell>
        </row>
        <row r="462">
          <cell r="A462" t="str">
            <v>A1EMCPRLAN1020</v>
          </cell>
          <cell r="B462" t="str">
            <v>In Progress</v>
          </cell>
          <cell r="C462">
            <v>1</v>
          </cell>
          <cell r="D462">
            <v>0</v>
          </cell>
        </row>
        <row r="463">
          <cell r="A463" t="str">
            <v>A1EMCPRLAN1030</v>
          </cell>
          <cell r="B463" t="str">
            <v>In Progress</v>
          </cell>
          <cell r="C463">
            <v>1</v>
          </cell>
          <cell r="D463">
            <v>0</v>
          </cell>
        </row>
        <row r="464">
          <cell r="A464" t="str">
            <v>A1EMCPRLAN1040</v>
          </cell>
          <cell r="B464" t="str">
            <v>In Progress</v>
          </cell>
          <cell r="C464">
            <v>1</v>
          </cell>
          <cell r="D464">
            <v>0</v>
          </cell>
        </row>
        <row r="465">
          <cell r="A465" t="str">
            <v>A1EMCPRLAN1050</v>
          </cell>
          <cell r="B465" t="str">
            <v>In Progress</v>
          </cell>
          <cell r="C465">
            <v>1</v>
          </cell>
          <cell r="D465">
            <v>0</v>
          </cell>
        </row>
        <row r="466">
          <cell r="A466" t="str">
            <v>A1EMCPRLAN1060</v>
          </cell>
          <cell r="B466" t="str">
            <v>In Progress</v>
          </cell>
          <cell r="C466">
            <v>1</v>
          </cell>
          <cell r="D466">
            <v>0</v>
          </cell>
        </row>
        <row r="467">
          <cell r="A467" t="str">
            <v>A1EMCPRLAN1070</v>
          </cell>
          <cell r="B467" t="str">
            <v>In Progress</v>
          </cell>
          <cell r="C467">
            <v>1</v>
          </cell>
          <cell r="D467">
            <v>0</v>
          </cell>
        </row>
        <row r="468">
          <cell r="A468" t="str">
            <v>A1EMCPRLAN1080</v>
          </cell>
          <cell r="B468" t="str">
            <v>In Progress</v>
          </cell>
          <cell r="C468">
            <v>0.91069999999999995</v>
          </cell>
          <cell r="D468">
            <v>0</v>
          </cell>
        </row>
        <row r="469">
          <cell r="A469" t="str">
            <v>A1EMCPRLAN1090</v>
          </cell>
          <cell r="B469" t="str">
            <v>In Progress</v>
          </cell>
          <cell r="C469">
            <v>0.875</v>
          </cell>
          <cell r="D469">
            <v>0</v>
          </cell>
        </row>
        <row r="470">
          <cell r="A470" t="str">
            <v>A1EMCPRLAN1100</v>
          </cell>
          <cell r="B470" t="str">
            <v>In Progress</v>
          </cell>
          <cell r="C470">
            <v>0.97729999999999995</v>
          </cell>
          <cell r="D470">
            <v>0</v>
          </cell>
        </row>
        <row r="471">
          <cell r="A471" t="str">
            <v>A1EMCPRLAN1110</v>
          </cell>
          <cell r="B471" t="str">
            <v>In Progress</v>
          </cell>
          <cell r="C471">
            <v>0.97499999999999998</v>
          </cell>
          <cell r="D471">
            <v>0</v>
          </cell>
        </row>
        <row r="472">
          <cell r="A472" t="str">
            <v>A1EMCPRLAN1120</v>
          </cell>
          <cell r="B472" t="str">
            <v>In Progress</v>
          </cell>
          <cell r="C472">
            <v>1</v>
          </cell>
          <cell r="D472">
            <v>0</v>
          </cell>
        </row>
        <row r="473">
          <cell r="A473" t="str">
            <v>A1EMCPRLAN1130</v>
          </cell>
          <cell r="B473" t="str">
            <v>In Progress</v>
          </cell>
          <cell r="C473">
            <v>1</v>
          </cell>
          <cell r="D473">
            <v>0</v>
          </cell>
        </row>
        <row r="474">
          <cell r="A474" t="str">
            <v>A1EMCPRLAN1140</v>
          </cell>
          <cell r="B474" t="str">
            <v>In Progress</v>
          </cell>
          <cell r="C474">
            <v>1</v>
          </cell>
          <cell r="D474">
            <v>0</v>
          </cell>
        </row>
        <row r="475">
          <cell r="A475" t="str">
            <v>A1EMCPRLAN1150</v>
          </cell>
          <cell r="B475" t="str">
            <v>In Progress</v>
          </cell>
          <cell r="C475">
            <v>1</v>
          </cell>
          <cell r="D475">
            <v>0</v>
          </cell>
        </row>
        <row r="476">
          <cell r="A476" t="str">
            <v>A1EMCPRLAN1160</v>
          </cell>
          <cell r="B476" t="str">
            <v>Not Started</v>
          </cell>
          <cell r="C476">
            <v>0</v>
          </cell>
          <cell r="D476">
            <v>0</v>
          </cell>
        </row>
        <row r="477">
          <cell r="A477" t="str">
            <v>A1EMCPRLAN1170</v>
          </cell>
          <cell r="B477" t="str">
            <v>Not Started</v>
          </cell>
          <cell r="C477">
            <v>0</v>
          </cell>
          <cell r="D477">
            <v>0</v>
          </cell>
        </row>
        <row r="478">
          <cell r="A478" t="str">
            <v>A1EMCPRLAN1180</v>
          </cell>
          <cell r="B478" t="str">
            <v>Not Started</v>
          </cell>
          <cell r="C478">
            <v>0</v>
          </cell>
          <cell r="D478">
            <v>0</v>
          </cell>
        </row>
        <row r="479">
          <cell r="A479" t="str">
            <v>A1EMCPRLAN1190</v>
          </cell>
          <cell r="B479" t="str">
            <v>Not Started</v>
          </cell>
          <cell r="C479">
            <v>0</v>
          </cell>
          <cell r="D479">
            <v>0</v>
          </cell>
        </row>
        <row r="480">
          <cell r="A480" t="str">
            <v>A1EMCPRLAN1200</v>
          </cell>
          <cell r="B480" t="str">
            <v>Not Started</v>
          </cell>
          <cell r="C480">
            <v>0</v>
          </cell>
          <cell r="D480">
            <v>0</v>
          </cell>
        </row>
        <row r="481">
          <cell r="A481" t="str">
            <v>A1EMCPRLAN1210</v>
          </cell>
          <cell r="B481" t="str">
            <v>Not Started</v>
          </cell>
          <cell r="C481">
            <v>0</v>
          </cell>
          <cell r="D481">
            <v>0</v>
          </cell>
        </row>
        <row r="482">
          <cell r="A482" t="str">
            <v>A1EMCPRLAN1220</v>
          </cell>
          <cell r="B482" t="str">
            <v>Not Started</v>
          </cell>
          <cell r="C482">
            <v>0</v>
          </cell>
          <cell r="D482">
            <v>0</v>
          </cell>
        </row>
        <row r="483">
          <cell r="A483" t="str">
            <v>A1EMCPRLAN1230</v>
          </cell>
          <cell r="B483" t="str">
            <v>Not Started</v>
          </cell>
          <cell r="C483">
            <v>0</v>
          </cell>
          <cell r="D483">
            <v>0</v>
          </cell>
        </row>
        <row r="484">
          <cell r="A484" t="str">
            <v>A1EMCPRLAN1240</v>
          </cell>
          <cell r="B484" t="str">
            <v>Not Started</v>
          </cell>
          <cell r="C484">
            <v>0</v>
          </cell>
          <cell r="D484">
            <v>0</v>
          </cell>
        </row>
        <row r="485">
          <cell r="A485" t="str">
            <v>A1EMCPRLAN1250</v>
          </cell>
          <cell r="B485" t="str">
            <v>Not Started</v>
          </cell>
          <cell r="C485">
            <v>0</v>
          </cell>
          <cell r="D485">
            <v>0</v>
          </cell>
        </row>
        <row r="486">
          <cell r="A486" t="str">
            <v>A1EMCPRLAN1260</v>
          </cell>
          <cell r="B486" t="str">
            <v>Not Started</v>
          </cell>
          <cell r="C486">
            <v>0</v>
          </cell>
          <cell r="D486">
            <v>0</v>
          </cell>
        </row>
        <row r="487">
          <cell r="A487" t="str">
            <v>A1EMCPRLAN1270</v>
          </cell>
          <cell r="B487" t="str">
            <v>Not Started</v>
          </cell>
          <cell r="C487">
            <v>0</v>
          </cell>
          <cell r="D487">
            <v>0</v>
          </cell>
        </row>
        <row r="488">
          <cell r="A488" t="str">
            <v>A1EMCPRLAN1280</v>
          </cell>
          <cell r="B488" t="str">
            <v>Not Started</v>
          </cell>
          <cell r="C488">
            <v>0</v>
          </cell>
          <cell r="D488">
            <v>0</v>
          </cell>
        </row>
        <row r="489">
          <cell r="A489" t="str">
            <v>A1EMCPRLAN1290</v>
          </cell>
          <cell r="B489" t="str">
            <v>Not Started</v>
          </cell>
          <cell r="C489">
            <v>0</v>
          </cell>
          <cell r="D489">
            <v>0</v>
          </cell>
        </row>
        <row r="490">
          <cell r="A490" t="str">
            <v>A1EMCPRLAN1300</v>
          </cell>
          <cell r="B490" t="str">
            <v>Not Started</v>
          </cell>
          <cell r="C490">
            <v>0</v>
          </cell>
          <cell r="D490">
            <v>0</v>
          </cell>
        </row>
        <row r="491">
          <cell r="A491" t="str">
            <v>A1EMCPRLAN1310</v>
          </cell>
          <cell r="B491" t="str">
            <v>Not Started</v>
          </cell>
          <cell r="C491">
            <v>0</v>
          </cell>
          <cell r="D491">
            <v>0</v>
          </cell>
        </row>
        <row r="492">
          <cell r="A492" t="str">
            <v>A1EMCPRLAN1320</v>
          </cell>
          <cell r="B492" t="str">
            <v>Not Started</v>
          </cell>
          <cell r="C492">
            <v>0</v>
          </cell>
          <cell r="D492">
            <v>0</v>
          </cell>
        </row>
        <row r="493">
          <cell r="A493" t="str">
            <v>A1EMCPRLAN1330</v>
          </cell>
          <cell r="B493" t="str">
            <v>Not Started</v>
          </cell>
          <cell r="C493">
            <v>0</v>
          </cell>
          <cell r="D493">
            <v>0</v>
          </cell>
        </row>
        <row r="494">
          <cell r="A494" t="str">
            <v>A1EMCPRLAN1340</v>
          </cell>
          <cell r="B494" t="str">
            <v>Not Started</v>
          </cell>
          <cell r="C494">
            <v>0</v>
          </cell>
          <cell r="D494">
            <v>0</v>
          </cell>
        </row>
        <row r="495">
          <cell r="A495" t="str">
            <v>A1EMCPRLAN1350</v>
          </cell>
          <cell r="B495" t="str">
            <v>Not Started</v>
          </cell>
          <cell r="C495">
            <v>0</v>
          </cell>
          <cell r="D495">
            <v>0</v>
          </cell>
        </row>
        <row r="496">
          <cell r="A496" t="str">
            <v>A1EMCPRLAN1360</v>
          </cell>
          <cell r="B496" t="str">
            <v>Not Started</v>
          </cell>
          <cell r="C496">
            <v>0</v>
          </cell>
          <cell r="D496">
            <v>0</v>
          </cell>
        </row>
        <row r="497">
          <cell r="A497" t="str">
            <v>A1EMCPRLAN1370</v>
          </cell>
          <cell r="B497" t="str">
            <v>Not Started</v>
          </cell>
          <cell r="C497">
            <v>0</v>
          </cell>
          <cell r="D497">
            <v>0</v>
          </cell>
        </row>
        <row r="498">
          <cell r="A498" t="str">
            <v>A1EMCPRLAN1380</v>
          </cell>
          <cell r="B498" t="str">
            <v>Not Started</v>
          </cell>
          <cell r="C498">
            <v>0</v>
          </cell>
          <cell r="D498">
            <v>0</v>
          </cell>
        </row>
        <row r="499">
          <cell r="A499" t="str">
            <v>A1EMCPRLAN1390</v>
          </cell>
          <cell r="B499" t="str">
            <v>Not Started</v>
          </cell>
          <cell r="C499">
            <v>0</v>
          </cell>
          <cell r="D499">
            <v>0</v>
          </cell>
        </row>
        <row r="500">
          <cell r="A500" t="str">
            <v>A1EMCPRMEC4000</v>
          </cell>
          <cell r="B500" t="str">
            <v>In Progress</v>
          </cell>
          <cell r="C500">
            <v>1</v>
          </cell>
          <cell r="D500">
            <v>0</v>
          </cell>
        </row>
        <row r="501">
          <cell r="A501" t="str">
            <v>A1EMCPRMEC4020</v>
          </cell>
          <cell r="B501" t="str">
            <v>In Progress</v>
          </cell>
          <cell r="C501">
            <v>1</v>
          </cell>
          <cell r="D501">
            <v>0</v>
          </cell>
        </row>
        <row r="502">
          <cell r="A502" t="str">
            <v>A1EMCPRMEC4040</v>
          </cell>
          <cell r="B502" t="str">
            <v>In Progress</v>
          </cell>
          <cell r="C502">
            <v>1</v>
          </cell>
          <cell r="D502">
            <v>0</v>
          </cell>
        </row>
        <row r="503">
          <cell r="A503" t="str">
            <v>A1EMCPRMEC4060</v>
          </cell>
          <cell r="B503" t="str">
            <v>In Progress</v>
          </cell>
          <cell r="C503">
            <v>1</v>
          </cell>
          <cell r="D503">
            <v>0</v>
          </cell>
        </row>
        <row r="504">
          <cell r="A504" t="str">
            <v>A1EMCPRMEC4080</v>
          </cell>
          <cell r="B504" t="str">
            <v>In Progress</v>
          </cell>
          <cell r="C504">
            <v>1</v>
          </cell>
          <cell r="D504">
            <v>0</v>
          </cell>
        </row>
        <row r="505">
          <cell r="A505" t="str">
            <v>A1EMCPRMEC4100</v>
          </cell>
          <cell r="B505" t="str">
            <v>In Progress</v>
          </cell>
          <cell r="C505">
            <v>1</v>
          </cell>
          <cell r="D505">
            <v>0</v>
          </cell>
        </row>
        <row r="506">
          <cell r="A506" t="str">
            <v>A1EMCPRMEC4360</v>
          </cell>
          <cell r="B506" t="str">
            <v>In Progress</v>
          </cell>
          <cell r="C506">
            <v>1</v>
          </cell>
          <cell r="D506">
            <v>0</v>
          </cell>
        </row>
        <row r="507">
          <cell r="A507" t="str">
            <v>A1EMCPRMEC4380</v>
          </cell>
          <cell r="B507" t="str">
            <v>Completed</v>
          </cell>
          <cell r="C507">
            <v>1</v>
          </cell>
          <cell r="D507">
            <v>1</v>
          </cell>
        </row>
        <row r="508">
          <cell r="A508" t="str">
            <v>A1EMCPRMEC4400</v>
          </cell>
          <cell r="B508" t="str">
            <v>Completed</v>
          </cell>
          <cell r="C508">
            <v>1</v>
          </cell>
          <cell r="D508">
            <v>1</v>
          </cell>
        </row>
        <row r="509">
          <cell r="A509" t="str">
            <v>A1EMCPRMEC4420</v>
          </cell>
          <cell r="B509" t="str">
            <v>In Progress</v>
          </cell>
          <cell r="C509">
            <v>1</v>
          </cell>
          <cell r="D509">
            <v>0</v>
          </cell>
        </row>
        <row r="510">
          <cell r="A510" t="str">
            <v>A1EMCPRMEC4440</v>
          </cell>
          <cell r="B510" t="str">
            <v>In Progress</v>
          </cell>
          <cell r="C510">
            <v>1</v>
          </cell>
          <cell r="D510">
            <v>0</v>
          </cell>
        </row>
        <row r="511">
          <cell r="A511" t="str">
            <v>A1EMCPRMEC4460</v>
          </cell>
          <cell r="B511" t="str">
            <v>In Progress</v>
          </cell>
          <cell r="C511">
            <v>1</v>
          </cell>
          <cell r="D511">
            <v>0</v>
          </cell>
        </row>
        <row r="512">
          <cell r="A512" t="str">
            <v>A1EMCPRMEC4480</v>
          </cell>
          <cell r="B512" t="str">
            <v>Completed</v>
          </cell>
          <cell r="C512">
            <v>1</v>
          </cell>
          <cell r="D512">
            <v>1</v>
          </cell>
        </row>
        <row r="513">
          <cell r="A513" t="str">
            <v>A1EMCPRMEC4500</v>
          </cell>
          <cell r="B513" t="str">
            <v>In Progress</v>
          </cell>
          <cell r="C513">
            <v>1</v>
          </cell>
          <cell r="D513">
            <v>0</v>
          </cell>
        </row>
        <row r="514">
          <cell r="A514" t="str">
            <v>A1EMCPRMEC4520</v>
          </cell>
          <cell r="B514" t="str">
            <v>Completed</v>
          </cell>
          <cell r="C514">
            <v>1</v>
          </cell>
          <cell r="D514">
            <v>1</v>
          </cell>
        </row>
        <row r="515">
          <cell r="A515" t="str">
            <v>A1EMCPRMEC4540</v>
          </cell>
          <cell r="B515" t="str">
            <v>Completed</v>
          </cell>
          <cell r="C515">
            <v>1</v>
          </cell>
          <cell r="D515">
            <v>1</v>
          </cell>
        </row>
        <row r="516">
          <cell r="A516" t="str">
            <v>A1EMCPRMEC4560</v>
          </cell>
          <cell r="B516" t="str">
            <v>In Progress</v>
          </cell>
          <cell r="C516">
            <v>1</v>
          </cell>
          <cell r="D516">
            <v>0</v>
          </cell>
        </row>
        <row r="517">
          <cell r="A517" t="str">
            <v>A1EMCPRMEC4580</v>
          </cell>
          <cell r="B517" t="str">
            <v>In Progress</v>
          </cell>
          <cell r="C517">
            <v>1</v>
          </cell>
          <cell r="D517">
            <v>0</v>
          </cell>
        </row>
        <row r="518">
          <cell r="A518" t="str">
            <v>A1EMCPRMEC4600</v>
          </cell>
          <cell r="B518" t="str">
            <v>In Progress</v>
          </cell>
          <cell r="C518">
            <v>1</v>
          </cell>
          <cell r="D518">
            <v>0</v>
          </cell>
        </row>
        <row r="519">
          <cell r="A519" t="str">
            <v>A1EMCPRMEC4620</v>
          </cell>
          <cell r="B519" t="str">
            <v>In Progress</v>
          </cell>
          <cell r="C519">
            <v>1</v>
          </cell>
          <cell r="D519">
            <v>0</v>
          </cell>
        </row>
        <row r="520">
          <cell r="A520" t="str">
            <v>A1EMCPRMEC4640</v>
          </cell>
          <cell r="B520" t="str">
            <v>In Progress</v>
          </cell>
          <cell r="C520">
            <v>1</v>
          </cell>
          <cell r="D520">
            <v>0</v>
          </cell>
        </row>
        <row r="521">
          <cell r="A521" t="str">
            <v>A1EMCPRMEC4660</v>
          </cell>
          <cell r="B521" t="str">
            <v>Completed</v>
          </cell>
          <cell r="C521">
            <v>1</v>
          </cell>
          <cell r="D521">
            <v>1</v>
          </cell>
        </row>
        <row r="522">
          <cell r="A522" t="str">
            <v>A1EMCPRMEC4680</v>
          </cell>
          <cell r="B522" t="str">
            <v>Completed</v>
          </cell>
          <cell r="C522">
            <v>1</v>
          </cell>
          <cell r="D522">
            <v>1</v>
          </cell>
        </row>
        <row r="523">
          <cell r="A523" t="str">
            <v>A1EMCPRMEC4700</v>
          </cell>
          <cell r="B523" t="str">
            <v>In Progress</v>
          </cell>
          <cell r="C523">
            <v>1</v>
          </cell>
          <cell r="D523">
            <v>0</v>
          </cell>
        </row>
        <row r="524">
          <cell r="A524" t="str">
            <v>A1EMCPRMEC4720</v>
          </cell>
          <cell r="B524" t="str">
            <v>In Progress</v>
          </cell>
          <cell r="C524">
            <v>1</v>
          </cell>
          <cell r="D524">
            <v>0</v>
          </cell>
        </row>
        <row r="525">
          <cell r="A525" t="str">
            <v>A1EMCPRMEC4740</v>
          </cell>
          <cell r="B525" t="str">
            <v>In Progress</v>
          </cell>
          <cell r="C525">
            <v>1</v>
          </cell>
          <cell r="D525">
            <v>0</v>
          </cell>
        </row>
        <row r="526">
          <cell r="A526" t="str">
            <v>A1EMCPRMEC4760</v>
          </cell>
          <cell r="B526" t="str">
            <v>In Progress</v>
          </cell>
          <cell r="C526">
            <v>1</v>
          </cell>
          <cell r="D526">
            <v>0</v>
          </cell>
        </row>
        <row r="527">
          <cell r="A527" t="str">
            <v>A1EMCPRMEC4780</v>
          </cell>
          <cell r="B527" t="str">
            <v>In Progress</v>
          </cell>
          <cell r="C527">
            <v>1</v>
          </cell>
          <cell r="D527">
            <v>0</v>
          </cell>
        </row>
        <row r="528">
          <cell r="A528" t="str">
            <v>A1EMCPRMEC4800</v>
          </cell>
          <cell r="B528" t="str">
            <v>In Progress</v>
          </cell>
          <cell r="C528">
            <v>1</v>
          </cell>
          <cell r="D528">
            <v>0</v>
          </cell>
        </row>
        <row r="529">
          <cell r="A529" t="str">
            <v>A1EMCPRMEC4820</v>
          </cell>
          <cell r="B529" t="str">
            <v>In Progress</v>
          </cell>
          <cell r="C529">
            <v>1</v>
          </cell>
          <cell r="D529">
            <v>0</v>
          </cell>
        </row>
        <row r="530">
          <cell r="A530" t="str">
            <v>A1EMCPRMEC4840</v>
          </cell>
          <cell r="B530" t="str">
            <v>In Progress</v>
          </cell>
          <cell r="C530">
            <v>1</v>
          </cell>
          <cell r="D530">
            <v>0</v>
          </cell>
        </row>
        <row r="531">
          <cell r="A531" t="str">
            <v>A1EMCPRMEC5100</v>
          </cell>
          <cell r="B531" t="str">
            <v>In Progress</v>
          </cell>
          <cell r="C531">
            <v>1</v>
          </cell>
          <cell r="D531">
            <v>0</v>
          </cell>
        </row>
        <row r="532">
          <cell r="A532" t="str">
            <v>A1EMCPRMEC5120</v>
          </cell>
          <cell r="B532" t="str">
            <v>In Progress</v>
          </cell>
          <cell r="C532">
            <v>1</v>
          </cell>
          <cell r="D532">
            <v>0</v>
          </cell>
        </row>
        <row r="533">
          <cell r="A533" t="str">
            <v>A1EMCPRMEC5140</v>
          </cell>
          <cell r="B533" t="str">
            <v>Completed</v>
          </cell>
          <cell r="C533">
            <v>1</v>
          </cell>
          <cell r="D533">
            <v>1</v>
          </cell>
        </row>
        <row r="534">
          <cell r="A534" t="str">
            <v>A1EMCPRMEC5160</v>
          </cell>
          <cell r="B534" t="str">
            <v>In Progress</v>
          </cell>
          <cell r="C534">
            <v>1</v>
          </cell>
          <cell r="D534">
            <v>0</v>
          </cell>
        </row>
        <row r="535">
          <cell r="A535" t="str">
            <v>A1EMCPRMEC5180</v>
          </cell>
          <cell r="B535" t="str">
            <v>Completed</v>
          </cell>
          <cell r="C535">
            <v>1</v>
          </cell>
          <cell r="D535">
            <v>1</v>
          </cell>
        </row>
        <row r="536">
          <cell r="A536" t="str">
            <v>A1EMCPRMEC5200</v>
          </cell>
          <cell r="B536" t="str">
            <v>Completed</v>
          </cell>
          <cell r="C536">
            <v>1</v>
          </cell>
          <cell r="D536">
            <v>1</v>
          </cell>
        </row>
        <row r="537">
          <cell r="A537" t="str">
            <v>A1EMCPRMEC5220</v>
          </cell>
          <cell r="B537" t="str">
            <v>In Progress</v>
          </cell>
          <cell r="C537">
            <v>1</v>
          </cell>
          <cell r="D537">
            <v>0</v>
          </cell>
        </row>
        <row r="538">
          <cell r="A538" t="str">
            <v>A1EMCPRMEC5240</v>
          </cell>
          <cell r="B538" t="str">
            <v>In Progress</v>
          </cell>
          <cell r="C538">
            <v>1</v>
          </cell>
          <cell r="D538">
            <v>0</v>
          </cell>
        </row>
        <row r="539">
          <cell r="A539" t="str">
            <v>A1EMCPRMEC5260</v>
          </cell>
          <cell r="B539" t="str">
            <v>In Progress</v>
          </cell>
          <cell r="C539">
            <v>1</v>
          </cell>
          <cell r="D539">
            <v>0</v>
          </cell>
        </row>
        <row r="540">
          <cell r="A540" t="str">
            <v>A1EMCPRMEC5280</v>
          </cell>
          <cell r="B540" t="str">
            <v>In Progress</v>
          </cell>
          <cell r="C540">
            <v>1</v>
          </cell>
          <cell r="D540">
            <v>0</v>
          </cell>
        </row>
        <row r="541">
          <cell r="A541" t="str">
            <v>A1EMCPRMEC5300</v>
          </cell>
          <cell r="B541" t="str">
            <v>In Progress</v>
          </cell>
          <cell r="C541">
            <v>1</v>
          </cell>
          <cell r="D541">
            <v>0</v>
          </cell>
        </row>
        <row r="542">
          <cell r="A542" t="str">
            <v>A1EMCPRMEC5320</v>
          </cell>
          <cell r="B542" t="str">
            <v>Completed</v>
          </cell>
          <cell r="C542">
            <v>0</v>
          </cell>
          <cell r="D542">
            <v>1</v>
          </cell>
        </row>
        <row r="543">
          <cell r="A543" t="str">
            <v>A1EMCPRMEC5340</v>
          </cell>
          <cell r="B543" t="str">
            <v>Completed</v>
          </cell>
          <cell r="C543">
            <v>0</v>
          </cell>
          <cell r="D543">
            <v>1</v>
          </cell>
        </row>
        <row r="544">
          <cell r="A544" t="str">
            <v>A1EMCPRMEC5360</v>
          </cell>
          <cell r="B544" t="str">
            <v>Not Started</v>
          </cell>
          <cell r="C544">
            <v>0</v>
          </cell>
          <cell r="D544">
            <v>0</v>
          </cell>
        </row>
        <row r="545">
          <cell r="A545" t="str">
            <v>A1EMCPRMEC5380</v>
          </cell>
          <cell r="B545" t="str">
            <v>Not Started</v>
          </cell>
          <cell r="C545">
            <v>0</v>
          </cell>
          <cell r="D545">
            <v>0</v>
          </cell>
        </row>
        <row r="546">
          <cell r="A546" t="str">
            <v>A1EMCPRMEC5400</v>
          </cell>
          <cell r="B546" t="str">
            <v>Not Started</v>
          </cell>
          <cell r="C546">
            <v>0</v>
          </cell>
          <cell r="D546">
            <v>0</v>
          </cell>
        </row>
        <row r="547">
          <cell r="A547" t="str">
            <v>A1EMCPRMEC5420</v>
          </cell>
          <cell r="B547" t="str">
            <v>Not Started</v>
          </cell>
          <cell r="C547">
            <v>0</v>
          </cell>
          <cell r="D547">
            <v>0</v>
          </cell>
        </row>
        <row r="548">
          <cell r="A548" t="str">
            <v>A1EMCPRMEC5440</v>
          </cell>
          <cell r="B548" t="str">
            <v>Not Started</v>
          </cell>
          <cell r="C548">
            <v>0</v>
          </cell>
          <cell r="D548">
            <v>0</v>
          </cell>
        </row>
        <row r="549">
          <cell r="A549" t="str">
            <v>A1EMCPRMEC5460</v>
          </cell>
          <cell r="B549" t="str">
            <v>Not Started</v>
          </cell>
          <cell r="C549">
            <v>0</v>
          </cell>
          <cell r="D549">
            <v>0</v>
          </cell>
        </row>
        <row r="550">
          <cell r="A550" t="str">
            <v>A1EMCPRMEC5480</v>
          </cell>
          <cell r="B550" t="str">
            <v>Not Started</v>
          </cell>
          <cell r="C550">
            <v>0</v>
          </cell>
          <cell r="D550">
            <v>0</v>
          </cell>
        </row>
        <row r="551">
          <cell r="A551" t="str">
            <v>A1EMCPRMEC5500</v>
          </cell>
          <cell r="B551" t="str">
            <v>Not Started</v>
          </cell>
          <cell r="C551">
            <v>0</v>
          </cell>
          <cell r="D551">
            <v>0</v>
          </cell>
        </row>
        <row r="552">
          <cell r="A552" t="str">
            <v>A1EMCPRMEC5760</v>
          </cell>
          <cell r="B552" t="str">
            <v>Not Started</v>
          </cell>
          <cell r="C552">
            <v>0</v>
          </cell>
          <cell r="D552">
            <v>0</v>
          </cell>
        </row>
        <row r="553">
          <cell r="A553" t="str">
            <v>A1EMCPRMEC5780</v>
          </cell>
          <cell r="B553" t="str">
            <v>Not Started</v>
          </cell>
          <cell r="C553">
            <v>0.25</v>
          </cell>
          <cell r="D553">
            <v>0</v>
          </cell>
        </row>
        <row r="554">
          <cell r="A554" t="str">
            <v>A1EMCPRMEC5800</v>
          </cell>
          <cell r="B554" t="str">
            <v>In Progress</v>
          </cell>
          <cell r="C554">
            <v>0.875</v>
          </cell>
          <cell r="D554">
            <v>0.25</v>
          </cell>
        </row>
        <row r="555">
          <cell r="A555" t="str">
            <v>A1EMCPRMEC5820</v>
          </cell>
          <cell r="B555" t="str">
            <v>Not Started</v>
          </cell>
          <cell r="C555">
            <v>0</v>
          </cell>
          <cell r="D555">
            <v>0</v>
          </cell>
        </row>
        <row r="556">
          <cell r="A556" t="str">
            <v>A1EMCPRMEC5840</v>
          </cell>
          <cell r="B556" t="str">
            <v>Not Started</v>
          </cell>
          <cell r="C556">
            <v>0</v>
          </cell>
          <cell r="D556">
            <v>0</v>
          </cell>
        </row>
        <row r="557">
          <cell r="A557" t="str">
            <v>A1EMCPRMEC5860</v>
          </cell>
          <cell r="B557" t="str">
            <v>Completed</v>
          </cell>
          <cell r="C557">
            <v>0.9375</v>
          </cell>
          <cell r="D557">
            <v>1</v>
          </cell>
        </row>
        <row r="558">
          <cell r="A558" t="str">
            <v>A1EMCPRMEC5880</v>
          </cell>
          <cell r="B558" t="str">
            <v>Not Started</v>
          </cell>
          <cell r="C558">
            <v>0</v>
          </cell>
          <cell r="D558">
            <v>0</v>
          </cell>
        </row>
        <row r="559">
          <cell r="A559" t="str">
            <v>A1EMCPRMEC5900</v>
          </cell>
          <cell r="B559" t="str">
            <v>Not Started</v>
          </cell>
          <cell r="C559">
            <v>0</v>
          </cell>
          <cell r="D559">
            <v>0</v>
          </cell>
        </row>
        <row r="560">
          <cell r="A560" t="str">
            <v>A1EMCPRMEC5920</v>
          </cell>
          <cell r="B560" t="str">
            <v>Not Started</v>
          </cell>
          <cell r="C560">
            <v>0</v>
          </cell>
          <cell r="D560">
            <v>0</v>
          </cell>
        </row>
        <row r="561">
          <cell r="A561" t="str">
            <v>A1EMCPRMEC5940</v>
          </cell>
          <cell r="B561" t="str">
            <v>Not Started</v>
          </cell>
          <cell r="C561">
            <v>0.1389</v>
          </cell>
          <cell r="D561">
            <v>0</v>
          </cell>
        </row>
        <row r="562">
          <cell r="A562" t="str">
            <v>A1EMCPRMEC5960</v>
          </cell>
          <cell r="B562" t="str">
            <v>Not Started</v>
          </cell>
          <cell r="C562">
            <v>0</v>
          </cell>
          <cell r="D562">
            <v>0</v>
          </cell>
        </row>
        <row r="563">
          <cell r="A563" t="str">
            <v>A1EMCPRMEC5980</v>
          </cell>
          <cell r="B563" t="str">
            <v>Not Started</v>
          </cell>
          <cell r="C563">
            <v>0</v>
          </cell>
          <cell r="D563">
            <v>0</v>
          </cell>
        </row>
        <row r="564">
          <cell r="A564" t="str">
            <v>A1EMCPRMEC6000</v>
          </cell>
          <cell r="B564" t="str">
            <v>Not Started</v>
          </cell>
          <cell r="C564">
            <v>0</v>
          </cell>
          <cell r="D564">
            <v>0</v>
          </cell>
        </row>
        <row r="565">
          <cell r="A565" t="str">
            <v>A1EMCPRMEC6020</v>
          </cell>
          <cell r="B565" t="str">
            <v>Not Started</v>
          </cell>
          <cell r="C565">
            <v>0</v>
          </cell>
          <cell r="D565">
            <v>0</v>
          </cell>
        </row>
        <row r="566">
          <cell r="A566" t="str">
            <v>A1EMCPRMEC6040</v>
          </cell>
          <cell r="B566" t="str">
            <v>Not Started</v>
          </cell>
          <cell r="C566">
            <v>0</v>
          </cell>
          <cell r="D566">
            <v>0</v>
          </cell>
        </row>
        <row r="567">
          <cell r="A567" t="str">
            <v>A1EMCPRMEC6060</v>
          </cell>
          <cell r="B567" t="str">
            <v>Not Started</v>
          </cell>
          <cell r="C567">
            <v>0</v>
          </cell>
          <cell r="D567">
            <v>0</v>
          </cell>
        </row>
        <row r="568">
          <cell r="A568" t="str">
            <v>A1EMCPRMEC6080</v>
          </cell>
          <cell r="B568" t="str">
            <v>Not Started</v>
          </cell>
          <cell r="C568">
            <v>0</v>
          </cell>
          <cell r="D568">
            <v>0</v>
          </cell>
        </row>
        <row r="569">
          <cell r="A569" t="str">
            <v>A1EMCPRMEC6340</v>
          </cell>
          <cell r="B569" t="str">
            <v>Not Started</v>
          </cell>
          <cell r="C569">
            <v>0</v>
          </cell>
          <cell r="D569">
            <v>0</v>
          </cell>
        </row>
        <row r="570">
          <cell r="A570" t="str">
            <v>A1EMCPRMEC6360</v>
          </cell>
          <cell r="B570" t="str">
            <v>Not Started</v>
          </cell>
          <cell r="C570">
            <v>0</v>
          </cell>
          <cell r="D570">
            <v>0</v>
          </cell>
        </row>
        <row r="571">
          <cell r="A571" t="str">
            <v>A1EMCPRMEC6380</v>
          </cell>
          <cell r="B571" t="str">
            <v>In Progress</v>
          </cell>
          <cell r="C571">
            <v>8.2500000000000004E-2</v>
          </cell>
          <cell r="D571">
            <v>0.1757</v>
          </cell>
        </row>
        <row r="572">
          <cell r="A572" t="str">
            <v>A1EMCPRMEC6400</v>
          </cell>
          <cell r="B572" t="str">
            <v>Not Started</v>
          </cell>
          <cell r="C572">
            <v>0</v>
          </cell>
          <cell r="D572">
            <v>0</v>
          </cell>
        </row>
        <row r="573">
          <cell r="A573" t="str">
            <v>A1EMCPRMEC6420</v>
          </cell>
          <cell r="B573" t="str">
            <v>Not Started</v>
          </cell>
          <cell r="C573">
            <v>0</v>
          </cell>
          <cell r="D573">
            <v>0</v>
          </cell>
        </row>
        <row r="574">
          <cell r="A574" t="str">
            <v>A1EMCPRMEC6440</v>
          </cell>
          <cell r="B574" t="str">
            <v>Not Started</v>
          </cell>
          <cell r="C574">
            <v>0</v>
          </cell>
          <cell r="D574">
            <v>0</v>
          </cell>
        </row>
        <row r="575">
          <cell r="A575" t="str">
            <v>A1EMCPRMEC6460</v>
          </cell>
          <cell r="B575" t="str">
            <v>Not Started</v>
          </cell>
          <cell r="C575">
            <v>0</v>
          </cell>
          <cell r="D575">
            <v>0</v>
          </cell>
        </row>
        <row r="576">
          <cell r="A576" t="str">
            <v>A1EMCPRMEC6480</v>
          </cell>
          <cell r="B576" t="str">
            <v>Not Started</v>
          </cell>
          <cell r="C576">
            <v>0</v>
          </cell>
          <cell r="D576">
            <v>0</v>
          </cell>
        </row>
        <row r="577">
          <cell r="A577" t="str">
            <v>A1EMCPRMEC6500</v>
          </cell>
          <cell r="B577" t="str">
            <v>Not Started</v>
          </cell>
          <cell r="C577">
            <v>0</v>
          </cell>
          <cell r="D577">
            <v>0</v>
          </cell>
        </row>
        <row r="578">
          <cell r="A578" t="str">
            <v>A1EMCPRMEC6520</v>
          </cell>
          <cell r="B578" t="str">
            <v>Not Started</v>
          </cell>
          <cell r="C578">
            <v>0</v>
          </cell>
          <cell r="D578">
            <v>0</v>
          </cell>
        </row>
        <row r="579">
          <cell r="A579" t="str">
            <v>A1EMCPRMEC6540</v>
          </cell>
          <cell r="B579" t="str">
            <v>Not Started</v>
          </cell>
          <cell r="C579">
            <v>0</v>
          </cell>
          <cell r="D579">
            <v>0</v>
          </cell>
        </row>
        <row r="580">
          <cell r="A580" t="str">
            <v>A1EMCPRMEC6560</v>
          </cell>
          <cell r="B580" t="str">
            <v>Not Started</v>
          </cell>
          <cell r="C580">
            <v>0</v>
          </cell>
          <cell r="D580">
            <v>0</v>
          </cell>
        </row>
        <row r="581">
          <cell r="A581" t="str">
            <v>A1EMCPRMEC6580</v>
          </cell>
          <cell r="B581" t="str">
            <v>Not Started</v>
          </cell>
          <cell r="C581">
            <v>0</v>
          </cell>
          <cell r="D581">
            <v>0</v>
          </cell>
        </row>
        <row r="582">
          <cell r="A582" t="str">
            <v>A1EMCPRMEC6600</v>
          </cell>
          <cell r="B582" t="str">
            <v>Not Started</v>
          </cell>
          <cell r="C582">
            <v>0</v>
          </cell>
          <cell r="D582">
            <v>0</v>
          </cell>
        </row>
        <row r="583">
          <cell r="A583" t="str">
            <v>A1EMCPRMEC6620</v>
          </cell>
          <cell r="B583" t="str">
            <v>Not Started</v>
          </cell>
          <cell r="C583">
            <v>0</v>
          </cell>
          <cell r="D583">
            <v>0</v>
          </cell>
        </row>
        <row r="584">
          <cell r="A584" t="str">
            <v>A1EMCPRMEC6640</v>
          </cell>
          <cell r="B584" t="str">
            <v>Not Started</v>
          </cell>
          <cell r="C584">
            <v>0</v>
          </cell>
          <cell r="D584">
            <v>0</v>
          </cell>
        </row>
        <row r="585">
          <cell r="A585" t="str">
            <v>A1EMCPRMEC6660</v>
          </cell>
          <cell r="B585" t="str">
            <v>Not Started</v>
          </cell>
          <cell r="C585">
            <v>0</v>
          </cell>
          <cell r="D585">
            <v>0</v>
          </cell>
        </row>
        <row r="586">
          <cell r="A586" t="str">
            <v>A1EMCPRMEC6680</v>
          </cell>
          <cell r="B586" t="str">
            <v>Not Started</v>
          </cell>
          <cell r="C586">
            <v>0</v>
          </cell>
          <cell r="D586">
            <v>0</v>
          </cell>
        </row>
        <row r="587">
          <cell r="A587" t="str">
            <v>A1EMCPRMEC6700</v>
          </cell>
          <cell r="B587" t="str">
            <v>Not Started</v>
          </cell>
          <cell r="C587">
            <v>0</v>
          </cell>
          <cell r="D587">
            <v>0</v>
          </cell>
        </row>
        <row r="588">
          <cell r="A588" t="str">
            <v>A1EMCPRMEC6720</v>
          </cell>
          <cell r="B588" t="str">
            <v>Not Started</v>
          </cell>
          <cell r="C588">
            <v>0</v>
          </cell>
          <cell r="D588">
            <v>0</v>
          </cell>
        </row>
        <row r="589">
          <cell r="A589" t="str">
            <v>A1EMCPRMEC6740</v>
          </cell>
          <cell r="B589" t="str">
            <v>Not Started</v>
          </cell>
          <cell r="C589">
            <v>0</v>
          </cell>
          <cell r="D589">
            <v>0</v>
          </cell>
        </row>
        <row r="590">
          <cell r="A590" t="str">
            <v>A1EMCPRMEC6760</v>
          </cell>
          <cell r="B590" t="str">
            <v>Not Started</v>
          </cell>
          <cell r="C590">
            <v>0</v>
          </cell>
          <cell r="D590">
            <v>0</v>
          </cell>
        </row>
        <row r="591">
          <cell r="A591" t="str">
            <v>A1EMCPRMEC6780</v>
          </cell>
          <cell r="B591" t="str">
            <v>Not Started</v>
          </cell>
          <cell r="C591">
            <v>0</v>
          </cell>
          <cell r="D591">
            <v>0</v>
          </cell>
        </row>
        <row r="592">
          <cell r="A592" t="str">
            <v>A1EMCPRMEC6800</v>
          </cell>
          <cell r="B592" t="str">
            <v>Not Started</v>
          </cell>
          <cell r="C592">
            <v>0</v>
          </cell>
          <cell r="D592">
            <v>0</v>
          </cell>
        </row>
        <row r="593">
          <cell r="A593" t="str">
            <v>A1EMCPRMEC6820</v>
          </cell>
          <cell r="B593" t="str">
            <v>Not Started</v>
          </cell>
          <cell r="C593">
            <v>0</v>
          </cell>
          <cell r="D593">
            <v>0</v>
          </cell>
        </row>
        <row r="594">
          <cell r="A594" t="str">
            <v>A1EMCPRMEC6840</v>
          </cell>
          <cell r="B594" t="str">
            <v>Not Started</v>
          </cell>
          <cell r="C594">
            <v>0</v>
          </cell>
          <cell r="D594">
            <v>0</v>
          </cell>
        </row>
        <row r="595">
          <cell r="A595" t="str">
            <v>A1EMCPRMEC6860</v>
          </cell>
          <cell r="B595" t="str">
            <v>Not Started</v>
          </cell>
          <cell r="C595">
            <v>0</v>
          </cell>
          <cell r="D595">
            <v>0</v>
          </cell>
        </row>
        <row r="596">
          <cell r="A596" t="str">
            <v>A1EMCPRMEC6880</v>
          </cell>
          <cell r="B596" t="str">
            <v>Not Started</v>
          </cell>
          <cell r="C596">
            <v>0</v>
          </cell>
          <cell r="D596">
            <v>0</v>
          </cell>
        </row>
        <row r="597">
          <cell r="A597" t="str">
            <v>A1EMCPRMEC6900</v>
          </cell>
          <cell r="B597" t="str">
            <v>Not Started</v>
          </cell>
          <cell r="C597">
            <v>0</v>
          </cell>
          <cell r="D597">
            <v>0</v>
          </cell>
        </row>
        <row r="598">
          <cell r="A598" t="str">
            <v>A1EMCPRMEC6920</v>
          </cell>
          <cell r="B598" t="str">
            <v>Not Started</v>
          </cell>
          <cell r="C598">
            <v>0</v>
          </cell>
          <cell r="D598">
            <v>0</v>
          </cell>
        </row>
        <row r="599">
          <cell r="A599" t="str">
            <v>A1EMCPRMEC6940</v>
          </cell>
          <cell r="B599" t="str">
            <v>Not Started</v>
          </cell>
          <cell r="C599">
            <v>0</v>
          </cell>
          <cell r="D599">
            <v>0</v>
          </cell>
        </row>
        <row r="600">
          <cell r="A600" t="str">
            <v>A1EMCPRMEC6960</v>
          </cell>
          <cell r="B600" t="str">
            <v>Not Started</v>
          </cell>
          <cell r="C600">
            <v>0</v>
          </cell>
          <cell r="D600">
            <v>0</v>
          </cell>
        </row>
        <row r="601">
          <cell r="A601" t="str">
            <v>A1EMCPRMEC6980</v>
          </cell>
          <cell r="B601" t="str">
            <v>Not Started</v>
          </cell>
          <cell r="C601">
            <v>0</v>
          </cell>
          <cell r="D601">
            <v>0</v>
          </cell>
        </row>
        <row r="602">
          <cell r="A602" t="str">
            <v>A1EMCPRMEC7720</v>
          </cell>
          <cell r="B602" t="str">
            <v>Not Started</v>
          </cell>
          <cell r="C602">
            <v>0</v>
          </cell>
          <cell r="D602">
            <v>0</v>
          </cell>
        </row>
        <row r="603">
          <cell r="A603" t="str">
            <v>A1EMCPRMEC7740</v>
          </cell>
          <cell r="B603" t="str">
            <v>Not Started</v>
          </cell>
          <cell r="C603">
            <v>0</v>
          </cell>
          <cell r="D603">
            <v>0</v>
          </cell>
        </row>
        <row r="604">
          <cell r="A604" t="str">
            <v>A1EMCPRMEC7760</v>
          </cell>
          <cell r="B604" t="str">
            <v>Not Started</v>
          </cell>
          <cell r="C604">
            <v>0</v>
          </cell>
          <cell r="D604">
            <v>0</v>
          </cell>
        </row>
        <row r="605">
          <cell r="A605" t="str">
            <v>A1EMCPRMEC7780</v>
          </cell>
          <cell r="B605" t="str">
            <v>Not Started</v>
          </cell>
          <cell r="C605">
            <v>0</v>
          </cell>
          <cell r="D605">
            <v>0</v>
          </cell>
        </row>
        <row r="606">
          <cell r="A606" t="str">
            <v>A1EMCPRMEC7800</v>
          </cell>
          <cell r="B606" t="str">
            <v>Not Started</v>
          </cell>
          <cell r="C606">
            <v>0</v>
          </cell>
          <cell r="D606">
            <v>0</v>
          </cell>
        </row>
        <row r="607">
          <cell r="A607" t="str">
            <v>A1EMCPRMEC7820</v>
          </cell>
          <cell r="B607" t="str">
            <v>Not Started</v>
          </cell>
          <cell r="C607">
            <v>0</v>
          </cell>
          <cell r="D607">
            <v>0</v>
          </cell>
        </row>
        <row r="608">
          <cell r="A608" t="str">
            <v>A1EMCPRMEC7840</v>
          </cell>
          <cell r="B608" t="str">
            <v>Not Started</v>
          </cell>
          <cell r="C608">
            <v>0</v>
          </cell>
          <cell r="D608">
            <v>0</v>
          </cell>
        </row>
        <row r="609">
          <cell r="A609" t="str">
            <v>A1EMCPRMEC7860</v>
          </cell>
          <cell r="B609" t="str">
            <v>Not Started</v>
          </cell>
          <cell r="C609">
            <v>0</v>
          </cell>
          <cell r="D609">
            <v>0</v>
          </cell>
        </row>
        <row r="610">
          <cell r="A610" t="str">
            <v>A1EMCPRMEC7880</v>
          </cell>
          <cell r="B610" t="str">
            <v>Not Started</v>
          </cell>
          <cell r="C610">
            <v>0</v>
          </cell>
          <cell r="D610">
            <v>0</v>
          </cell>
        </row>
        <row r="611">
          <cell r="A611" t="str">
            <v>A1EMCPRMEC7900</v>
          </cell>
          <cell r="B611" t="str">
            <v>Not Started</v>
          </cell>
          <cell r="C611">
            <v>0</v>
          </cell>
          <cell r="D611">
            <v>0</v>
          </cell>
        </row>
        <row r="612">
          <cell r="A612" t="str">
            <v>A1EMCPRMEC7920</v>
          </cell>
          <cell r="B612" t="str">
            <v>Not Started</v>
          </cell>
          <cell r="C612">
            <v>0</v>
          </cell>
          <cell r="D612">
            <v>0</v>
          </cell>
        </row>
        <row r="613">
          <cell r="A613" t="str">
            <v>A1EMCPRMEC7940</v>
          </cell>
          <cell r="B613" t="str">
            <v>Not Started</v>
          </cell>
          <cell r="C613">
            <v>0</v>
          </cell>
          <cell r="D613">
            <v>0</v>
          </cell>
        </row>
        <row r="614">
          <cell r="A614" t="str">
            <v>A1EMCPRMEC7960</v>
          </cell>
          <cell r="B614" t="str">
            <v>Not Started</v>
          </cell>
          <cell r="C614">
            <v>0</v>
          </cell>
          <cell r="D614">
            <v>0</v>
          </cell>
        </row>
        <row r="615">
          <cell r="A615" t="str">
            <v>A1EMCPRMEC7980</v>
          </cell>
          <cell r="B615" t="str">
            <v>Not Started</v>
          </cell>
          <cell r="C615">
            <v>0</v>
          </cell>
          <cell r="D615">
            <v>0</v>
          </cell>
        </row>
        <row r="616">
          <cell r="A616" t="str">
            <v>A1EMCPRMEC8000</v>
          </cell>
          <cell r="B616" t="str">
            <v>Not Started</v>
          </cell>
          <cell r="C616">
            <v>0</v>
          </cell>
          <cell r="D616">
            <v>0</v>
          </cell>
        </row>
        <row r="617">
          <cell r="A617" t="str">
            <v>A1EMCPRMEC8020</v>
          </cell>
          <cell r="B617" t="str">
            <v>Not Started</v>
          </cell>
          <cell r="C617">
            <v>0</v>
          </cell>
          <cell r="D617">
            <v>0</v>
          </cell>
        </row>
        <row r="618">
          <cell r="A618" t="str">
            <v>A1EMCPRMEC8040</v>
          </cell>
          <cell r="B618" t="str">
            <v>In Progress</v>
          </cell>
          <cell r="C618">
            <v>0</v>
          </cell>
          <cell r="D618">
            <v>0.1757</v>
          </cell>
        </row>
        <row r="619">
          <cell r="A619" t="str">
            <v>A1EMCPRMEC8060</v>
          </cell>
          <cell r="B619" t="str">
            <v>Not Started</v>
          </cell>
          <cell r="C619">
            <v>0</v>
          </cell>
          <cell r="D619">
            <v>0</v>
          </cell>
        </row>
        <row r="620">
          <cell r="A620" t="str">
            <v>A1EMCPRMEC8080</v>
          </cell>
          <cell r="B620" t="str">
            <v>Not Started</v>
          </cell>
          <cell r="C620">
            <v>0</v>
          </cell>
          <cell r="D620">
            <v>0</v>
          </cell>
        </row>
        <row r="621">
          <cell r="A621" t="str">
            <v>A1EMCPRMEC8100</v>
          </cell>
          <cell r="B621" t="str">
            <v>Not Started</v>
          </cell>
          <cell r="C621">
            <v>0</v>
          </cell>
          <cell r="D621">
            <v>0</v>
          </cell>
        </row>
        <row r="622">
          <cell r="A622" t="str">
            <v>A1EMCPRMEC8120</v>
          </cell>
          <cell r="B622" t="str">
            <v>Not Started</v>
          </cell>
          <cell r="C622">
            <v>0</v>
          </cell>
          <cell r="D622">
            <v>0</v>
          </cell>
        </row>
        <row r="623">
          <cell r="A623" t="str">
            <v>A1EMCPRMEC8140</v>
          </cell>
          <cell r="B623" t="str">
            <v>Not Started</v>
          </cell>
          <cell r="C623">
            <v>0</v>
          </cell>
          <cell r="D623">
            <v>0</v>
          </cell>
        </row>
        <row r="624">
          <cell r="A624" t="str">
            <v>A1EMCPRMEC8160</v>
          </cell>
          <cell r="B624" t="str">
            <v>Not Started</v>
          </cell>
          <cell r="C624">
            <v>0</v>
          </cell>
          <cell r="D624">
            <v>0</v>
          </cell>
        </row>
        <row r="625">
          <cell r="A625" t="str">
            <v>A1EMCPRMEC8180</v>
          </cell>
          <cell r="B625" t="str">
            <v>Not Started</v>
          </cell>
          <cell r="C625">
            <v>0</v>
          </cell>
          <cell r="D625">
            <v>0</v>
          </cell>
        </row>
        <row r="626">
          <cell r="A626" t="str">
            <v>A1EMCPRMEC8200</v>
          </cell>
          <cell r="B626" t="str">
            <v>Not Started</v>
          </cell>
          <cell r="C626">
            <v>0</v>
          </cell>
          <cell r="D626">
            <v>0</v>
          </cell>
        </row>
        <row r="627">
          <cell r="A627" t="str">
            <v>A1EMCPRMEC8220</v>
          </cell>
          <cell r="B627" t="str">
            <v>Not Started</v>
          </cell>
          <cell r="C627">
            <v>0</v>
          </cell>
          <cell r="D627">
            <v>0</v>
          </cell>
        </row>
        <row r="628">
          <cell r="A628" t="str">
            <v>A1EMCPRMEC8240</v>
          </cell>
          <cell r="B628" t="str">
            <v>Not Started</v>
          </cell>
          <cell r="C628">
            <v>0</v>
          </cell>
          <cell r="D628">
            <v>0</v>
          </cell>
        </row>
        <row r="629">
          <cell r="A629" t="str">
            <v>A1EMCPRMEC8260</v>
          </cell>
          <cell r="B629" t="str">
            <v>Not Started</v>
          </cell>
          <cell r="C629">
            <v>0</v>
          </cell>
          <cell r="D629">
            <v>0</v>
          </cell>
        </row>
        <row r="630">
          <cell r="A630" t="str">
            <v>A1EMCPRMEC8280</v>
          </cell>
          <cell r="B630" t="str">
            <v>Not Started</v>
          </cell>
          <cell r="C630">
            <v>0</v>
          </cell>
          <cell r="D630">
            <v>0</v>
          </cell>
        </row>
        <row r="631">
          <cell r="A631" t="str">
            <v>A1EMCPRMEC8300</v>
          </cell>
          <cell r="B631" t="str">
            <v>Not Started</v>
          </cell>
          <cell r="C631">
            <v>0</v>
          </cell>
          <cell r="D631">
            <v>0</v>
          </cell>
        </row>
        <row r="632">
          <cell r="A632" t="str">
            <v>A1EMCPRMEC8320</v>
          </cell>
          <cell r="B632" t="str">
            <v>Not Started</v>
          </cell>
          <cell r="C632">
            <v>0</v>
          </cell>
          <cell r="D632">
            <v>0</v>
          </cell>
        </row>
        <row r="633">
          <cell r="A633" t="str">
            <v>A1EMCPRMEC8340</v>
          </cell>
          <cell r="B633" t="str">
            <v>Not Started</v>
          </cell>
          <cell r="C633">
            <v>0</v>
          </cell>
          <cell r="D633">
            <v>0</v>
          </cell>
        </row>
        <row r="634">
          <cell r="A634" t="str">
            <v>A1EMCPRMEC8360</v>
          </cell>
          <cell r="B634" t="str">
            <v>Not Started</v>
          </cell>
          <cell r="C634">
            <v>0</v>
          </cell>
          <cell r="D634">
            <v>0</v>
          </cell>
        </row>
        <row r="635">
          <cell r="A635" t="str">
            <v>A1EMCPRMEC8380</v>
          </cell>
          <cell r="B635" t="str">
            <v>Not Started</v>
          </cell>
          <cell r="C635">
            <v>0</v>
          </cell>
          <cell r="D635">
            <v>0</v>
          </cell>
        </row>
        <row r="636">
          <cell r="A636" t="str">
            <v>A1EMCPRMEC8400</v>
          </cell>
          <cell r="B636" t="str">
            <v>Not Started</v>
          </cell>
          <cell r="C636">
            <v>0</v>
          </cell>
          <cell r="D636">
            <v>0</v>
          </cell>
        </row>
        <row r="637">
          <cell r="A637" t="str">
            <v>A1EMCPRMEC8420</v>
          </cell>
          <cell r="B637" t="str">
            <v>Not Started</v>
          </cell>
          <cell r="C637">
            <v>0</v>
          </cell>
          <cell r="D637">
            <v>0</v>
          </cell>
        </row>
        <row r="638">
          <cell r="A638" t="str">
            <v>A1EMCPRMEC8440</v>
          </cell>
          <cell r="B638" t="str">
            <v>Not Started</v>
          </cell>
          <cell r="C638">
            <v>0</v>
          </cell>
          <cell r="D638">
            <v>0</v>
          </cell>
        </row>
        <row r="639">
          <cell r="A639" t="str">
            <v>A1EMCPRMEC8460</v>
          </cell>
          <cell r="B639" t="str">
            <v>Not Started</v>
          </cell>
          <cell r="C639">
            <v>0</v>
          </cell>
          <cell r="D639">
            <v>0</v>
          </cell>
        </row>
        <row r="640">
          <cell r="A640" t="str">
            <v>A1EMCPRMEC8480</v>
          </cell>
          <cell r="B640" t="str">
            <v>Not Started</v>
          </cell>
          <cell r="C640">
            <v>0</v>
          </cell>
          <cell r="D640">
            <v>0</v>
          </cell>
        </row>
        <row r="641">
          <cell r="A641" t="str">
            <v>A1EMCPRMEC8500</v>
          </cell>
          <cell r="B641" t="str">
            <v>Not Started</v>
          </cell>
          <cell r="C641">
            <v>0</v>
          </cell>
          <cell r="D641">
            <v>0</v>
          </cell>
        </row>
        <row r="642">
          <cell r="A642" t="str">
            <v>A1EMCPRMEC8520</v>
          </cell>
          <cell r="B642" t="str">
            <v>Not Started</v>
          </cell>
          <cell r="C642">
            <v>0</v>
          </cell>
          <cell r="D642">
            <v>0</v>
          </cell>
        </row>
        <row r="643">
          <cell r="A643" t="str">
            <v>A1EMCPRMEC8540</v>
          </cell>
          <cell r="B643" t="str">
            <v>Not Started</v>
          </cell>
          <cell r="C643">
            <v>0</v>
          </cell>
          <cell r="D643">
            <v>0</v>
          </cell>
        </row>
        <row r="644">
          <cell r="A644" t="str">
            <v>A1EMCPRMEC8560</v>
          </cell>
          <cell r="B644" t="str">
            <v>Not Started</v>
          </cell>
          <cell r="C644">
            <v>0</v>
          </cell>
          <cell r="D644">
            <v>0</v>
          </cell>
        </row>
        <row r="645">
          <cell r="A645" t="str">
            <v>A1EMCPRMEC8580</v>
          </cell>
          <cell r="B645" t="str">
            <v>Not Started</v>
          </cell>
          <cell r="C645">
            <v>0</v>
          </cell>
          <cell r="D645">
            <v>0</v>
          </cell>
        </row>
        <row r="646">
          <cell r="A646" t="str">
            <v>A1EMCPRMEC8600</v>
          </cell>
          <cell r="B646" t="str">
            <v>Not Started</v>
          </cell>
          <cell r="C646">
            <v>0</v>
          </cell>
          <cell r="D646">
            <v>0</v>
          </cell>
        </row>
        <row r="647">
          <cell r="A647" t="str">
            <v>A1FSBCOCIV1000</v>
          </cell>
          <cell r="B647" t="str">
            <v>Completed</v>
          </cell>
          <cell r="C647">
            <v>1</v>
          </cell>
          <cell r="D647">
            <v>1</v>
          </cell>
        </row>
        <row r="648">
          <cell r="A648" t="str">
            <v>A1FSBCOCIV1010</v>
          </cell>
          <cell r="B648" t="str">
            <v>Completed</v>
          </cell>
          <cell r="C648">
            <v>1</v>
          </cell>
          <cell r="D648">
            <v>1</v>
          </cell>
        </row>
        <row r="649">
          <cell r="A649" t="str">
            <v>A1FSBCOCIV1020</v>
          </cell>
          <cell r="B649" t="str">
            <v>Completed</v>
          </cell>
          <cell r="C649">
            <v>1</v>
          </cell>
          <cell r="D649">
            <v>1</v>
          </cell>
        </row>
        <row r="650">
          <cell r="A650" t="str">
            <v>A1FSBCOCIV1030</v>
          </cell>
          <cell r="B650" t="str">
            <v>Completed</v>
          </cell>
          <cell r="C650">
            <v>1</v>
          </cell>
          <cell r="D650">
            <v>1</v>
          </cell>
        </row>
        <row r="651">
          <cell r="A651" t="str">
            <v>A1FSBCOCIV1040</v>
          </cell>
          <cell r="B651" t="str">
            <v>Completed</v>
          </cell>
          <cell r="C651">
            <v>1</v>
          </cell>
          <cell r="D651">
            <v>1</v>
          </cell>
        </row>
        <row r="652">
          <cell r="A652" t="str">
            <v>A1FSBCOCIV1050</v>
          </cell>
          <cell r="B652" t="str">
            <v>In Progress</v>
          </cell>
          <cell r="C652">
            <v>1</v>
          </cell>
          <cell r="D652">
            <v>0.75</v>
          </cell>
        </row>
        <row r="653">
          <cell r="A653" t="str">
            <v>A1FSBCOCIV1060</v>
          </cell>
          <cell r="B653" t="str">
            <v>Not Started</v>
          </cell>
          <cell r="C653">
            <v>1</v>
          </cell>
          <cell r="D653">
            <v>0</v>
          </cell>
        </row>
        <row r="654">
          <cell r="A654" t="str">
            <v>A1FSBCOCIV1070</v>
          </cell>
          <cell r="B654" t="str">
            <v>Not Started</v>
          </cell>
          <cell r="C654">
            <v>1</v>
          </cell>
          <cell r="D654">
            <v>0</v>
          </cell>
        </row>
        <row r="655">
          <cell r="A655" t="str">
            <v>A1FSBCOCIV1080</v>
          </cell>
          <cell r="B655" t="str">
            <v>Not Started</v>
          </cell>
          <cell r="C655">
            <v>0.36109999999999998</v>
          </cell>
          <cell r="D655">
            <v>0</v>
          </cell>
        </row>
        <row r="656">
          <cell r="A656" t="str">
            <v>A1FSBCOCIV1090</v>
          </cell>
          <cell r="B656" t="str">
            <v>Not Started</v>
          </cell>
          <cell r="C656">
            <v>0</v>
          </cell>
          <cell r="D656">
            <v>0</v>
          </cell>
        </row>
        <row r="657">
          <cell r="A657" t="str">
            <v>A1FSBCOCIV1100</v>
          </cell>
          <cell r="B657" t="str">
            <v>Not Started</v>
          </cell>
          <cell r="C657">
            <v>0</v>
          </cell>
          <cell r="D657">
            <v>0</v>
          </cell>
        </row>
        <row r="658">
          <cell r="A658" t="str">
            <v>A1FSBCOCIV1110</v>
          </cell>
          <cell r="B658" t="str">
            <v>Not Started</v>
          </cell>
          <cell r="C658">
            <v>0</v>
          </cell>
          <cell r="D658">
            <v>0</v>
          </cell>
        </row>
        <row r="659">
          <cell r="A659" t="str">
            <v>A1FSBCOCIV1120</v>
          </cell>
          <cell r="B659" t="str">
            <v>Not Started</v>
          </cell>
          <cell r="C659">
            <v>0</v>
          </cell>
          <cell r="D659">
            <v>0</v>
          </cell>
        </row>
        <row r="660">
          <cell r="A660" t="str">
            <v>A1FSBCOCIV1130</v>
          </cell>
          <cell r="B660" t="str">
            <v>Not Started</v>
          </cell>
          <cell r="C660">
            <v>0</v>
          </cell>
          <cell r="D660">
            <v>0</v>
          </cell>
        </row>
        <row r="661">
          <cell r="A661" t="str">
            <v>A1FSBCOCIV1140</v>
          </cell>
          <cell r="B661" t="str">
            <v>Not Started</v>
          </cell>
          <cell r="C661">
            <v>0</v>
          </cell>
          <cell r="D661">
            <v>0</v>
          </cell>
        </row>
        <row r="662">
          <cell r="A662" t="str">
            <v>A1FSBCOCIV1150</v>
          </cell>
          <cell r="B662" t="str">
            <v>Not Started</v>
          </cell>
          <cell r="C662">
            <v>0</v>
          </cell>
          <cell r="D662">
            <v>0</v>
          </cell>
        </row>
        <row r="663">
          <cell r="A663" t="str">
            <v>A1FSBCOCIV1160</v>
          </cell>
          <cell r="B663" t="str">
            <v>Not Started</v>
          </cell>
          <cell r="C663">
            <v>0</v>
          </cell>
          <cell r="D663">
            <v>0</v>
          </cell>
        </row>
        <row r="664">
          <cell r="A664" t="str">
            <v>A1FSBCOCIV1170</v>
          </cell>
          <cell r="B664" t="str">
            <v>Not Started</v>
          </cell>
          <cell r="C664">
            <v>0</v>
          </cell>
          <cell r="D664">
            <v>0</v>
          </cell>
        </row>
        <row r="665">
          <cell r="A665" t="str">
            <v>A1FSBCOCIV1180</v>
          </cell>
          <cell r="B665" t="str">
            <v>Not Started</v>
          </cell>
          <cell r="C665">
            <v>0</v>
          </cell>
          <cell r="D665">
            <v>0</v>
          </cell>
        </row>
        <row r="666">
          <cell r="A666" t="str">
            <v>A1FSBCOCIV1190</v>
          </cell>
          <cell r="B666" t="str">
            <v>Not Started</v>
          </cell>
          <cell r="C666">
            <v>0</v>
          </cell>
          <cell r="D666">
            <v>0</v>
          </cell>
        </row>
        <row r="667">
          <cell r="A667" t="str">
            <v>A1FSBCOCIV1200</v>
          </cell>
          <cell r="B667" t="str">
            <v>Not Started</v>
          </cell>
          <cell r="C667">
            <v>0</v>
          </cell>
          <cell r="D667">
            <v>0</v>
          </cell>
        </row>
        <row r="668">
          <cell r="A668" t="str">
            <v>A1FSBCOCIV1210</v>
          </cell>
          <cell r="B668" t="str">
            <v>Not Started</v>
          </cell>
          <cell r="C668">
            <v>0</v>
          </cell>
          <cell r="D668">
            <v>0</v>
          </cell>
        </row>
        <row r="669">
          <cell r="A669" t="str">
            <v>A1FSBCOCIV1220</v>
          </cell>
          <cell r="B669" t="str">
            <v>Not Started</v>
          </cell>
          <cell r="C669">
            <v>0</v>
          </cell>
          <cell r="D669">
            <v>0</v>
          </cell>
        </row>
        <row r="670">
          <cell r="A670" t="str">
            <v>A1FSBCOCIV1230</v>
          </cell>
          <cell r="B670" t="str">
            <v>Not Started</v>
          </cell>
          <cell r="C670">
            <v>0</v>
          </cell>
          <cell r="D670">
            <v>0</v>
          </cell>
        </row>
        <row r="671">
          <cell r="A671" t="str">
            <v>A1FSBCOCIV1240</v>
          </cell>
          <cell r="B671" t="str">
            <v>Not Started</v>
          </cell>
          <cell r="C671">
            <v>0</v>
          </cell>
          <cell r="D671">
            <v>0</v>
          </cell>
        </row>
        <row r="672">
          <cell r="A672" t="str">
            <v>A1FSBCOCIV1250</v>
          </cell>
          <cell r="B672" t="str">
            <v>Not Started</v>
          </cell>
          <cell r="C672">
            <v>0</v>
          </cell>
          <cell r="D672">
            <v>0</v>
          </cell>
        </row>
        <row r="673">
          <cell r="A673" t="str">
            <v>A1FSBCOCIV1260</v>
          </cell>
          <cell r="B673" t="str">
            <v>Not Started</v>
          </cell>
          <cell r="C673">
            <v>0</v>
          </cell>
          <cell r="D673">
            <v>0</v>
          </cell>
        </row>
        <row r="674">
          <cell r="A674" t="str">
            <v>A1FSBCOCIV1270</v>
          </cell>
          <cell r="B674" t="str">
            <v>Not Started</v>
          </cell>
          <cell r="C674">
            <v>0</v>
          </cell>
          <cell r="D674">
            <v>0</v>
          </cell>
        </row>
        <row r="675">
          <cell r="A675" t="str">
            <v>A1FSBCOCIV1280</v>
          </cell>
          <cell r="B675" t="str">
            <v>Not Started</v>
          </cell>
          <cell r="C675">
            <v>0</v>
          </cell>
          <cell r="D675">
            <v>0</v>
          </cell>
        </row>
        <row r="676">
          <cell r="A676" t="str">
            <v>A1FSBCOCIV1290</v>
          </cell>
          <cell r="B676" t="str">
            <v>Not Started</v>
          </cell>
          <cell r="C676">
            <v>0</v>
          </cell>
          <cell r="D676">
            <v>0</v>
          </cell>
        </row>
        <row r="677">
          <cell r="A677" t="str">
            <v>A1FSBCOCIV1300</v>
          </cell>
          <cell r="B677" t="str">
            <v>Not Started</v>
          </cell>
          <cell r="C677">
            <v>0</v>
          </cell>
          <cell r="D677">
            <v>0</v>
          </cell>
        </row>
        <row r="678">
          <cell r="A678" t="str">
            <v>A1FSBCOCIV1310</v>
          </cell>
          <cell r="B678" t="str">
            <v>Not Started</v>
          </cell>
          <cell r="C678">
            <v>0</v>
          </cell>
          <cell r="D678">
            <v>0</v>
          </cell>
        </row>
        <row r="679">
          <cell r="A679" t="str">
            <v>A1FSBCOCIV1320</v>
          </cell>
          <cell r="B679" t="str">
            <v>Not Started</v>
          </cell>
          <cell r="C679">
            <v>0</v>
          </cell>
          <cell r="D679">
            <v>0</v>
          </cell>
        </row>
        <row r="680">
          <cell r="A680" t="str">
            <v>A1FSBCOCIV1330</v>
          </cell>
          <cell r="B680" t="str">
            <v>Not Started</v>
          </cell>
          <cell r="C680">
            <v>0</v>
          </cell>
          <cell r="D680">
            <v>0</v>
          </cell>
        </row>
        <row r="681">
          <cell r="A681" t="str">
            <v>A1FSBCOCIV1340</v>
          </cell>
          <cell r="B681" t="str">
            <v>Not Started</v>
          </cell>
          <cell r="C681">
            <v>0</v>
          </cell>
          <cell r="D681">
            <v>0</v>
          </cell>
        </row>
        <row r="682">
          <cell r="A682" t="str">
            <v>A1FSBCOCIV1350</v>
          </cell>
          <cell r="B682" t="str">
            <v>Not Started</v>
          </cell>
          <cell r="C682">
            <v>0</v>
          </cell>
          <cell r="D682">
            <v>0</v>
          </cell>
        </row>
        <row r="683">
          <cell r="A683" t="str">
            <v>A1FSBCOCIV1360</v>
          </cell>
          <cell r="B683" t="str">
            <v>Not Started</v>
          </cell>
          <cell r="C683">
            <v>0</v>
          </cell>
          <cell r="D683">
            <v>0</v>
          </cell>
        </row>
        <row r="684">
          <cell r="A684" t="str">
            <v>A1FSBCOCIV1370</v>
          </cell>
          <cell r="B684" t="str">
            <v>Not Started</v>
          </cell>
          <cell r="C684">
            <v>0</v>
          </cell>
          <cell r="D684">
            <v>0</v>
          </cell>
        </row>
        <row r="685">
          <cell r="A685" t="str">
            <v>A1FSBCOCIV1380</v>
          </cell>
          <cell r="B685" t="str">
            <v>Not Started</v>
          </cell>
          <cell r="C685">
            <v>0</v>
          </cell>
          <cell r="D685">
            <v>0</v>
          </cell>
        </row>
        <row r="686">
          <cell r="A686" t="str">
            <v>A1FSBCOCIV1390</v>
          </cell>
          <cell r="B686" t="str">
            <v>Not Started</v>
          </cell>
          <cell r="C686">
            <v>0</v>
          </cell>
          <cell r="D686">
            <v>0</v>
          </cell>
        </row>
        <row r="687">
          <cell r="A687" t="str">
            <v>A1FSBCOCIV1400</v>
          </cell>
          <cell r="B687" t="str">
            <v>Not Started</v>
          </cell>
          <cell r="C687">
            <v>0</v>
          </cell>
          <cell r="D687">
            <v>0</v>
          </cell>
        </row>
        <row r="688">
          <cell r="A688" t="str">
            <v>A1FSBCOCIV1410</v>
          </cell>
          <cell r="B688" t="str">
            <v>Not Started</v>
          </cell>
          <cell r="C688">
            <v>0</v>
          </cell>
          <cell r="D688">
            <v>0</v>
          </cell>
        </row>
        <row r="689">
          <cell r="A689" t="str">
            <v>A1FSBCOCIV1420</v>
          </cell>
          <cell r="B689" t="str">
            <v>Not Started</v>
          </cell>
          <cell r="C689">
            <v>0</v>
          </cell>
          <cell r="D689">
            <v>0</v>
          </cell>
        </row>
        <row r="690">
          <cell r="A690" t="str">
            <v>A1FSBCOCIV1430</v>
          </cell>
          <cell r="B690" t="str">
            <v>Completed</v>
          </cell>
          <cell r="C690">
            <v>1</v>
          </cell>
          <cell r="D690">
            <v>1</v>
          </cell>
        </row>
        <row r="691">
          <cell r="A691" t="str">
            <v>A1FSBCOCIV1440</v>
          </cell>
          <cell r="B691" t="str">
            <v>In Progress</v>
          </cell>
          <cell r="C691">
            <v>1</v>
          </cell>
          <cell r="D691">
            <v>0.9</v>
          </cell>
        </row>
        <row r="692">
          <cell r="A692" t="str">
            <v>A1FSBCOCIV1450</v>
          </cell>
          <cell r="B692" t="str">
            <v>Not Started</v>
          </cell>
          <cell r="C692">
            <v>0.36109999999999998</v>
          </cell>
          <cell r="D692">
            <v>0</v>
          </cell>
        </row>
        <row r="693">
          <cell r="A693" t="str">
            <v>A1FSBCOCIV1460</v>
          </cell>
          <cell r="B693" t="str">
            <v>Not Started</v>
          </cell>
          <cell r="C693">
            <v>0</v>
          </cell>
          <cell r="D693">
            <v>0</v>
          </cell>
        </row>
        <row r="694">
          <cell r="A694" t="str">
            <v>A1FSBCOCIV1470</v>
          </cell>
          <cell r="B694" t="str">
            <v>Not Started</v>
          </cell>
          <cell r="C694">
            <v>0</v>
          </cell>
          <cell r="D694">
            <v>0</v>
          </cell>
        </row>
        <row r="695">
          <cell r="A695" t="str">
            <v>A1FSBCOCIV2090</v>
          </cell>
          <cell r="B695" t="str">
            <v>Not Started</v>
          </cell>
          <cell r="C695">
            <v>0</v>
          </cell>
          <cell r="D695">
            <v>0</v>
          </cell>
        </row>
        <row r="696">
          <cell r="A696" t="str">
            <v>A1FSBCOCIV2100</v>
          </cell>
          <cell r="B696" t="str">
            <v>Not Started</v>
          </cell>
          <cell r="C696">
            <v>0</v>
          </cell>
          <cell r="D696">
            <v>0</v>
          </cell>
        </row>
        <row r="697">
          <cell r="A697" t="str">
            <v>A1FSBCOCIV2110</v>
          </cell>
          <cell r="B697" t="str">
            <v>Not Started</v>
          </cell>
          <cell r="C697">
            <v>0</v>
          </cell>
          <cell r="D697">
            <v>0</v>
          </cell>
        </row>
        <row r="698">
          <cell r="A698" t="str">
            <v>A1FSBCOCIV2120</v>
          </cell>
          <cell r="B698" t="str">
            <v>Not Started</v>
          </cell>
          <cell r="C698">
            <v>0</v>
          </cell>
          <cell r="D698">
            <v>0</v>
          </cell>
        </row>
        <row r="699">
          <cell r="A699" t="str">
            <v>A1FSBCOCIV2130</v>
          </cell>
          <cell r="B699" t="str">
            <v>Not Started</v>
          </cell>
          <cell r="C699">
            <v>0</v>
          </cell>
          <cell r="D699">
            <v>0</v>
          </cell>
        </row>
        <row r="700">
          <cell r="A700" t="str">
            <v>A1FSBCOCIV2140</v>
          </cell>
          <cell r="B700" t="str">
            <v>Not Started</v>
          </cell>
          <cell r="C700">
            <v>0</v>
          </cell>
          <cell r="D700">
            <v>0</v>
          </cell>
        </row>
        <row r="701">
          <cell r="A701" t="str">
            <v>A1FSBCOCIV2150</v>
          </cell>
          <cell r="B701" t="str">
            <v>Not Started</v>
          </cell>
          <cell r="C701">
            <v>0</v>
          </cell>
          <cell r="D701">
            <v>0</v>
          </cell>
        </row>
        <row r="702">
          <cell r="A702" t="str">
            <v>A1FSBCOCIV2160</v>
          </cell>
          <cell r="B702" t="str">
            <v>Not Started</v>
          </cell>
          <cell r="C702">
            <v>0</v>
          </cell>
          <cell r="D702">
            <v>0</v>
          </cell>
        </row>
        <row r="703">
          <cell r="A703" t="str">
            <v>A1FSBCOCOM1000</v>
          </cell>
          <cell r="B703" t="str">
            <v>Not Started</v>
          </cell>
          <cell r="C703">
            <v>0</v>
          </cell>
          <cell r="D703">
            <v>0</v>
          </cell>
        </row>
        <row r="704">
          <cell r="A704" t="str">
            <v>A1FSBCOCOM1010</v>
          </cell>
          <cell r="B704" t="str">
            <v>Not Started</v>
          </cell>
          <cell r="C704">
            <v>0</v>
          </cell>
          <cell r="D704">
            <v>0</v>
          </cell>
        </row>
        <row r="705">
          <cell r="A705" t="str">
            <v>A1FSBCOCOM1020</v>
          </cell>
          <cell r="B705" t="str">
            <v>Not Started</v>
          </cell>
          <cell r="C705">
            <v>0</v>
          </cell>
          <cell r="D705">
            <v>0</v>
          </cell>
        </row>
        <row r="706">
          <cell r="A706" t="str">
            <v>A1FSBCOCOM1030</v>
          </cell>
          <cell r="B706" t="str">
            <v>Not Started</v>
          </cell>
          <cell r="C706">
            <v>0</v>
          </cell>
          <cell r="D706">
            <v>0</v>
          </cell>
        </row>
        <row r="707">
          <cell r="A707" t="str">
            <v>A1FSBCOCOM1040</v>
          </cell>
          <cell r="B707" t="str">
            <v>Not Started</v>
          </cell>
          <cell r="C707">
            <v>0</v>
          </cell>
          <cell r="D707">
            <v>0</v>
          </cell>
        </row>
        <row r="708">
          <cell r="A708" t="str">
            <v>A1FSBCOCOM1050</v>
          </cell>
          <cell r="B708" t="str">
            <v>Not Started</v>
          </cell>
          <cell r="C708">
            <v>0</v>
          </cell>
          <cell r="D708">
            <v>0</v>
          </cell>
        </row>
        <row r="709">
          <cell r="A709" t="str">
            <v>A1FSBCOEAR1000</v>
          </cell>
          <cell r="B709" t="str">
            <v>Completed</v>
          </cell>
          <cell r="C709">
            <v>1</v>
          </cell>
          <cell r="D709">
            <v>1</v>
          </cell>
        </row>
        <row r="710">
          <cell r="A710" t="str">
            <v>A1FSBCOEAR1010</v>
          </cell>
          <cell r="B710" t="str">
            <v>Completed</v>
          </cell>
          <cell r="C710">
            <v>1</v>
          </cell>
          <cell r="D710">
            <v>1</v>
          </cell>
        </row>
        <row r="711">
          <cell r="A711" t="str">
            <v>A1FSBCOEAR1020</v>
          </cell>
          <cell r="B711" t="str">
            <v>Completed</v>
          </cell>
          <cell r="C711">
            <v>1</v>
          </cell>
          <cell r="D711">
            <v>1</v>
          </cell>
        </row>
        <row r="712">
          <cell r="A712" t="str">
            <v>A1FSBCOEAR1030</v>
          </cell>
          <cell r="B712" t="str">
            <v>Not Started</v>
          </cell>
          <cell r="C712">
            <v>1</v>
          </cell>
          <cell r="D712">
            <v>0</v>
          </cell>
        </row>
        <row r="713">
          <cell r="A713" t="str">
            <v>A1FSBCOEAR1040</v>
          </cell>
          <cell r="B713" t="str">
            <v>Not Started</v>
          </cell>
          <cell r="C713">
            <v>0</v>
          </cell>
          <cell r="D713">
            <v>0</v>
          </cell>
        </row>
        <row r="714">
          <cell r="A714" t="str">
            <v>A1FSBCOEAR1050</v>
          </cell>
          <cell r="B714" t="str">
            <v>Not Started</v>
          </cell>
          <cell r="C714">
            <v>0</v>
          </cell>
          <cell r="D714">
            <v>0</v>
          </cell>
        </row>
        <row r="715">
          <cell r="A715" t="str">
            <v>A1FSBCOEAR1060</v>
          </cell>
          <cell r="B715" t="str">
            <v>Not Started</v>
          </cell>
          <cell r="C715">
            <v>0</v>
          </cell>
          <cell r="D715">
            <v>0</v>
          </cell>
        </row>
        <row r="716">
          <cell r="A716" t="str">
            <v>A1FSBCOEAR1070</v>
          </cell>
          <cell r="B716" t="str">
            <v>Not Started</v>
          </cell>
          <cell r="C716">
            <v>0</v>
          </cell>
          <cell r="D716">
            <v>0</v>
          </cell>
        </row>
        <row r="717">
          <cell r="A717" t="str">
            <v>A1FSBCOEAR1080</v>
          </cell>
          <cell r="B717" t="str">
            <v>Not Started</v>
          </cell>
          <cell r="C717">
            <v>0</v>
          </cell>
          <cell r="D717">
            <v>0</v>
          </cell>
        </row>
        <row r="718">
          <cell r="A718" t="str">
            <v>A1FSBCOEAR1090</v>
          </cell>
          <cell r="B718" t="str">
            <v>Not Started</v>
          </cell>
          <cell r="C718">
            <v>0</v>
          </cell>
          <cell r="D718">
            <v>0</v>
          </cell>
        </row>
        <row r="719">
          <cell r="A719" t="str">
            <v>A1FSBCOEAR1100</v>
          </cell>
          <cell r="B719" t="str">
            <v>Completed</v>
          </cell>
          <cell r="C719">
            <v>1</v>
          </cell>
          <cell r="D719">
            <v>1</v>
          </cell>
        </row>
        <row r="720">
          <cell r="A720" t="str">
            <v>A1FSBCOEAR1110</v>
          </cell>
          <cell r="B720" t="str">
            <v>Completed</v>
          </cell>
          <cell r="C720">
            <v>1</v>
          </cell>
          <cell r="D720">
            <v>1</v>
          </cell>
        </row>
        <row r="721">
          <cell r="A721" t="str">
            <v>A1FSBCOELE1000</v>
          </cell>
          <cell r="B721" t="str">
            <v>Not Started</v>
          </cell>
          <cell r="C721">
            <v>0</v>
          </cell>
          <cell r="D721">
            <v>0</v>
          </cell>
        </row>
        <row r="722">
          <cell r="A722" t="str">
            <v>A1FSBCOELE1010</v>
          </cell>
          <cell r="B722" t="str">
            <v>Not Started</v>
          </cell>
          <cell r="C722">
            <v>0</v>
          </cell>
          <cell r="D722">
            <v>0</v>
          </cell>
        </row>
        <row r="723">
          <cell r="A723" t="str">
            <v>A1FSBCOELE1020</v>
          </cell>
          <cell r="B723" t="str">
            <v>Not Started</v>
          </cell>
          <cell r="C723">
            <v>0</v>
          </cell>
          <cell r="D723">
            <v>0</v>
          </cell>
        </row>
        <row r="724">
          <cell r="A724" t="str">
            <v>A1FSBCOELE1030</v>
          </cell>
          <cell r="B724" t="str">
            <v>Not Started</v>
          </cell>
          <cell r="C724">
            <v>0</v>
          </cell>
          <cell r="D724">
            <v>0</v>
          </cell>
        </row>
        <row r="725">
          <cell r="A725" t="str">
            <v>A1FSBCOELE1040</v>
          </cell>
          <cell r="B725" t="str">
            <v>Not Started</v>
          </cell>
          <cell r="C725">
            <v>0</v>
          </cell>
          <cell r="D725">
            <v>0</v>
          </cell>
        </row>
        <row r="726">
          <cell r="A726" t="str">
            <v>A1FSBCOELE1050</v>
          </cell>
          <cell r="B726" t="str">
            <v>Not Started</v>
          </cell>
          <cell r="C726">
            <v>0</v>
          </cell>
          <cell r="D726">
            <v>0</v>
          </cell>
        </row>
        <row r="727">
          <cell r="A727" t="str">
            <v>A1FSBCOELE1060</v>
          </cell>
          <cell r="B727" t="str">
            <v>Not Started</v>
          </cell>
          <cell r="C727">
            <v>0</v>
          </cell>
          <cell r="D727">
            <v>0</v>
          </cell>
        </row>
        <row r="728">
          <cell r="A728" t="str">
            <v>A1FSBCOELE1070</v>
          </cell>
          <cell r="B728" t="str">
            <v>Not Started</v>
          </cell>
          <cell r="C728">
            <v>0</v>
          </cell>
          <cell r="D728">
            <v>0</v>
          </cell>
        </row>
        <row r="729">
          <cell r="A729" t="str">
            <v>A1FSBCOELE1080</v>
          </cell>
          <cell r="B729" t="str">
            <v>Not Started</v>
          </cell>
          <cell r="C729">
            <v>0</v>
          </cell>
          <cell r="D729">
            <v>0</v>
          </cell>
        </row>
        <row r="730">
          <cell r="A730" t="str">
            <v>A1FSBCOELE1090</v>
          </cell>
          <cell r="B730" t="str">
            <v>Not Started</v>
          </cell>
          <cell r="C730">
            <v>0</v>
          </cell>
          <cell r="D730">
            <v>0</v>
          </cell>
        </row>
        <row r="731">
          <cell r="A731" t="str">
            <v>A1FSBCOELE1100</v>
          </cell>
          <cell r="B731" t="str">
            <v>Not Started</v>
          </cell>
          <cell r="C731">
            <v>0</v>
          </cell>
          <cell r="D731">
            <v>0</v>
          </cell>
        </row>
        <row r="732">
          <cell r="A732" t="str">
            <v>A1FSBCOELE1110</v>
          </cell>
          <cell r="B732" t="str">
            <v>Not Started</v>
          </cell>
          <cell r="C732">
            <v>0</v>
          </cell>
          <cell r="D732">
            <v>0</v>
          </cell>
        </row>
        <row r="733">
          <cell r="A733" t="str">
            <v>A1FSBCOELE2111</v>
          </cell>
          <cell r="B733" t="str">
            <v>Not Started</v>
          </cell>
          <cell r="C733">
            <v>0</v>
          </cell>
          <cell r="D733">
            <v>0</v>
          </cell>
        </row>
        <row r="734">
          <cell r="A734" t="str">
            <v>A1FSBCOELE2112</v>
          </cell>
          <cell r="B734" t="str">
            <v>Not Started</v>
          </cell>
          <cell r="C734">
            <v>0</v>
          </cell>
          <cell r="D734">
            <v>0</v>
          </cell>
        </row>
        <row r="735">
          <cell r="A735" t="str">
            <v>A1FSBCOELE2113</v>
          </cell>
          <cell r="B735" t="str">
            <v>Not Started</v>
          </cell>
          <cell r="C735">
            <v>0</v>
          </cell>
          <cell r="D735">
            <v>0</v>
          </cell>
        </row>
        <row r="736">
          <cell r="A736" t="str">
            <v>A1FSBCOINS1000</v>
          </cell>
          <cell r="B736" t="str">
            <v>Not Started</v>
          </cell>
          <cell r="C736">
            <v>0</v>
          </cell>
          <cell r="D736">
            <v>0</v>
          </cell>
        </row>
        <row r="737">
          <cell r="A737" t="str">
            <v>A1FSBCOINS1010</v>
          </cell>
          <cell r="B737" t="str">
            <v>Not Started</v>
          </cell>
          <cell r="C737">
            <v>0</v>
          </cell>
          <cell r="D737">
            <v>0</v>
          </cell>
        </row>
        <row r="738">
          <cell r="A738" t="str">
            <v>A1FSBCOINS1020</v>
          </cell>
          <cell r="B738" t="str">
            <v>Not Started</v>
          </cell>
          <cell r="C738">
            <v>0</v>
          </cell>
          <cell r="D738">
            <v>0</v>
          </cell>
        </row>
        <row r="739">
          <cell r="A739" t="str">
            <v>A1FSBCOINS1031</v>
          </cell>
          <cell r="B739" t="str">
            <v>Not Started</v>
          </cell>
          <cell r="C739">
            <v>0</v>
          </cell>
          <cell r="D739">
            <v>0</v>
          </cell>
        </row>
        <row r="740">
          <cell r="A740" t="str">
            <v>A1FSBCOINS1041</v>
          </cell>
          <cell r="B740" t="str">
            <v>Not Started</v>
          </cell>
          <cell r="C740">
            <v>0</v>
          </cell>
          <cell r="D740">
            <v>0</v>
          </cell>
        </row>
        <row r="741">
          <cell r="A741" t="str">
            <v>A1FSBCOINS1051</v>
          </cell>
          <cell r="B741" t="str">
            <v>Not Started</v>
          </cell>
          <cell r="C741">
            <v>0</v>
          </cell>
          <cell r="D741">
            <v>0</v>
          </cell>
        </row>
        <row r="742">
          <cell r="A742" t="str">
            <v>A1FSBCOLAN1000</v>
          </cell>
          <cell r="B742" t="str">
            <v>Not Started</v>
          </cell>
          <cell r="C742">
            <v>0</v>
          </cell>
          <cell r="D742">
            <v>0</v>
          </cell>
        </row>
        <row r="743">
          <cell r="A743" t="str">
            <v>A1FSBCOLAN1010</v>
          </cell>
          <cell r="B743" t="str">
            <v>Not Started</v>
          </cell>
          <cell r="C743">
            <v>0</v>
          </cell>
          <cell r="D743">
            <v>0</v>
          </cell>
        </row>
        <row r="744">
          <cell r="A744" t="str">
            <v>A1FSBCOLAN1020</v>
          </cell>
          <cell r="B744" t="str">
            <v>Not Started</v>
          </cell>
          <cell r="C744">
            <v>0</v>
          </cell>
          <cell r="D744">
            <v>0</v>
          </cell>
        </row>
        <row r="745">
          <cell r="A745" t="str">
            <v>A1FSBCOLAN1030</v>
          </cell>
          <cell r="B745" t="str">
            <v>Not Started</v>
          </cell>
          <cell r="C745">
            <v>0</v>
          </cell>
          <cell r="D745">
            <v>0</v>
          </cell>
        </row>
        <row r="746">
          <cell r="A746" t="str">
            <v>A1FSBCOLAN1040</v>
          </cell>
          <cell r="B746" t="str">
            <v>Not Started</v>
          </cell>
          <cell r="C746">
            <v>0</v>
          </cell>
          <cell r="D746">
            <v>0</v>
          </cell>
        </row>
        <row r="747">
          <cell r="A747" t="str">
            <v>A1FSBCOLAN1050</v>
          </cell>
          <cell r="B747" t="str">
            <v>Not Started</v>
          </cell>
          <cell r="C747">
            <v>0</v>
          </cell>
          <cell r="D747">
            <v>0</v>
          </cell>
        </row>
        <row r="748">
          <cell r="A748" t="str">
            <v>A1FSBCOLAN1060</v>
          </cell>
          <cell r="B748" t="str">
            <v>Not Started</v>
          </cell>
          <cell r="C748">
            <v>0</v>
          </cell>
          <cell r="D748">
            <v>0</v>
          </cell>
        </row>
        <row r="749">
          <cell r="A749" t="str">
            <v>A1FSBCOLAN1070</v>
          </cell>
          <cell r="B749" t="str">
            <v>Not Started</v>
          </cell>
          <cell r="C749">
            <v>0</v>
          </cell>
          <cell r="D749">
            <v>0</v>
          </cell>
        </row>
        <row r="750">
          <cell r="A750" t="str">
            <v>A1FSBCOLAN1080</v>
          </cell>
          <cell r="B750" t="str">
            <v>Not Started</v>
          </cell>
          <cell r="C750">
            <v>0</v>
          </cell>
          <cell r="D750">
            <v>0</v>
          </cell>
        </row>
        <row r="751">
          <cell r="A751" t="str">
            <v>A1FSBCOLAN1090</v>
          </cell>
          <cell r="B751" t="str">
            <v>Not Started</v>
          </cell>
          <cell r="C751">
            <v>0</v>
          </cell>
          <cell r="D751">
            <v>0</v>
          </cell>
        </row>
        <row r="752">
          <cell r="A752" t="str">
            <v>A1FSBCOLAN1100</v>
          </cell>
          <cell r="B752" t="str">
            <v>Not Started</v>
          </cell>
          <cell r="C752">
            <v>0</v>
          </cell>
          <cell r="D752">
            <v>0</v>
          </cell>
        </row>
        <row r="753">
          <cell r="A753" t="str">
            <v>A1FSBCOLAN1110</v>
          </cell>
          <cell r="B753" t="str">
            <v>Not Started</v>
          </cell>
          <cell r="C753">
            <v>0</v>
          </cell>
          <cell r="D753">
            <v>0</v>
          </cell>
        </row>
        <row r="754">
          <cell r="A754" t="str">
            <v>A1FSBCOMEC1000</v>
          </cell>
          <cell r="B754" t="str">
            <v>Not Started</v>
          </cell>
          <cell r="C754">
            <v>0.32500000000000001</v>
          </cell>
          <cell r="D754">
            <v>0</v>
          </cell>
        </row>
        <row r="755">
          <cell r="A755" t="str">
            <v>A1FSBCOMEC1010</v>
          </cell>
          <cell r="B755" t="str">
            <v>Not Started</v>
          </cell>
          <cell r="C755">
            <v>0.32500000000000001</v>
          </cell>
          <cell r="D755">
            <v>0</v>
          </cell>
        </row>
        <row r="756">
          <cell r="A756" t="str">
            <v>A1FSBCOMEC1020</v>
          </cell>
          <cell r="B756" t="str">
            <v>Not Started</v>
          </cell>
          <cell r="C756">
            <v>0</v>
          </cell>
          <cell r="D756">
            <v>0</v>
          </cell>
        </row>
        <row r="757">
          <cell r="A757" t="str">
            <v>A1FSBCOMEC1030</v>
          </cell>
          <cell r="B757" t="str">
            <v>Not Started</v>
          </cell>
          <cell r="C757">
            <v>0</v>
          </cell>
          <cell r="D757">
            <v>0</v>
          </cell>
        </row>
        <row r="758">
          <cell r="A758" t="str">
            <v>A1FSBCOMEC1040</v>
          </cell>
          <cell r="B758" t="str">
            <v>Not Started</v>
          </cell>
          <cell r="C758">
            <v>0</v>
          </cell>
          <cell r="D758">
            <v>0</v>
          </cell>
        </row>
        <row r="759">
          <cell r="A759" t="str">
            <v>A1FSBCOMEC1050</v>
          </cell>
          <cell r="B759" t="str">
            <v>Not Started</v>
          </cell>
          <cell r="C759">
            <v>0</v>
          </cell>
          <cell r="D759">
            <v>0</v>
          </cell>
        </row>
        <row r="760">
          <cell r="A760" t="str">
            <v>A1FSBCOMEC1060</v>
          </cell>
          <cell r="B760" t="str">
            <v>Not Started</v>
          </cell>
          <cell r="C760">
            <v>0</v>
          </cell>
          <cell r="D760">
            <v>0</v>
          </cell>
        </row>
        <row r="761">
          <cell r="A761" t="str">
            <v>A1FSBCOMEC1070</v>
          </cell>
          <cell r="B761" t="str">
            <v>Not Started</v>
          </cell>
          <cell r="C761">
            <v>0</v>
          </cell>
          <cell r="D761">
            <v>0</v>
          </cell>
        </row>
        <row r="762">
          <cell r="A762" t="str">
            <v>A1FSBCOMEC1080</v>
          </cell>
          <cell r="B762" t="str">
            <v>Not Started</v>
          </cell>
          <cell r="C762">
            <v>0</v>
          </cell>
          <cell r="D762">
            <v>0</v>
          </cell>
        </row>
        <row r="763">
          <cell r="A763" t="str">
            <v>A1FSBCOMEC1090</v>
          </cell>
          <cell r="B763" t="str">
            <v>Not Started</v>
          </cell>
          <cell r="C763">
            <v>0</v>
          </cell>
          <cell r="D763">
            <v>0</v>
          </cell>
        </row>
        <row r="764">
          <cell r="A764" t="str">
            <v>A1FSBCOMEC1100</v>
          </cell>
          <cell r="B764" t="str">
            <v>Not Started</v>
          </cell>
          <cell r="C764">
            <v>0</v>
          </cell>
          <cell r="D764">
            <v>0</v>
          </cell>
        </row>
        <row r="765">
          <cell r="A765" t="str">
            <v>A1FSBCOMEC1110</v>
          </cell>
          <cell r="B765" t="str">
            <v>Not Started</v>
          </cell>
          <cell r="C765">
            <v>0</v>
          </cell>
          <cell r="D765">
            <v>0</v>
          </cell>
        </row>
        <row r="766">
          <cell r="A766" t="str">
            <v>A1FSBCOMEC1120</v>
          </cell>
          <cell r="B766" t="str">
            <v>Not Started</v>
          </cell>
          <cell r="C766">
            <v>0</v>
          </cell>
          <cell r="D766">
            <v>0</v>
          </cell>
        </row>
        <row r="767">
          <cell r="A767" t="str">
            <v>A1FSBCOMEC1130</v>
          </cell>
          <cell r="B767" t="str">
            <v>Not Started</v>
          </cell>
          <cell r="C767">
            <v>0</v>
          </cell>
          <cell r="D767">
            <v>0</v>
          </cell>
        </row>
        <row r="768">
          <cell r="A768" t="str">
            <v>A1FSBCOMEC1140</v>
          </cell>
          <cell r="B768" t="str">
            <v>Not Started</v>
          </cell>
          <cell r="C768">
            <v>0</v>
          </cell>
          <cell r="D768">
            <v>0</v>
          </cell>
        </row>
        <row r="769">
          <cell r="A769" t="str">
            <v>A1FSBCOMEC1150</v>
          </cell>
          <cell r="B769" t="str">
            <v>Not Started</v>
          </cell>
          <cell r="C769">
            <v>0</v>
          </cell>
          <cell r="D769">
            <v>0</v>
          </cell>
        </row>
        <row r="770">
          <cell r="A770" t="str">
            <v>A1FSBCOMEC1160</v>
          </cell>
          <cell r="B770" t="str">
            <v>Not Started</v>
          </cell>
          <cell r="C770">
            <v>0</v>
          </cell>
          <cell r="D770">
            <v>0</v>
          </cell>
        </row>
        <row r="771">
          <cell r="A771" t="str">
            <v>A1FSBCOMEC1170</v>
          </cell>
          <cell r="B771" t="str">
            <v>Not Started</v>
          </cell>
          <cell r="C771">
            <v>0</v>
          </cell>
          <cell r="D771">
            <v>0</v>
          </cell>
        </row>
        <row r="772">
          <cell r="A772" t="str">
            <v>A1FSBCOMEC1180</v>
          </cell>
          <cell r="B772" t="str">
            <v>Not Started</v>
          </cell>
          <cell r="C772">
            <v>0</v>
          </cell>
          <cell r="D772">
            <v>0</v>
          </cell>
        </row>
        <row r="773">
          <cell r="A773" t="str">
            <v>A1FSBCOMEC1190</v>
          </cell>
          <cell r="B773" t="str">
            <v>Not Started</v>
          </cell>
          <cell r="C773">
            <v>0</v>
          </cell>
          <cell r="D773">
            <v>0</v>
          </cell>
        </row>
        <row r="774">
          <cell r="A774" t="str">
            <v>A1FSBCOMEC1200</v>
          </cell>
          <cell r="B774" t="str">
            <v>Not Started</v>
          </cell>
          <cell r="C774">
            <v>0</v>
          </cell>
          <cell r="D774">
            <v>0</v>
          </cell>
        </row>
        <row r="775">
          <cell r="A775" t="str">
            <v>A1FSBCOMEC1210</v>
          </cell>
          <cell r="B775" t="str">
            <v>Not Started</v>
          </cell>
          <cell r="C775">
            <v>0</v>
          </cell>
          <cell r="D775">
            <v>0</v>
          </cell>
        </row>
        <row r="776">
          <cell r="A776" t="str">
            <v>A1FSBCOMEC1220</v>
          </cell>
          <cell r="B776" t="str">
            <v>Not Started</v>
          </cell>
          <cell r="C776">
            <v>0</v>
          </cell>
          <cell r="D776">
            <v>0</v>
          </cell>
        </row>
        <row r="777">
          <cell r="A777" t="str">
            <v>A1FSBCOMEC1230</v>
          </cell>
          <cell r="B777" t="str">
            <v>Not Started</v>
          </cell>
          <cell r="C777">
            <v>0</v>
          </cell>
          <cell r="D777">
            <v>0</v>
          </cell>
        </row>
        <row r="778">
          <cell r="A778" t="str">
            <v>A1FSBCOMEC1240</v>
          </cell>
          <cell r="B778" t="str">
            <v>Not Started</v>
          </cell>
          <cell r="C778">
            <v>0</v>
          </cell>
          <cell r="D778">
            <v>0</v>
          </cell>
        </row>
        <row r="779">
          <cell r="A779" t="str">
            <v>A1FSBCOMEC1250</v>
          </cell>
          <cell r="B779" t="str">
            <v>Not Started</v>
          </cell>
          <cell r="C779">
            <v>0</v>
          </cell>
          <cell r="D779">
            <v>0</v>
          </cell>
        </row>
        <row r="780">
          <cell r="A780" t="str">
            <v>A1FSBCOMEC1260</v>
          </cell>
          <cell r="B780" t="str">
            <v>Not Started</v>
          </cell>
          <cell r="C780">
            <v>0</v>
          </cell>
          <cell r="D780">
            <v>0</v>
          </cell>
        </row>
        <row r="781">
          <cell r="A781" t="str">
            <v>A1FSBCOMEC1270</v>
          </cell>
          <cell r="B781" t="str">
            <v>Not Started</v>
          </cell>
          <cell r="C781">
            <v>0</v>
          </cell>
          <cell r="D781">
            <v>0</v>
          </cell>
        </row>
        <row r="782">
          <cell r="A782" t="str">
            <v>A1FSBCOMEC1280</v>
          </cell>
          <cell r="B782" t="str">
            <v>Not Started</v>
          </cell>
          <cell r="C782">
            <v>0</v>
          </cell>
          <cell r="D782">
            <v>0</v>
          </cell>
        </row>
        <row r="783">
          <cell r="A783" t="str">
            <v>A1FSBCOMEC1290</v>
          </cell>
          <cell r="B783" t="str">
            <v>Not Started</v>
          </cell>
          <cell r="C783">
            <v>0</v>
          </cell>
          <cell r="D783">
            <v>0</v>
          </cell>
        </row>
        <row r="784">
          <cell r="A784" t="str">
            <v>A1FSBCOMEC1300</v>
          </cell>
          <cell r="B784" t="str">
            <v>Not Started</v>
          </cell>
          <cell r="C784">
            <v>0</v>
          </cell>
          <cell r="D784">
            <v>0</v>
          </cell>
        </row>
        <row r="785">
          <cell r="A785" t="str">
            <v>A1FSBCOMEC1310</v>
          </cell>
          <cell r="B785" t="str">
            <v>Not Started</v>
          </cell>
          <cell r="C785">
            <v>0</v>
          </cell>
          <cell r="D785">
            <v>0</v>
          </cell>
        </row>
        <row r="786">
          <cell r="A786" t="str">
            <v>A1FSBCOMEC1320</v>
          </cell>
          <cell r="B786" t="str">
            <v>Not Started</v>
          </cell>
          <cell r="C786">
            <v>0</v>
          </cell>
          <cell r="D786">
            <v>0</v>
          </cell>
        </row>
        <row r="787">
          <cell r="A787" t="str">
            <v>A1FSBCOMEC1330</v>
          </cell>
          <cell r="B787" t="str">
            <v>Not Started</v>
          </cell>
          <cell r="C787">
            <v>0</v>
          </cell>
          <cell r="D787">
            <v>0</v>
          </cell>
        </row>
        <row r="788">
          <cell r="A788" t="str">
            <v>A1FSBCOMEC1340</v>
          </cell>
          <cell r="B788" t="str">
            <v>Not Started</v>
          </cell>
          <cell r="C788">
            <v>0</v>
          </cell>
          <cell r="D788">
            <v>0</v>
          </cell>
        </row>
        <row r="789">
          <cell r="A789" t="str">
            <v>A1FSBCOMEC1350</v>
          </cell>
          <cell r="B789" t="str">
            <v>Not Started</v>
          </cell>
          <cell r="C789">
            <v>0</v>
          </cell>
          <cell r="D789">
            <v>0</v>
          </cell>
        </row>
        <row r="790">
          <cell r="A790" t="str">
            <v>A1FSBCOMEC1360</v>
          </cell>
          <cell r="B790" t="str">
            <v>Not Started</v>
          </cell>
          <cell r="C790">
            <v>0</v>
          </cell>
          <cell r="D790">
            <v>0</v>
          </cell>
        </row>
        <row r="791">
          <cell r="A791" t="str">
            <v>A1FSBCOMEC1370</v>
          </cell>
          <cell r="B791" t="str">
            <v>Not Started</v>
          </cell>
          <cell r="C791">
            <v>0</v>
          </cell>
          <cell r="D791">
            <v>0</v>
          </cell>
        </row>
        <row r="792">
          <cell r="A792" t="str">
            <v>A1FSBCOMEC1380</v>
          </cell>
          <cell r="B792" t="str">
            <v>Not Started</v>
          </cell>
          <cell r="C792">
            <v>0</v>
          </cell>
          <cell r="D792">
            <v>0</v>
          </cell>
        </row>
        <row r="793">
          <cell r="A793" t="str">
            <v>A1FSBCOMEC1390</v>
          </cell>
          <cell r="B793" t="str">
            <v>Not Started</v>
          </cell>
          <cell r="C793">
            <v>0</v>
          </cell>
          <cell r="D793">
            <v>0</v>
          </cell>
        </row>
        <row r="794">
          <cell r="A794" t="str">
            <v>A1FSBCOMEC1400</v>
          </cell>
          <cell r="B794" t="str">
            <v>Not Started</v>
          </cell>
          <cell r="C794">
            <v>0</v>
          </cell>
          <cell r="D794">
            <v>0</v>
          </cell>
        </row>
        <row r="795">
          <cell r="A795" t="str">
            <v>A1FSBCOMEC1410</v>
          </cell>
          <cell r="B795" t="str">
            <v>Not Started</v>
          </cell>
          <cell r="C795">
            <v>0</v>
          </cell>
          <cell r="D795">
            <v>0</v>
          </cell>
        </row>
        <row r="796">
          <cell r="A796" t="str">
            <v>A1FSBCOMEC1420</v>
          </cell>
          <cell r="B796" t="str">
            <v>Not Started</v>
          </cell>
          <cell r="C796">
            <v>0</v>
          </cell>
          <cell r="D796">
            <v>0</v>
          </cell>
        </row>
        <row r="797">
          <cell r="A797" t="str">
            <v>A1FSBCOMEC1430</v>
          </cell>
          <cell r="B797" t="str">
            <v>Not Started</v>
          </cell>
          <cell r="C797">
            <v>0</v>
          </cell>
          <cell r="D797">
            <v>0</v>
          </cell>
        </row>
        <row r="798">
          <cell r="A798" t="str">
            <v>A1FSBCOMEC1440</v>
          </cell>
          <cell r="B798" t="str">
            <v>Not Started</v>
          </cell>
          <cell r="C798">
            <v>0</v>
          </cell>
          <cell r="D798">
            <v>0</v>
          </cell>
        </row>
        <row r="799">
          <cell r="A799" t="str">
            <v>A1FSBCOMEC1450</v>
          </cell>
          <cell r="B799" t="str">
            <v>Not Started</v>
          </cell>
          <cell r="C799">
            <v>0</v>
          </cell>
          <cell r="D799">
            <v>0</v>
          </cell>
        </row>
        <row r="800">
          <cell r="A800" t="str">
            <v>A1FSBMC1000</v>
          </cell>
          <cell r="B800" t="str">
            <v>Not Started</v>
          </cell>
          <cell r="C800">
            <v>0</v>
          </cell>
          <cell r="D800">
            <v>0</v>
          </cell>
        </row>
        <row r="801">
          <cell r="A801" t="str">
            <v>A1FSBMC1010</v>
          </cell>
          <cell r="B801" t="str">
            <v>Not Started</v>
          </cell>
          <cell r="C801">
            <v>0</v>
          </cell>
          <cell r="D801">
            <v>0</v>
          </cell>
        </row>
        <row r="802">
          <cell r="A802" t="str">
            <v>A1FSBMC1020</v>
          </cell>
          <cell r="B802" t="str">
            <v>Not Started</v>
          </cell>
          <cell r="C802">
            <v>0</v>
          </cell>
          <cell r="D802">
            <v>0</v>
          </cell>
        </row>
        <row r="803">
          <cell r="A803" t="str">
            <v>A1FSBMC1030</v>
          </cell>
          <cell r="B803" t="str">
            <v>Not Started</v>
          </cell>
          <cell r="C803">
            <v>0</v>
          </cell>
          <cell r="D803">
            <v>0</v>
          </cell>
        </row>
        <row r="804">
          <cell r="A804" t="str">
            <v>A1FSBML1000</v>
          </cell>
          <cell r="B804" t="str">
            <v>Completed</v>
          </cell>
          <cell r="C804">
            <v>1</v>
          </cell>
          <cell r="D804">
            <v>1</v>
          </cell>
        </row>
        <row r="805">
          <cell r="A805" t="str">
            <v>A1FSBML1010</v>
          </cell>
          <cell r="B805" t="str">
            <v>Not Started</v>
          </cell>
          <cell r="C805">
            <v>0</v>
          </cell>
          <cell r="D805">
            <v>0</v>
          </cell>
        </row>
        <row r="806">
          <cell r="A806" t="str">
            <v>A1FSBML1020</v>
          </cell>
          <cell r="B806" t="str">
            <v>Not Started</v>
          </cell>
          <cell r="C806">
            <v>0</v>
          </cell>
          <cell r="D806">
            <v>0</v>
          </cell>
        </row>
        <row r="807">
          <cell r="A807" t="str">
            <v>A1FSBML1030</v>
          </cell>
          <cell r="B807" t="str">
            <v>Not Started</v>
          </cell>
          <cell r="C807">
            <v>0</v>
          </cell>
          <cell r="D807">
            <v>0</v>
          </cell>
        </row>
        <row r="808">
          <cell r="A808" t="str">
            <v>A1FSBML1040</v>
          </cell>
          <cell r="B808" t="str">
            <v>Not Started</v>
          </cell>
          <cell r="C808">
            <v>0</v>
          </cell>
          <cell r="D808">
            <v>0</v>
          </cell>
        </row>
        <row r="809">
          <cell r="A809" t="str">
            <v>A1FSBML1050</v>
          </cell>
          <cell r="B809" t="str">
            <v>Not Started</v>
          </cell>
          <cell r="C809">
            <v>0</v>
          </cell>
          <cell r="D809">
            <v>0</v>
          </cell>
        </row>
        <row r="810">
          <cell r="A810" t="str">
            <v>A1FSBML1060</v>
          </cell>
          <cell r="B810" t="str">
            <v>Not Started</v>
          </cell>
          <cell r="C810">
            <v>0</v>
          </cell>
          <cell r="D810">
            <v>0</v>
          </cell>
        </row>
        <row r="811">
          <cell r="A811" t="str">
            <v>A1FSBPRCIV1930</v>
          </cell>
          <cell r="B811" t="str">
            <v>Completed</v>
          </cell>
          <cell r="C811">
            <v>1</v>
          </cell>
          <cell r="D811">
            <v>1</v>
          </cell>
        </row>
        <row r="812">
          <cell r="A812" t="str">
            <v>A1FSBPRCIV1940</v>
          </cell>
          <cell r="B812" t="str">
            <v>Completed</v>
          </cell>
          <cell r="C812">
            <v>1</v>
          </cell>
          <cell r="D812">
            <v>1</v>
          </cell>
        </row>
        <row r="813">
          <cell r="A813" t="str">
            <v>A1FSBPRCIV1950</v>
          </cell>
          <cell r="B813" t="str">
            <v>In Progress</v>
          </cell>
          <cell r="C813">
            <v>0.375</v>
          </cell>
          <cell r="D813">
            <v>0.29799999999999999</v>
          </cell>
        </row>
        <row r="814">
          <cell r="A814" t="str">
            <v>A1FSBPRCIV1960</v>
          </cell>
          <cell r="B814" t="str">
            <v>In Progress</v>
          </cell>
          <cell r="C814">
            <v>0.375</v>
          </cell>
          <cell r="D814">
            <v>0.31269999999999998</v>
          </cell>
        </row>
        <row r="815">
          <cell r="A815" t="str">
            <v>A1FSBPRCIV1970</v>
          </cell>
          <cell r="B815" t="str">
            <v>In Progress</v>
          </cell>
          <cell r="C815">
            <v>0.40910000000000002</v>
          </cell>
          <cell r="D815">
            <v>0.31269999999999998</v>
          </cell>
        </row>
        <row r="816">
          <cell r="A816" t="str">
            <v>A1FSBPRCIV1980</v>
          </cell>
          <cell r="B816" t="str">
            <v>Completed</v>
          </cell>
          <cell r="C816">
            <v>1</v>
          </cell>
          <cell r="D816">
            <v>1</v>
          </cell>
        </row>
        <row r="817">
          <cell r="A817" t="str">
            <v>A1FSBPRCIV1990</v>
          </cell>
          <cell r="B817" t="str">
            <v>Completed</v>
          </cell>
          <cell r="C817">
            <v>1</v>
          </cell>
          <cell r="D817">
            <v>1</v>
          </cell>
        </row>
        <row r="818">
          <cell r="A818" t="str">
            <v>A1FSBPRCIV2000</v>
          </cell>
          <cell r="B818" t="str">
            <v>In Progress</v>
          </cell>
          <cell r="C818">
            <v>0.40379999999999999</v>
          </cell>
          <cell r="D818">
            <v>0.59470000000000001</v>
          </cell>
        </row>
        <row r="819">
          <cell r="A819" t="str">
            <v>A1FSBPRCIV2010</v>
          </cell>
          <cell r="B819" t="str">
            <v>In Progress</v>
          </cell>
          <cell r="C819">
            <v>0.40379999999999999</v>
          </cell>
          <cell r="D819">
            <v>0.59470000000000001</v>
          </cell>
        </row>
        <row r="820">
          <cell r="A820" t="str">
            <v>A1FSBPRCIV2020</v>
          </cell>
          <cell r="B820" t="str">
            <v>In Progress</v>
          </cell>
          <cell r="C820">
            <v>0.35</v>
          </cell>
          <cell r="D820">
            <v>0.15</v>
          </cell>
        </row>
        <row r="821">
          <cell r="A821" t="str">
            <v>A1FSBPRCIV2030</v>
          </cell>
          <cell r="B821" t="str">
            <v>In Progress</v>
          </cell>
          <cell r="C821">
            <v>1</v>
          </cell>
          <cell r="D821">
            <v>0</v>
          </cell>
        </row>
        <row r="822">
          <cell r="A822" t="str">
            <v>A1FSBPRCIV2040</v>
          </cell>
          <cell r="B822" t="str">
            <v>In Progress</v>
          </cell>
          <cell r="C822">
            <v>1</v>
          </cell>
          <cell r="D822">
            <v>0</v>
          </cell>
        </row>
        <row r="823">
          <cell r="A823" t="str">
            <v>A1FSBPRCIV2050</v>
          </cell>
          <cell r="B823" t="str">
            <v>Not Started</v>
          </cell>
          <cell r="C823">
            <v>0</v>
          </cell>
          <cell r="D823">
            <v>0</v>
          </cell>
        </row>
        <row r="824">
          <cell r="A824" t="str">
            <v>A1FSBPRCIV2060</v>
          </cell>
          <cell r="B824" t="str">
            <v>Not Started</v>
          </cell>
          <cell r="C824">
            <v>0</v>
          </cell>
          <cell r="D824">
            <v>0</v>
          </cell>
        </row>
        <row r="825">
          <cell r="A825" t="str">
            <v>A1FSBPRCIV2070</v>
          </cell>
          <cell r="B825" t="str">
            <v>Not Started</v>
          </cell>
          <cell r="C825">
            <v>0</v>
          </cell>
          <cell r="D825">
            <v>0</v>
          </cell>
        </row>
        <row r="826">
          <cell r="A826" t="str">
            <v>A1FSBPRCIV2080</v>
          </cell>
          <cell r="B826" t="str">
            <v>Completed</v>
          </cell>
          <cell r="C826">
            <v>1</v>
          </cell>
          <cell r="D826">
            <v>1</v>
          </cell>
        </row>
        <row r="827">
          <cell r="A827" t="str">
            <v>A1FSBPRCIV2090</v>
          </cell>
          <cell r="B827" t="str">
            <v>Completed</v>
          </cell>
          <cell r="C827">
            <v>1</v>
          </cell>
          <cell r="D827">
            <v>1</v>
          </cell>
        </row>
        <row r="828">
          <cell r="A828" t="str">
            <v>A1FSBPRCIV2100</v>
          </cell>
          <cell r="B828" t="str">
            <v>In Progress</v>
          </cell>
          <cell r="C828">
            <v>0</v>
          </cell>
          <cell r="D828">
            <v>0.1</v>
          </cell>
        </row>
        <row r="829">
          <cell r="A829" t="str">
            <v>A1FSBPRCIV2110</v>
          </cell>
          <cell r="B829" t="str">
            <v>In Progress</v>
          </cell>
          <cell r="C829">
            <v>0</v>
          </cell>
          <cell r="D829">
            <v>0.1</v>
          </cell>
        </row>
        <row r="830">
          <cell r="A830" t="str">
            <v>A1FSBPRCIV2120</v>
          </cell>
          <cell r="B830" t="str">
            <v>Not Started</v>
          </cell>
          <cell r="C830">
            <v>0</v>
          </cell>
          <cell r="D830">
            <v>0</v>
          </cell>
        </row>
        <row r="831">
          <cell r="A831" t="str">
            <v>A1FSBPRCIV2130</v>
          </cell>
          <cell r="B831" t="str">
            <v>In Progress</v>
          </cell>
          <cell r="C831">
            <v>1</v>
          </cell>
          <cell r="D831">
            <v>0</v>
          </cell>
        </row>
        <row r="832">
          <cell r="A832" t="str">
            <v>A1FSBPRCIV2140</v>
          </cell>
          <cell r="B832" t="str">
            <v>In Progress</v>
          </cell>
          <cell r="C832">
            <v>0.97219999999999995</v>
          </cell>
          <cell r="D832">
            <v>0</v>
          </cell>
        </row>
        <row r="833">
          <cell r="A833" t="str">
            <v>A1FSBPRCIV2150</v>
          </cell>
          <cell r="B833" t="str">
            <v>Not Started</v>
          </cell>
          <cell r="C833">
            <v>0</v>
          </cell>
          <cell r="D833">
            <v>0</v>
          </cell>
        </row>
        <row r="834">
          <cell r="A834" t="str">
            <v>A1FSBPRCIV2160</v>
          </cell>
          <cell r="B834" t="str">
            <v>Not Started</v>
          </cell>
          <cell r="C834">
            <v>0</v>
          </cell>
          <cell r="D834">
            <v>0</v>
          </cell>
        </row>
        <row r="835">
          <cell r="A835" t="str">
            <v>A1FSBPRCIV2170</v>
          </cell>
          <cell r="B835" t="str">
            <v>Not Started</v>
          </cell>
          <cell r="C835">
            <v>0</v>
          </cell>
          <cell r="D835">
            <v>0</v>
          </cell>
        </row>
        <row r="836">
          <cell r="A836" t="str">
            <v>A1FSBPRCIV2180</v>
          </cell>
          <cell r="B836" t="str">
            <v>Not Started</v>
          </cell>
          <cell r="C836">
            <v>0</v>
          </cell>
          <cell r="D836">
            <v>0</v>
          </cell>
        </row>
        <row r="837">
          <cell r="A837" t="str">
            <v>A1FSBPRCIV2190</v>
          </cell>
          <cell r="B837" t="str">
            <v>Not Started</v>
          </cell>
          <cell r="C837">
            <v>0</v>
          </cell>
          <cell r="D837">
            <v>0</v>
          </cell>
        </row>
        <row r="838">
          <cell r="A838" t="str">
            <v>A1FSBPRCIV2200</v>
          </cell>
          <cell r="B838" t="str">
            <v>In Progress</v>
          </cell>
          <cell r="C838">
            <v>1</v>
          </cell>
          <cell r="D838">
            <v>0</v>
          </cell>
        </row>
        <row r="839">
          <cell r="A839" t="str">
            <v>A1FSBPRCIV2210</v>
          </cell>
          <cell r="B839" t="str">
            <v>In Progress</v>
          </cell>
          <cell r="C839">
            <v>1</v>
          </cell>
          <cell r="D839">
            <v>0</v>
          </cell>
        </row>
        <row r="840">
          <cell r="A840" t="str">
            <v>A1FSBPRCIV2220</v>
          </cell>
          <cell r="B840" t="str">
            <v>Not Started</v>
          </cell>
          <cell r="C840">
            <v>0</v>
          </cell>
          <cell r="D840">
            <v>0</v>
          </cell>
        </row>
        <row r="841">
          <cell r="A841" t="str">
            <v>A1FSBPRCIV2230</v>
          </cell>
          <cell r="B841" t="str">
            <v>Not Started</v>
          </cell>
          <cell r="C841">
            <v>0</v>
          </cell>
          <cell r="D841">
            <v>0</v>
          </cell>
        </row>
        <row r="842">
          <cell r="A842" t="str">
            <v>A1FSBPRCIV2240</v>
          </cell>
          <cell r="B842" t="str">
            <v>Not Started</v>
          </cell>
          <cell r="C842">
            <v>0</v>
          </cell>
          <cell r="D842">
            <v>0</v>
          </cell>
        </row>
        <row r="843">
          <cell r="A843" t="str">
            <v>A1FSBPRCIV2250</v>
          </cell>
          <cell r="B843" t="str">
            <v>Not Started</v>
          </cell>
          <cell r="C843">
            <v>0</v>
          </cell>
          <cell r="D843">
            <v>0</v>
          </cell>
        </row>
        <row r="844">
          <cell r="A844" t="str">
            <v>A1FSBPRCIV2260</v>
          </cell>
          <cell r="B844" t="str">
            <v>Not Started</v>
          </cell>
          <cell r="C844">
            <v>0</v>
          </cell>
          <cell r="D844">
            <v>0</v>
          </cell>
        </row>
        <row r="845">
          <cell r="A845" t="str">
            <v>A1FSBPRCIV2270</v>
          </cell>
          <cell r="B845" t="str">
            <v>In Progress</v>
          </cell>
          <cell r="C845">
            <v>1</v>
          </cell>
          <cell r="D845">
            <v>0</v>
          </cell>
        </row>
        <row r="846">
          <cell r="A846" t="str">
            <v>A1FSBPRCIV2280</v>
          </cell>
          <cell r="B846" t="str">
            <v>In Progress</v>
          </cell>
          <cell r="C846">
            <v>1</v>
          </cell>
          <cell r="D846">
            <v>0</v>
          </cell>
        </row>
        <row r="847">
          <cell r="A847" t="str">
            <v>A1FSBPRCIV2290</v>
          </cell>
          <cell r="B847" t="str">
            <v>Not Started</v>
          </cell>
          <cell r="C847">
            <v>0</v>
          </cell>
          <cell r="D847">
            <v>0</v>
          </cell>
        </row>
        <row r="848">
          <cell r="A848" t="str">
            <v>A1FSBPRCIV2300</v>
          </cell>
          <cell r="B848" t="str">
            <v>Not Started</v>
          </cell>
          <cell r="C848">
            <v>0</v>
          </cell>
          <cell r="D848">
            <v>0</v>
          </cell>
        </row>
        <row r="849">
          <cell r="A849" t="str">
            <v>A1FSBPRCIV2310</v>
          </cell>
          <cell r="B849" t="str">
            <v>Not Started</v>
          </cell>
          <cell r="C849">
            <v>0</v>
          </cell>
          <cell r="D849">
            <v>0</v>
          </cell>
        </row>
        <row r="850">
          <cell r="A850" t="str">
            <v>A1FSBPRCIV2320</v>
          </cell>
          <cell r="B850" t="str">
            <v>In Progress</v>
          </cell>
          <cell r="C850">
            <v>1</v>
          </cell>
          <cell r="D850">
            <v>0</v>
          </cell>
        </row>
        <row r="851">
          <cell r="A851" t="str">
            <v>A1FSBPRCIV2330</v>
          </cell>
          <cell r="B851" t="str">
            <v>In Progress</v>
          </cell>
          <cell r="C851">
            <v>1</v>
          </cell>
          <cell r="D851">
            <v>0</v>
          </cell>
        </row>
        <row r="852">
          <cell r="A852" t="str">
            <v>A1FSBPRCIV2340</v>
          </cell>
          <cell r="B852" t="str">
            <v>Not Started</v>
          </cell>
          <cell r="C852">
            <v>0</v>
          </cell>
          <cell r="D852">
            <v>0</v>
          </cell>
        </row>
        <row r="853">
          <cell r="A853" t="str">
            <v>A1FSBPRCIV2350</v>
          </cell>
          <cell r="B853" t="str">
            <v>Not Started</v>
          </cell>
          <cell r="C853">
            <v>0</v>
          </cell>
          <cell r="D853">
            <v>0</v>
          </cell>
        </row>
        <row r="854">
          <cell r="A854" t="str">
            <v>A1FSBPRCIV2360</v>
          </cell>
          <cell r="B854" t="str">
            <v>Not Started</v>
          </cell>
          <cell r="C854">
            <v>0</v>
          </cell>
          <cell r="D854">
            <v>0</v>
          </cell>
        </row>
        <row r="855">
          <cell r="A855" t="str">
            <v>A1FSBPRCIV2370</v>
          </cell>
          <cell r="B855" t="str">
            <v>In Progress</v>
          </cell>
          <cell r="C855">
            <v>1</v>
          </cell>
          <cell r="D855">
            <v>0</v>
          </cell>
        </row>
        <row r="856">
          <cell r="A856" t="str">
            <v>A1FSBPRCIV2380</v>
          </cell>
          <cell r="B856" t="str">
            <v>In Progress</v>
          </cell>
          <cell r="C856">
            <v>1</v>
          </cell>
          <cell r="D856">
            <v>0</v>
          </cell>
        </row>
        <row r="857">
          <cell r="A857" t="str">
            <v>A1FSBPRCIV2390</v>
          </cell>
          <cell r="B857" t="str">
            <v>Not Started</v>
          </cell>
          <cell r="C857">
            <v>0.16070000000000001</v>
          </cell>
          <cell r="D857">
            <v>0</v>
          </cell>
        </row>
        <row r="858">
          <cell r="A858" t="str">
            <v>A1FSBPRCIV2400</v>
          </cell>
          <cell r="B858" t="str">
            <v>Not Started</v>
          </cell>
          <cell r="C858">
            <v>0</v>
          </cell>
          <cell r="D858">
            <v>0</v>
          </cell>
        </row>
        <row r="859">
          <cell r="A859" t="str">
            <v>A1FSBPRCIV2410</v>
          </cell>
          <cell r="B859" t="str">
            <v>Not Started</v>
          </cell>
          <cell r="C859">
            <v>0</v>
          </cell>
          <cell r="D859">
            <v>0</v>
          </cell>
        </row>
        <row r="860">
          <cell r="A860" t="str">
            <v>A1FSBPRCIV2420</v>
          </cell>
          <cell r="B860" t="str">
            <v>In Progress</v>
          </cell>
          <cell r="C860">
            <v>1</v>
          </cell>
          <cell r="D860">
            <v>0</v>
          </cell>
        </row>
        <row r="861">
          <cell r="A861" t="str">
            <v>A1FSBPRCIV2430</v>
          </cell>
          <cell r="B861" t="str">
            <v>In Progress</v>
          </cell>
          <cell r="C861">
            <v>1</v>
          </cell>
          <cell r="D861">
            <v>0</v>
          </cell>
        </row>
        <row r="862">
          <cell r="A862" t="str">
            <v>A1FSBPRCIV2440</v>
          </cell>
          <cell r="B862" t="str">
            <v>Not Started</v>
          </cell>
          <cell r="C862">
            <v>0</v>
          </cell>
          <cell r="D862">
            <v>0</v>
          </cell>
        </row>
        <row r="863">
          <cell r="A863" t="str">
            <v>A1FSBPRCIV2450</v>
          </cell>
          <cell r="B863" t="str">
            <v>Not Started</v>
          </cell>
          <cell r="C863">
            <v>0</v>
          </cell>
          <cell r="D863">
            <v>0</v>
          </cell>
        </row>
        <row r="864">
          <cell r="A864" t="str">
            <v>A1FSBPRCIV2460</v>
          </cell>
          <cell r="B864" t="str">
            <v>Not Started</v>
          </cell>
          <cell r="C864">
            <v>0</v>
          </cell>
          <cell r="D864">
            <v>0</v>
          </cell>
        </row>
        <row r="865">
          <cell r="A865" t="str">
            <v>A1FSBPRCIV2470</v>
          </cell>
          <cell r="B865" t="str">
            <v>In Progress</v>
          </cell>
          <cell r="C865">
            <v>1</v>
          </cell>
          <cell r="D865">
            <v>0</v>
          </cell>
        </row>
        <row r="866">
          <cell r="A866" t="str">
            <v>A1FSBPRCIV2480</v>
          </cell>
          <cell r="B866" t="str">
            <v>In Progress</v>
          </cell>
          <cell r="C866">
            <v>1</v>
          </cell>
          <cell r="D866">
            <v>0</v>
          </cell>
        </row>
        <row r="867">
          <cell r="A867" t="str">
            <v>A1FSBPRCIV2490</v>
          </cell>
          <cell r="B867" t="str">
            <v>Not Started</v>
          </cell>
          <cell r="C867">
            <v>8.9300000000000004E-2</v>
          </cell>
          <cell r="D867">
            <v>0</v>
          </cell>
        </row>
        <row r="868">
          <cell r="A868" t="str">
            <v>A1FSBPRCIV2500</v>
          </cell>
          <cell r="B868" t="str">
            <v>Not Started</v>
          </cell>
          <cell r="C868">
            <v>0</v>
          </cell>
          <cell r="D868">
            <v>0</v>
          </cell>
        </row>
        <row r="869">
          <cell r="A869" t="str">
            <v>A1FSBPRCIV2510</v>
          </cell>
          <cell r="B869" t="str">
            <v>Not Started</v>
          </cell>
          <cell r="C869">
            <v>0</v>
          </cell>
          <cell r="D869">
            <v>0</v>
          </cell>
        </row>
        <row r="870">
          <cell r="A870" t="str">
            <v>A1FSBPRCIV2520</v>
          </cell>
          <cell r="B870" t="str">
            <v>In Progress</v>
          </cell>
          <cell r="C870">
            <v>1</v>
          </cell>
          <cell r="D870">
            <v>0</v>
          </cell>
        </row>
        <row r="871">
          <cell r="A871" t="str">
            <v>A1FSBPRCIV2530</v>
          </cell>
          <cell r="B871" t="str">
            <v>In Progress</v>
          </cell>
          <cell r="C871">
            <v>1</v>
          </cell>
          <cell r="D871">
            <v>0</v>
          </cell>
        </row>
        <row r="872">
          <cell r="A872" t="str">
            <v>A1FSBPRCIV2540</v>
          </cell>
          <cell r="B872" t="str">
            <v>Not Started</v>
          </cell>
          <cell r="C872">
            <v>8.3299999999999999E-2</v>
          </cell>
          <cell r="D872">
            <v>0</v>
          </cell>
        </row>
        <row r="873">
          <cell r="A873" t="str">
            <v>A1FSBPRCIV2550</v>
          </cell>
          <cell r="B873" t="str">
            <v>Not Started</v>
          </cell>
          <cell r="C873">
            <v>0</v>
          </cell>
          <cell r="D873">
            <v>0</v>
          </cell>
        </row>
        <row r="874">
          <cell r="A874" t="str">
            <v>A1FSBPRCIV2560</v>
          </cell>
          <cell r="B874" t="str">
            <v>Not Started</v>
          </cell>
          <cell r="C874">
            <v>0</v>
          </cell>
          <cell r="D874">
            <v>0</v>
          </cell>
        </row>
        <row r="875">
          <cell r="A875" t="str">
            <v>A1FSBPRCIV2570</v>
          </cell>
          <cell r="B875" t="str">
            <v>In Progress</v>
          </cell>
          <cell r="C875">
            <v>1</v>
          </cell>
          <cell r="D875">
            <v>0</v>
          </cell>
        </row>
        <row r="876">
          <cell r="A876" t="str">
            <v>A1FSBPRCIV2580</v>
          </cell>
          <cell r="B876" t="str">
            <v>In Progress</v>
          </cell>
          <cell r="C876">
            <v>1</v>
          </cell>
          <cell r="D876">
            <v>0</v>
          </cell>
        </row>
        <row r="877">
          <cell r="A877" t="str">
            <v>A1FSBPRCIV2590</v>
          </cell>
          <cell r="B877" t="str">
            <v>Not Started</v>
          </cell>
          <cell r="C877">
            <v>0.1042</v>
          </cell>
          <cell r="D877">
            <v>0</v>
          </cell>
        </row>
        <row r="878">
          <cell r="A878" t="str">
            <v>A1FSBPRCIV2600</v>
          </cell>
          <cell r="B878" t="str">
            <v>Not Started</v>
          </cell>
          <cell r="C878">
            <v>0</v>
          </cell>
          <cell r="D878">
            <v>0</v>
          </cell>
        </row>
        <row r="879">
          <cell r="A879" t="str">
            <v>A1FSBPRCIV2610</v>
          </cell>
          <cell r="B879" t="str">
            <v>Not Started</v>
          </cell>
          <cell r="C879">
            <v>0</v>
          </cell>
          <cell r="D879">
            <v>0</v>
          </cell>
        </row>
        <row r="880">
          <cell r="A880" t="str">
            <v>A1FSBPRCIV2620</v>
          </cell>
          <cell r="B880" t="str">
            <v>In Progress</v>
          </cell>
          <cell r="C880">
            <v>1</v>
          </cell>
          <cell r="D880">
            <v>0</v>
          </cell>
        </row>
        <row r="881">
          <cell r="A881" t="str">
            <v>A1FSBPRCIV2630</v>
          </cell>
          <cell r="B881" t="str">
            <v>In Progress</v>
          </cell>
          <cell r="C881">
            <v>1</v>
          </cell>
          <cell r="D881">
            <v>0</v>
          </cell>
        </row>
        <row r="882">
          <cell r="A882" t="str">
            <v>A1FSBPRCIV2640</v>
          </cell>
          <cell r="B882" t="str">
            <v>Not Started</v>
          </cell>
          <cell r="C882">
            <v>7.8100000000000003E-2</v>
          </cell>
          <cell r="D882">
            <v>0</v>
          </cell>
        </row>
        <row r="883">
          <cell r="A883" t="str">
            <v>A1FSBPRCIV2650</v>
          </cell>
          <cell r="B883" t="str">
            <v>Not Started</v>
          </cell>
          <cell r="C883">
            <v>0</v>
          </cell>
          <cell r="D883">
            <v>0</v>
          </cell>
        </row>
        <row r="884">
          <cell r="A884" t="str">
            <v>A1FSBPRCIV2660</v>
          </cell>
          <cell r="B884" t="str">
            <v>Not Started</v>
          </cell>
          <cell r="C884">
            <v>0</v>
          </cell>
          <cell r="D884">
            <v>0</v>
          </cell>
        </row>
        <row r="885">
          <cell r="A885" t="str">
            <v>A1FSBPRCIV2670</v>
          </cell>
          <cell r="B885" t="str">
            <v>In Progress</v>
          </cell>
          <cell r="C885">
            <v>1</v>
          </cell>
          <cell r="D885">
            <v>0</v>
          </cell>
        </row>
        <row r="886">
          <cell r="A886" t="str">
            <v>A1FSBPRCIV2680</v>
          </cell>
          <cell r="B886" t="str">
            <v>In Progress</v>
          </cell>
          <cell r="C886">
            <v>1</v>
          </cell>
          <cell r="D886">
            <v>0</v>
          </cell>
        </row>
        <row r="887">
          <cell r="A887" t="str">
            <v>A1FSBPRCIV2690</v>
          </cell>
          <cell r="B887" t="str">
            <v>Not Started</v>
          </cell>
          <cell r="C887">
            <v>0.18</v>
          </cell>
          <cell r="D887">
            <v>0</v>
          </cell>
        </row>
        <row r="888">
          <cell r="A888" t="str">
            <v>A1FSBPRCIV2700</v>
          </cell>
          <cell r="B888" t="str">
            <v>Not Started</v>
          </cell>
          <cell r="C888">
            <v>0</v>
          </cell>
          <cell r="D888">
            <v>0</v>
          </cell>
        </row>
        <row r="889">
          <cell r="A889" t="str">
            <v>A1FSBPRCIV2710</v>
          </cell>
          <cell r="B889" t="str">
            <v>Not Started</v>
          </cell>
          <cell r="C889">
            <v>0</v>
          </cell>
          <cell r="D889">
            <v>0</v>
          </cell>
        </row>
        <row r="890">
          <cell r="A890" t="str">
            <v>A1FSBPRCIV2790</v>
          </cell>
          <cell r="B890" t="str">
            <v>In Progress</v>
          </cell>
          <cell r="C890">
            <v>1</v>
          </cell>
          <cell r="D890">
            <v>0</v>
          </cell>
        </row>
        <row r="891">
          <cell r="A891" t="str">
            <v>A1FSBPRCIV2800</v>
          </cell>
          <cell r="B891" t="str">
            <v>In Progress</v>
          </cell>
          <cell r="C891">
            <v>0.82689999999999997</v>
          </cell>
          <cell r="D891">
            <v>0</v>
          </cell>
        </row>
        <row r="892">
          <cell r="A892" t="str">
            <v>A1FSBPRCIV2810</v>
          </cell>
          <cell r="B892" t="str">
            <v>Not Started</v>
          </cell>
          <cell r="C892">
            <v>0</v>
          </cell>
          <cell r="D892">
            <v>0</v>
          </cell>
        </row>
        <row r="893">
          <cell r="A893" t="str">
            <v>A1FSBPRCIV2820</v>
          </cell>
          <cell r="B893" t="str">
            <v>Not Started</v>
          </cell>
          <cell r="C893">
            <v>0</v>
          </cell>
          <cell r="D893">
            <v>0</v>
          </cell>
        </row>
        <row r="894">
          <cell r="A894" t="str">
            <v>A1FSBPRCIV2830</v>
          </cell>
          <cell r="B894" t="str">
            <v>Not Started</v>
          </cell>
          <cell r="C894">
            <v>0</v>
          </cell>
          <cell r="D894">
            <v>0</v>
          </cell>
        </row>
        <row r="895">
          <cell r="A895" t="str">
            <v>A1FSBPRCIV2840</v>
          </cell>
          <cell r="B895" t="str">
            <v>Not Started</v>
          </cell>
          <cell r="C895">
            <v>0</v>
          </cell>
          <cell r="D895">
            <v>0</v>
          </cell>
        </row>
        <row r="896">
          <cell r="A896" t="str">
            <v>A1FSBPRCIV2850</v>
          </cell>
          <cell r="B896" t="str">
            <v>Not Started</v>
          </cell>
          <cell r="C896">
            <v>0</v>
          </cell>
          <cell r="D896">
            <v>0</v>
          </cell>
        </row>
        <row r="897">
          <cell r="A897" t="str">
            <v>A1FSBPRCIV2860</v>
          </cell>
          <cell r="B897" t="str">
            <v>In Progress</v>
          </cell>
          <cell r="C897">
            <v>1</v>
          </cell>
          <cell r="D897">
            <v>0</v>
          </cell>
        </row>
        <row r="898">
          <cell r="A898" t="str">
            <v>A1FSBPRCIV2870</v>
          </cell>
          <cell r="B898" t="str">
            <v>In Progress</v>
          </cell>
          <cell r="C898">
            <v>1</v>
          </cell>
          <cell r="D898">
            <v>0</v>
          </cell>
        </row>
        <row r="899">
          <cell r="A899" t="str">
            <v>A1FSBPRCIV2880</v>
          </cell>
          <cell r="B899" t="str">
            <v>Not Started</v>
          </cell>
          <cell r="C899">
            <v>0.18</v>
          </cell>
          <cell r="D899">
            <v>0</v>
          </cell>
        </row>
        <row r="900">
          <cell r="A900" t="str">
            <v>A1FSBPRCIV2890</v>
          </cell>
          <cell r="B900" t="str">
            <v>Not Started</v>
          </cell>
          <cell r="C900">
            <v>0</v>
          </cell>
          <cell r="D900">
            <v>0</v>
          </cell>
        </row>
        <row r="901">
          <cell r="A901" t="str">
            <v>A1FSBPRCIV2900</v>
          </cell>
          <cell r="B901" t="str">
            <v>Not Started</v>
          </cell>
          <cell r="C901">
            <v>0</v>
          </cell>
          <cell r="D901">
            <v>0</v>
          </cell>
        </row>
        <row r="902">
          <cell r="A902" t="str">
            <v>A1FSBPRCOM1210</v>
          </cell>
          <cell r="B902" t="str">
            <v>In Progress</v>
          </cell>
          <cell r="C902">
            <v>1</v>
          </cell>
          <cell r="D902">
            <v>0</v>
          </cell>
        </row>
        <row r="903">
          <cell r="A903" t="str">
            <v>A1FSBPRCOM1220</v>
          </cell>
          <cell r="B903" t="str">
            <v>In Progress</v>
          </cell>
          <cell r="C903">
            <v>1</v>
          </cell>
          <cell r="D903">
            <v>0</v>
          </cell>
        </row>
        <row r="904">
          <cell r="A904" t="str">
            <v>A1FSBPRCOM1230</v>
          </cell>
          <cell r="B904" t="str">
            <v>Not Started</v>
          </cell>
          <cell r="C904">
            <v>0</v>
          </cell>
          <cell r="D904">
            <v>0</v>
          </cell>
        </row>
        <row r="905">
          <cell r="A905" t="str">
            <v>A1FSBPRCOM1240</v>
          </cell>
          <cell r="B905" t="str">
            <v>Not Started</v>
          </cell>
          <cell r="C905">
            <v>0</v>
          </cell>
          <cell r="D905">
            <v>0</v>
          </cell>
        </row>
        <row r="906">
          <cell r="A906" t="str">
            <v>A1FSBPRCOM1250</v>
          </cell>
          <cell r="B906" t="str">
            <v>Not Started</v>
          </cell>
          <cell r="C906">
            <v>0</v>
          </cell>
          <cell r="D906">
            <v>0</v>
          </cell>
        </row>
        <row r="907">
          <cell r="A907" t="str">
            <v>A1FSBPRCOM1260</v>
          </cell>
          <cell r="B907" t="str">
            <v>Not Started</v>
          </cell>
          <cell r="C907">
            <v>0</v>
          </cell>
          <cell r="D907">
            <v>0</v>
          </cell>
        </row>
        <row r="908">
          <cell r="A908" t="str">
            <v>A1FSBPRCOM1270</v>
          </cell>
          <cell r="B908" t="str">
            <v>Not Started</v>
          </cell>
          <cell r="C908">
            <v>0</v>
          </cell>
          <cell r="D908">
            <v>0</v>
          </cell>
        </row>
        <row r="909">
          <cell r="A909" t="str">
            <v>A1FSBPRCOM1280</v>
          </cell>
          <cell r="B909" t="str">
            <v>In Progress</v>
          </cell>
          <cell r="C909">
            <v>1</v>
          </cell>
          <cell r="D909">
            <v>0</v>
          </cell>
        </row>
        <row r="910">
          <cell r="A910" t="str">
            <v>A1FSBPRCOM1290</v>
          </cell>
          <cell r="B910" t="str">
            <v>In Progress</v>
          </cell>
          <cell r="C910">
            <v>1</v>
          </cell>
          <cell r="D910">
            <v>0</v>
          </cell>
        </row>
        <row r="911">
          <cell r="A911" t="str">
            <v>A1FSBPRCOM1300</v>
          </cell>
          <cell r="B911" t="str">
            <v>Not Started</v>
          </cell>
          <cell r="C911">
            <v>0</v>
          </cell>
          <cell r="D911">
            <v>0</v>
          </cell>
        </row>
        <row r="912">
          <cell r="A912" t="str">
            <v>A1FSBPRCOM1310</v>
          </cell>
          <cell r="B912" t="str">
            <v>Not Started</v>
          </cell>
          <cell r="C912">
            <v>0</v>
          </cell>
          <cell r="D912">
            <v>0</v>
          </cell>
        </row>
        <row r="913">
          <cell r="A913" t="str">
            <v>A1FSBPRCOM1320</v>
          </cell>
          <cell r="B913" t="str">
            <v>Not Started</v>
          </cell>
          <cell r="C913">
            <v>0</v>
          </cell>
          <cell r="D913">
            <v>0</v>
          </cell>
        </row>
        <row r="914">
          <cell r="A914" t="str">
            <v>A1FSBPRCOM1330</v>
          </cell>
          <cell r="B914" t="str">
            <v>Not Started</v>
          </cell>
          <cell r="C914">
            <v>0</v>
          </cell>
          <cell r="D914">
            <v>0</v>
          </cell>
        </row>
        <row r="915">
          <cell r="A915" t="str">
            <v>A1FSBPRCOM1340</v>
          </cell>
          <cell r="B915" t="str">
            <v>Not Started</v>
          </cell>
          <cell r="C915">
            <v>0</v>
          </cell>
          <cell r="D915">
            <v>0</v>
          </cell>
        </row>
        <row r="916">
          <cell r="A916" t="str">
            <v>A1FSBPRCOM1350</v>
          </cell>
          <cell r="B916" t="str">
            <v>In Progress</v>
          </cell>
          <cell r="C916">
            <v>1</v>
          </cell>
          <cell r="D916">
            <v>0</v>
          </cell>
        </row>
        <row r="917">
          <cell r="A917" t="str">
            <v>A1FSBPRCOM1360</v>
          </cell>
          <cell r="B917" t="str">
            <v>In Progress</v>
          </cell>
          <cell r="C917">
            <v>1</v>
          </cell>
          <cell r="D917">
            <v>0</v>
          </cell>
        </row>
        <row r="918">
          <cell r="A918" t="str">
            <v>A1FSBPRCOM1370</v>
          </cell>
          <cell r="B918" t="str">
            <v>Not Started</v>
          </cell>
          <cell r="C918">
            <v>0</v>
          </cell>
          <cell r="D918">
            <v>0</v>
          </cell>
        </row>
        <row r="919">
          <cell r="A919" t="str">
            <v>A1FSBPRCOM1380</v>
          </cell>
          <cell r="B919" t="str">
            <v>Not Started</v>
          </cell>
          <cell r="C919">
            <v>0</v>
          </cell>
          <cell r="D919">
            <v>0</v>
          </cell>
        </row>
        <row r="920">
          <cell r="A920" t="str">
            <v>A1FSBPRCOM1390</v>
          </cell>
          <cell r="B920" t="str">
            <v>Not Started</v>
          </cell>
          <cell r="C920">
            <v>0</v>
          </cell>
          <cell r="D920">
            <v>0</v>
          </cell>
        </row>
        <row r="921">
          <cell r="A921" t="str">
            <v>A1FSBPRCOM1400</v>
          </cell>
          <cell r="B921" t="str">
            <v>Not Started</v>
          </cell>
          <cell r="C921">
            <v>0</v>
          </cell>
          <cell r="D921">
            <v>0</v>
          </cell>
        </row>
        <row r="922">
          <cell r="A922" t="str">
            <v>A1FSBPRCOM1410</v>
          </cell>
          <cell r="B922" t="str">
            <v>Not Started</v>
          </cell>
          <cell r="C922">
            <v>0</v>
          </cell>
          <cell r="D922">
            <v>0</v>
          </cell>
        </row>
        <row r="923">
          <cell r="A923" t="str">
            <v>A1FSBPREAR1150</v>
          </cell>
          <cell r="B923" t="str">
            <v>Completed</v>
          </cell>
          <cell r="C923">
            <v>1</v>
          </cell>
          <cell r="D923">
            <v>1</v>
          </cell>
        </row>
        <row r="924">
          <cell r="A924" t="str">
            <v>A1FSBPREAR1160</v>
          </cell>
          <cell r="B924" t="str">
            <v>Completed</v>
          </cell>
          <cell r="C924">
            <v>1</v>
          </cell>
          <cell r="D924">
            <v>1</v>
          </cell>
        </row>
        <row r="925">
          <cell r="A925" t="str">
            <v>A1FSBPREAR1170</v>
          </cell>
          <cell r="B925" t="str">
            <v>Completed</v>
          </cell>
          <cell r="C925">
            <v>1</v>
          </cell>
          <cell r="D925">
            <v>1</v>
          </cell>
        </row>
        <row r="926">
          <cell r="A926" t="str">
            <v>A1FSBPREAR1180</v>
          </cell>
          <cell r="B926" t="str">
            <v>In Progress</v>
          </cell>
          <cell r="C926">
            <v>1</v>
          </cell>
          <cell r="D926">
            <v>0.75</v>
          </cell>
        </row>
        <row r="927">
          <cell r="A927" t="str">
            <v>A1FSBPREAR1190</v>
          </cell>
          <cell r="B927" t="str">
            <v>In Progress</v>
          </cell>
          <cell r="C927">
            <v>1</v>
          </cell>
          <cell r="D927">
            <v>0.75</v>
          </cell>
        </row>
        <row r="928">
          <cell r="A928" t="str">
            <v>A1FSBPREAR1200</v>
          </cell>
          <cell r="B928" t="str">
            <v>In Progress</v>
          </cell>
          <cell r="C928">
            <v>1</v>
          </cell>
          <cell r="D928">
            <v>0</v>
          </cell>
        </row>
        <row r="929">
          <cell r="A929" t="str">
            <v>A1FSBPREAR1210</v>
          </cell>
          <cell r="B929" t="str">
            <v>In Progress</v>
          </cell>
          <cell r="C929">
            <v>1</v>
          </cell>
          <cell r="D929">
            <v>0</v>
          </cell>
        </row>
        <row r="930">
          <cell r="A930" t="str">
            <v>A1FSBPREAR1220</v>
          </cell>
          <cell r="B930" t="str">
            <v>Not Started</v>
          </cell>
          <cell r="C930">
            <v>0</v>
          </cell>
          <cell r="D930">
            <v>0</v>
          </cell>
        </row>
        <row r="931">
          <cell r="A931" t="str">
            <v>A1FSBPREAR1230</v>
          </cell>
          <cell r="B931" t="str">
            <v>Not Started</v>
          </cell>
          <cell r="C931">
            <v>0</v>
          </cell>
          <cell r="D931">
            <v>0</v>
          </cell>
        </row>
        <row r="932">
          <cell r="A932" t="str">
            <v>A1FSBPREAR1240</v>
          </cell>
          <cell r="B932" t="str">
            <v>Not Started</v>
          </cell>
          <cell r="C932">
            <v>0</v>
          </cell>
          <cell r="D932">
            <v>0</v>
          </cell>
        </row>
        <row r="933">
          <cell r="A933" t="str">
            <v>A1FSBPREAR1250</v>
          </cell>
          <cell r="B933" t="str">
            <v>In Progress</v>
          </cell>
          <cell r="C933">
            <v>1</v>
          </cell>
          <cell r="D933">
            <v>0</v>
          </cell>
        </row>
        <row r="934">
          <cell r="A934" t="str">
            <v>A1FSBPREAR1260</v>
          </cell>
          <cell r="B934" t="str">
            <v>In Progress</v>
          </cell>
          <cell r="C934">
            <v>1</v>
          </cell>
          <cell r="D934">
            <v>0</v>
          </cell>
        </row>
        <row r="935">
          <cell r="A935" t="str">
            <v>A1FSBPREAR1270</v>
          </cell>
          <cell r="B935" t="str">
            <v>Not Started</v>
          </cell>
          <cell r="C935">
            <v>0</v>
          </cell>
          <cell r="D935">
            <v>0</v>
          </cell>
        </row>
        <row r="936">
          <cell r="A936" t="str">
            <v>A1FSBPREAR1280</v>
          </cell>
          <cell r="B936" t="str">
            <v>Not Started</v>
          </cell>
          <cell r="C936">
            <v>0</v>
          </cell>
          <cell r="D936">
            <v>0</v>
          </cell>
        </row>
        <row r="937">
          <cell r="A937" t="str">
            <v>A1FSBPREAR1290</v>
          </cell>
          <cell r="B937" t="str">
            <v>Not Started</v>
          </cell>
          <cell r="C937">
            <v>0</v>
          </cell>
          <cell r="D937">
            <v>0</v>
          </cell>
        </row>
        <row r="938">
          <cell r="A938" t="str">
            <v>A1FSBPRELE1490</v>
          </cell>
          <cell r="B938" t="str">
            <v>Completed</v>
          </cell>
          <cell r="C938">
            <v>1</v>
          </cell>
          <cell r="D938">
            <v>1</v>
          </cell>
        </row>
        <row r="939">
          <cell r="A939" t="str">
            <v>A1FSBPRELE1500</v>
          </cell>
          <cell r="B939" t="str">
            <v>Completed</v>
          </cell>
          <cell r="C939">
            <v>1</v>
          </cell>
          <cell r="D939">
            <v>1</v>
          </cell>
        </row>
        <row r="940">
          <cell r="A940" t="str">
            <v>A1FSBPRELE1510</v>
          </cell>
          <cell r="B940" t="str">
            <v>Not Started</v>
          </cell>
          <cell r="C940">
            <v>0.1111</v>
          </cell>
          <cell r="D940">
            <v>0</v>
          </cell>
        </row>
        <row r="941">
          <cell r="A941" t="str">
            <v>A1FSBPRELE1520</v>
          </cell>
          <cell r="B941" t="str">
            <v>Not Started</v>
          </cell>
          <cell r="C941">
            <v>0</v>
          </cell>
          <cell r="D941">
            <v>0</v>
          </cell>
        </row>
        <row r="942">
          <cell r="A942" t="str">
            <v>A1FSBPRELE1530</v>
          </cell>
          <cell r="B942" t="str">
            <v>Not Started</v>
          </cell>
          <cell r="C942">
            <v>0</v>
          </cell>
          <cell r="D942">
            <v>0</v>
          </cell>
        </row>
        <row r="943">
          <cell r="A943" t="str">
            <v>A1FSBPRELE1540</v>
          </cell>
          <cell r="B943" t="str">
            <v>Not Started</v>
          </cell>
          <cell r="C943">
            <v>0</v>
          </cell>
          <cell r="D943">
            <v>0</v>
          </cell>
        </row>
        <row r="944">
          <cell r="A944" t="str">
            <v>A1FSBPRELE1550</v>
          </cell>
          <cell r="B944" t="str">
            <v>Not Started</v>
          </cell>
          <cell r="C944">
            <v>0</v>
          </cell>
          <cell r="D944">
            <v>0</v>
          </cell>
        </row>
        <row r="945">
          <cell r="A945" t="str">
            <v>A1FSBPRELE1560</v>
          </cell>
          <cell r="B945" t="str">
            <v>Completed</v>
          </cell>
          <cell r="C945">
            <v>1</v>
          </cell>
          <cell r="D945">
            <v>1</v>
          </cell>
        </row>
        <row r="946">
          <cell r="A946" t="str">
            <v>A1FSBPRELE1570</v>
          </cell>
          <cell r="B946" t="str">
            <v>Completed</v>
          </cell>
          <cell r="C946">
            <v>1</v>
          </cell>
          <cell r="D946">
            <v>1</v>
          </cell>
        </row>
        <row r="947">
          <cell r="A947" t="str">
            <v>A1FSBPRELE1580</v>
          </cell>
          <cell r="B947" t="str">
            <v>Not Started</v>
          </cell>
          <cell r="C947">
            <v>0</v>
          </cell>
          <cell r="D947">
            <v>0</v>
          </cell>
        </row>
        <row r="948">
          <cell r="A948" t="str">
            <v>A1FSBPRELE1590</v>
          </cell>
          <cell r="B948" t="str">
            <v>Not Started</v>
          </cell>
          <cell r="C948">
            <v>0</v>
          </cell>
          <cell r="D948">
            <v>0</v>
          </cell>
        </row>
        <row r="949">
          <cell r="A949" t="str">
            <v>A1FSBPRELE1600</v>
          </cell>
          <cell r="B949" t="str">
            <v>Not Started</v>
          </cell>
          <cell r="C949">
            <v>0</v>
          </cell>
          <cell r="D949">
            <v>0</v>
          </cell>
        </row>
        <row r="950">
          <cell r="A950" t="str">
            <v>A1FSBPRELE1610</v>
          </cell>
          <cell r="B950" t="str">
            <v>Not Started</v>
          </cell>
          <cell r="C950">
            <v>0</v>
          </cell>
          <cell r="D950">
            <v>0</v>
          </cell>
        </row>
        <row r="951">
          <cell r="A951" t="str">
            <v>A1FSBPRELE1620</v>
          </cell>
          <cell r="B951" t="str">
            <v>Not Started</v>
          </cell>
          <cell r="C951">
            <v>0</v>
          </cell>
          <cell r="D951">
            <v>0</v>
          </cell>
        </row>
        <row r="952">
          <cell r="A952" t="str">
            <v>A1FSBPRELE1630</v>
          </cell>
          <cell r="B952" t="str">
            <v>Completed</v>
          </cell>
          <cell r="C952">
            <v>1</v>
          </cell>
          <cell r="D952">
            <v>1</v>
          </cell>
        </row>
        <row r="953">
          <cell r="A953" t="str">
            <v>A1FSBPRELE1640</v>
          </cell>
          <cell r="B953" t="str">
            <v>Completed</v>
          </cell>
          <cell r="C953">
            <v>1</v>
          </cell>
          <cell r="D953">
            <v>1</v>
          </cell>
        </row>
        <row r="954">
          <cell r="A954" t="str">
            <v>A1FSBPRELE1650</v>
          </cell>
          <cell r="B954" t="str">
            <v>In Progress</v>
          </cell>
          <cell r="C954">
            <v>1</v>
          </cell>
          <cell r="D954">
            <v>0.15</v>
          </cell>
        </row>
        <row r="955">
          <cell r="A955" t="str">
            <v>A1FSBPRELE1660</v>
          </cell>
          <cell r="B955" t="str">
            <v>In Progress</v>
          </cell>
          <cell r="C955">
            <v>0.1125</v>
          </cell>
          <cell r="D955">
            <v>0.15</v>
          </cell>
        </row>
        <row r="956">
          <cell r="A956" t="str">
            <v>A1FSBPRELE1670</v>
          </cell>
          <cell r="B956" t="str">
            <v>In Progress</v>
          </cell>
          <cell r="C956">
            <v>0</v>
          </cell>
          <cell r="D956">
            <v>0.15</v>
          </cell>
        </row>
        <row r="957">
          <cell r="A957" t="str">
            <v>A1FSBPRELE1680</v>
          </cell>
          <cell r="B957" t="str">
            <v>Not Started</v>
          </cell>
          <cell r="C957">
            <v>0</v>
          </cell>
          <cell r="D957">
            <v>0</v>
          </cell>
        </row>
        <row r="958">
          <cell r="A958" t="str">
            <v>A1FSBPRELE1690</v>
          </cell>
          <cell r="B958" t="str">
            <v>Not Started</v>
          </cell>
          <cell r="C958">
            <v>0</v>
          </cell>
          <cell r="D958">
            <v>0</v>
          </cell>
        </row>
        <row r="959">
          <cell r="A959" t="str">
            <v>A1FSBPRELE1700</v>
          </cell>
          <cell r="B959" t="str">
            <v>In Progress</v>
          </cell>
          <cell r="C959">
            <v>1</v>
          </cell>
          <cell r="D959">
            <v>0</v>
          </cell>
        </row>
        <row r="960">
          <cell r="A960" t="str">
            <v>A1FSBPRELE1710</v>
          </cell>
          <cell r="B960" t="str">
            <v>In Progress</v>
          </cell>
          <cell r="C960">
            <v>1</v>
          </cell>
          <cell r="D960">
            <v>0</v>
          </cell>
        </row>
        <row r="961">
          <cell r="A961" t="str">
            <v>A1FSBPRELE1720</v>
          </cell>
          <cell r="B961" t="str">
            <v>Not Started</v>
          </cell>
          <cell r="C961">
            <v>0</v>
          </cell>
          <cell r="D961">
            <v>0</v>
          </cell>
        </row>
        <row r="962">
          <cell r="A962" t="str">
            <v>A1FSBPRELE1730</v>
          </cell>
          <cell r="B962" t="str">
            <v>Not Started</v>
          </cell>
          <cell r="C962">
            <v>0</v>
          </cell>
          <cell r="D962">
            <v>0</v>
          </cell>
        </row>
        <row r="963">
          <cell r="A963" t="str">
            <v>A1FSBPRELE1740</v>
          </cell>
          <cell r="B963" t="str">
            <v>Not Started</v>
          </cell>
          <cell r="C963">
            <v>0</v>
          </cell>
          <cell r="D963">
            <v>0</v>
          </cell>
        </row>
        <row r="964">
          <cell r="A964" t="str">
            <v>A1FSBPRELE1750</v>
          </cell>
          <cell r="B964" t="str">
            <v>Not Started</v>
          </cell>
          <cell r="C964">
            <v>0</v>
          </cell>
          <cell r="D964">
            <v>0</v>
          </cell>
        </row>
        <row r="965">
          <cell r="A965" t="str">
            <v>A1FSBPRELE1760</v>
          </cell>
          <cell r="B965" t="str">
            <v>Not Started</v>
          </cell>
          <cell r="C965">
            <v>0</v>
          </cell>
          <cell r="D965">
            <v>0</v>
          </cell>
        </row>
        <row r="966">
          <cell r="A966" t="str">
            <v>A1FSBPRELE1770</v>
          </cell>
          <cell r="B966" t="str">
            <v>Completed</v>
          </cell>
          <cell r="C966">
            <v>1</v>
          </cell>
          <cell r="D966">
            <v>1</v>
          </cell>
        </row>
        <row r="967">
          <cell r="A967" t="str">
            <v>A1FSBPRELE1780</v>
          </cell>
          <cell r="B967" t="str">
            <v>In Progress</v>
          </cell>
          <cell r="C967">
            <v>1</v>
          </cell>
          <cell r="D967">
            <v>0</v>
          </cell>
        </row>
        <row r="968">
          <cell r="A968" t="str">
            <v>A1FSBPRELE1790</v>
          </cell>
          <cell r="B968" t="str">
            <v>Not Started</v>
          </cell>
          <cell r="C968">
            <v>0</v>
          </cell>
          <cell r="D968">
            <v>0</v>
          </cell>
        </row>
        <row r="969">
          <cell r="A969" t="str">
            <v>A1FSBPRELE1800</v>
          </cell>
          <cell r="B969" t="str">
            <v>Not Started</v>
          </cell>
          <cell r="C969">
            <v>0</v>
          </cell>
          <cell r="D969">
            <v>0</v>
          </cell>
        </row>
        <row r="970">
          <cell r="A970" t="str">
            <v>A1FSBPRELE1810</v>
          </cell>
          <cell r="B970" t="str">
            <v>Not Started</v>
          </cell>
          <cell r="C970">
            <v>0</v>
          </cell>
          <cell r="D970">
            <v>0</v>
          </cell>
        </row>
        <row r="971">
          <cell r="A971" t="str">
            <v>A1FSBPRELE1820</v>
          </cell>
          <cell r="B971" t="str">
            <v>Not Started</v>
          </cell>
          <cell r="C971">
            <v>0</v>
          </cell>
          <cell r="D971">
            <v>0</v>
          </cell>
        </row>
        <row r="972">
          <cell r="A972" t="str">
            <v>A1FSBPRELE1830</v>
          </cell>
          <cell r="B972" t="str">
            <v>Not Started</v>
          </cell>
          <cell r="C972">
            <v>0</v>
          </cell>
          <cell r="D972">
            <v>0</v>
          </cell>
        </row>
        <row r="973">
          <cell r="A973" t="str">
            <v>A1FSBPRELE1840</v>
          </cell>
          <cell r="B973" t="str">
            <v>In Progress</v>
          </cell>
          <cell r="C973">
            <v>1</v>
          </cell>
          <cell r="D973">
            <v>0</v>
          </cell>
        </row>
        <row r="974">
          <cell r="A974" t="str">
            <v>A1FSBPRELE1850</v>
          </cell>
          <cell r="B974" t="str">
            <v>In Progress</v>
          </cell>
          <cell r="C974">
            <v>1</v>
          </cell>
          <cell r="D974">
            <v>0</v>
          </cell>
        </row>
        <row r="975">
          <cell r="A975" t="str">
            <v>A1FSBPRELE1860</v>
          </cell>
          <cell r="B975" t="str">
            <v>Not Started</v>
          </cell>
          <cell r="C975">
            <v>0</v>
          </cell>
          <cell r="D975">
            <v>0</v>
          </cell>
        </row>
        <row r="976">
          <cell r="A976" t="str">
            <v>A1FSBPRELE1870</v>
          </cell>
          <cell r="B976" t="str">
            <v>Not Started</v>
          </cell>
          <cell r="C976">
            <v>0</v>
          </cell>
          <cell r="D976">
            <v>0</v>
          </cell>
        </row>
        <row r="977">
          <cell r="A977" t="str">
            <v>A1FSBPRELE1880</v>
          </cell>
          <cell r="B977" t="str">
            <v>Not Started</v>
          </cell>
          <cell r="C977">
            <v>0</v>
          </cell>
          <cell r="D977">
            <v>0</v>
          </cell>
        </row>
        <row r="978">
          <cell r="A978" t="str">
            <v>A1FSBPRELE1890</v>
          </cell>
          <cell r="B978" t="str">
            <v>Not Started</v>
          </cell>
          <cell r="C978">
            <v>0</v>
          </cell>
          <cell r="D978">
            <v>0</v>
          </cell>
        </row>
        <row r="979">
          <cell r="A979" t="str">
            <v>A1FSBPRELE1900</v>
          </cell>
          <cell r="B979" t="str">
            <v>Not Started</v>
          </cell>
          <cell r="C979">
            <v>0</v>
          </cell>
          <cell r="D979">
            <v>0</v>
          </cell>
        </row>
        <row r="980">
          <cell r="A980" t="str">
            <v>A1FSBPRELE1910</v>
          </cell>
          <cell r="B980" t="str">
            <v>In Progress</v>
          </cell>
          <cell r="C980">
            <v>1</v>
          </cell>
          <cell r="D980">
            <v>0</v>
          </cell>
        </row>
        <row r="981">
          <cell r="A981" t="str">
            <v>A1FSBPRELE1920</v>
          </cell>
          <cell r="B981" t="str">
            <v>In Progress</v>
          </cell>
          <cell r="C981">
            <v>0.95830000000000004</v>
          </cell>
          <cell r="D981">
            <v>0</v>
          </cell>
        </row>
        <row r="982">
          <cell r="A982" t="str">
            <v>A1FSBPRELE1930</v>
          </cell>
          <cell r="B982" t="str">
            <v>Not Started</v>
          </cell>
          <cell r="C982">
            <v>0</v>
          </cell>
          <cell r="D982">
            <v>0</v>
          </cell>
        </row>
        <row r="983">
          <cell r="A983" t="str">
            <v>A1FSBPRELE1940</v>
          </cell>
          <cell r="B983" t="str">
            <v>Not Started</v>
          </cell>
          <cell r="C983">
            <v>0</v>
          </cell>
          <cell r="D983">
            <v>0</v>
          </cell>
        </row>
        <row r="984">
          <cell r="A984" t="str">
            <v>A1FSBPRELE1950</v>
          </cell>
          <cell r="B984" t="str">
            <v>Not Started</v>
          </cell>
          <cell r="C984">
            <v>0</v>
          </cell>
          <cell r="D984">
            <v>0</v>
          </cell>
        </row>
        <row r="985">
          <cell r="A985" t="str">
            <v>A1FSBPRELE1960</v>
          </cell>
          <cell r="B985" t="str">
            <v>Not Started</v>
          </cell>
          <cell r="C985">
            <v>0</v>
          </cell>
          <cell r="D985">
            <v>0</v>
          </cell>
        </row>
        <row r="986">
          <cell r="A986" t="str">
            <v>A1FSBPRELE1970</v>
          </cell>
          <cell r="B986" t="str">
            <v>Not Started</v>
          </cell>
          <cell r="C986">
            <v>0</v>
          </cell>
          <cell r="D986">
            <v>0</v>
          </cell>
        </row>
        <row r="987">
          <cell r="A987" t="str">
            <v>A1FSBPRELE2000</v>
          </cell>
          <cell r="B987" t="str">
            <v>Completed</v>
          </cell>
          <cell r="C987">
            <v>1</v>
          </cell>
          <cell r="D987">
            <v>1</v>
          </cell>
        </row>
        <row r="988">
          <cell r="A988" t="str">
            <v>A1FSBPRELE2010</v>
          </cell>
          <cell r="B988" t="str">
            <v>Completed</v>
          </cell>
          <cell r="C988">
            <v>1</v>
          </cell>
          <cell r="D988">
            <v>1</v>
          </cell>
        </row>
        <row r="989">
          <cell r="A989" t="str">
            <v>A1FSBPRELE2020</v>
          </cell>
          <cell r="B989" t="str">
            <v>Not Started</v>
          </cell>
          <cell r="C989">
            <v>0.1389</v>
          </cell>
          <cell r="D989">
            <v>0</v>
          </cell>
        </row>
        <row r="990">
          <cell r="A990" t="str">
            <v>A1FSBPRELE2030</v>
          </cell>
          <cell r="B990" t="str">
            <v>Not Started</v>
          </cell>
          <cell r="C990">
            <v>0</v>
          </cell>
          <cell r="D990">
            <v>0</v>
          </cell>
        </row>
        <row r="991">
          <cell r="A991" t="str">
            <v>A1FSBPRELE2040</v>
          </cell>
          <cell r="B991" t="str">
            <v>Not Started</v>
          </cell>
          <cell r="C991">
            <v>0</v>
          </cell>
          <cell r="D991">
            <v>0</v>
          </cell>
        </row>
        <row r="992">
          <cell r="A992" t="str">
            <v>A1FSBPRELE2050</v>
          </cell>
          <cell r="B992" t="str">
            <v>Not Started</v>
          </cell>
          <cell r="C992">
            <v>0</v>
          </cell>
          <cell r="D992">
            <v>0</v>
          </cell>
        </row>
        <row r="993">
          <cell r="A993" t="str">
            <v>A1FSBPRELE2060</v>
          </cell>
          <cell r="B993" t="str">
            <v>Not Started</v>
          </cell>
          <cell r="C993">
            <v>0</v>
          </cell>
          <cell r="D993">
            <v>0</v>
          </cell>
        </row>
        <row r="994">
          <cell r="A994" t="str">
            <v>A1FSBPRELE2070</v>
          </cell>
          <cell r="B994" t="str">
            <v>Completed</v>
          </cell>
          <cell r="C994">
            <v>1</v>
          </cell>
          <cell r="D994">
            <v>1</v>
          </cell>
        </row>
        <row r="995">
          <cell r="A995" t="str">
            <v>A1FSBPRELE2080</v>
          </cell>
          <cell r="B995" t="str">
            <v>Completed</v>
          </cell>
          <cell r="C995">
            <v>1</v>
          </cell>
          <cell r="D995">
            <v>1</v>
          </cell>
        </row>
        <row r="996">
          <cell r="A996" t="str">
            <v>A1FSBPRELE2090</v>
          </cell>
          <cell r="B996" t="str">
            <v>Not Started</v>
          </cell>
          <cell r="C996">
            <v>0.41670000000000001</v>
          </cell>
          <cell r="D996">
            <v>0</v>
          </cell>
        </row>
        <row r="997">
          <cell r="A997" t="str">
            <v>A1FSBPRELE2100</v>
          </cell>
          <cell r="B997" t="str">
            <v>Not Started</v>
          </cell>
          <cell r="C997">
            <v>0</v>
          </cell>
          <cell r="D997">
            <v>0</v>
          </cell>
        </row>
        <row r="998">
          <cell r="A998" t="str">
            <v>A1FSBPRELE2110</v>
          </cell>
          <cell r="B998" t="str">
            <v>Not Started</v>
          </cell>
          <cell r="C998">
            <v>0</v>
          </cell>
          <cell r="D998">
            <v>0</v>
          </cell>
        </row>
        <row r="999">
          <cell r="A999" t="str">
            <v>A1FSBPRELE2120</v>
          </cell>
          <cell r="B999" t="str">
            <v>Not Started</v>
          </cell>
          <cell r="C999">
            <v>0</v>
          </cell>
          <cell r="D999">
            <v>0</v>
          </cell>
        </row>
        <row r="1000">
          <cell r="A1000" t="str">
            <v>A1FSBPRELE2130</v>
          </cell>
          <cell r="B1000" t="str">
            <v>Not Started</v>
          </cell>
          <cell r="C1000">
            <v>0</v>
          </cell>
          <cell r="D1000">
            <v>0</v>
          </cell>
        </row>
        <row r="1001">
          <cell r="A1001" t="str">
            <v>A1FSBPRELE2140</v>
          </cell>
          <cell r="B1001" t="str">
            <v>In Progress</v>
          </cell>
          <cell r="C1001">
            <v>1</v>
          </cell>
          <cell r="D1001">
            <v>0</v>
          </cell>
        </row>
        <row r="1002">
          <cell r="A1002" t="str">
            <v>A1FSBPRELE2150</v>
          </cell>
          <cell r="B1002" t="str">
            <v>In Progress</v>
          </cell>
          <cell r="C1002">
            <v>1</v>
          </cell>
          <cell r="D1002">
            <v>0</v>
          </cell>
        </row>
        <row r="1003">
          <cell r="A1003" t="str">
            <v>A1FSBPRELE2160</v>
          </cell>
          <cell r="B1003" t="str">
            <v>Not Started</v>
          </cell>
          <cell r="C1003">
            <v>0</v>
          </cell>
          <cell r="D1003">
            <v>0</v>
          </cell>
        </row>
        <row r="1004">
          <cell r="A1004" t="str">
            <v>A1FSBPRELE2170</v>
          </cell>
          <cell r="B1004" t="str">
            <v>Not Started</v>
          </cell>
          <cell r="C1004">
            <v>0</v>
          </cell>
          <cell r="D1004">
            <v>0</v>
          </cell>
        </row>
        <row r="1005">
          <cell r="A1005" t="str">
            <v>A1FSBPRELE2180</v>
          </cell>
          <cell r="B1005" t="str">
            <v>Not Started</v>
          </cell>
          <cell r="C1005">
            <v>0</v>
          </cell>
          <cell r="D1005">
            <v>0</v>
          </cell>
        </row>
        <row r="1006">
          <cell r="A1006" t="str">
            <v>A1FSBPRELE2190</v>
          </cell>
          <cell r="B1006" t="str">
            <v>Not Started</v>
          </cell>
          <cell r="C1006">
            <v>0</v>
          </cell>
          <cell r="D1006">
            <v>0</v>
          </cell>
        </row>
        <row r="1007">
          <cell r="A1007" t="str">
            <v>A1FSBPRELE2200</v>
          </cell>
          <cell r="B1007" t="str">
            <v>Not Started</v>
          </cell>
          <cell r="C1007">
            <v>0</v>
          </cell>
          <cell r="D1007">
            <v>0</v>
          </cell>
        </row>
        <row r="1008">
          <cell r="A1008" t="str">
            <v>A1FSBPRINS1280</v>
          </cell>
          <cell r="B1008" t="str">
            <v>In Progress</v>
          </cell>
          <cell r="C1008">
            <v>1</v>
          </cell>
          <cell r="D1008">
            <v>0</v>
          </cell>
        </row>
        <row r="1009">
          <cell r="A1009" t="str">
            <v>A1FSBPRINS1281</v>
          </cell>
          <cell r="B1009" t="str">
            <v>In Progress</v>
          </cell>
          <cell r="C1009">
            <v>1</v>
          </cell>
          <cell r="D1009">
            <v>0</v>
          </cell>
        </row>
        <row r="1010">
          <cell r="A1010" t="str">
            <v>A1FSBPRINS1290</v>
          </cell>
          <cell r="B1010" t="str">
            <v>In Progress</v>
          </cell>
          <cell r="C1010">
            <v>1</v>
          </cell>
          <cell r="D1010">
            <v>0</v>
          </cell>
        </row>
        <row r="1011">
          <cell r="A1011" t="str">
            <v>A1FSBPRINS1291</v>
          </cell>
          <cell r="B1011" t="str">
            <v>In Progress</v>
          </cell>
          <cell r="C1011">
            <v>1</v>
          </cell>
          <cell r="D1011">
            <v>0</v>
          </cell>
        </row>
        <row r="1012">
          <cell r="A1012" t="str">
            <v>A1FSBPRINS1300</v>
          </cell>
          <cell r="B1012" t="str">
            <v>Not Started</v>
          </cell>
          <cell r="C1012">
            <v>0</v>
          </cell>
          <cell r="D1012">
            <v>0</v>
          </cell>
        </row>
        <row r="1013">
          <cell r="A1013" t="str">
            <v>A1FSBPRINS1301</v>
          </cell>
          <cell r="B1013" t="str">
            <v>Not Started</v>
          </cell>
          <cell r="C1013">
            <v>0</v>
          </cell>
          <cell r="D1013">
            <v>0</v>
          </cell>
        </row>
        <row r="1014">
          <cell r="A1014" t="str">
            <v>A1FSBPRINS1310</v>
          </cell>
          <cell r="B1014" t="str">
            <v>Not Started</v>
          </cell>
          <cell r="C1014">
            <v>0</v>
          </cell>
          <cell r="D1014">
            <v>0</v>
          </cell>
        </row>
        <row r="1015">
          <cell r="A1015" t="str">
            <v>A1FSBPRINS1311</v>
          </cell>
          <cell r="B1015" t="str">
            <v>Not Started</v>
          </cell>
          <cell r="C1015">
            <v>0</v>
          </cell>
          <cell r="D1015">
            <v>0</v>
          </cell>
        </row>
        <row r="1016">
          <cell r="A1016" t="str">
            <v>A1FSBPRINS1320</v>
          </cell>
          <cell r="B1016" t="str">
            <v>Not Started</v>
          </cell>
          <cell r="C1016">
            <v>0</v>
          </cell>
          <cell r="D1016">
            <v>0</v>
          </cell>
        </row>
        <row r="1017">
          <cell r="A1017" t="str">
            <v>A1FSBPRINS1321</v>
          </cell>
          <cell r="B1017" t="str">
            <v>Not Started</v>
          </cell>
          <cell r="C1017">
            <v>0</v>
          </cell>
          <cell r="D1017">
            <v>0</v>
          </cell>
        </row>
        <row r="1018">
          <cell r="A1018" t="str">
            <v>A1FSBPRINS1330</v>
          </cell>
          <cell r="B1018" t="str">
            <v>Not Started</v>
          </cell>
          <cell r="C1018">
            <v>0</v>
          </cell>
          <cell r="D1018">
            <v>0</v>
          </cell>
        </row>
        <row r="1019">
          <cell r="A1019" t="str">
            <v>A1FSBPRINS1331</v>
          </cell>
          <cell r="B1019" t="str">
            <v>Not Started</v>
          </cell>
          <cell r="C1019">
            <v>0</v>
          </cell>
          <cell r="D1019">
            <v>0</v>
          </cell>
        </row>
        <row r="1020">
          <cell r="A1020" t="str">
            <v>A1FSBPRINS1340</v>
          </cell>
          <cell r="B1020" t="str">
            <v>Not Started</v>
          </cell>
          <cell r="C1020">
            <v>0</v>
          </cell>
          <cell r="D1020">
            <v>0</v>
          </cell>
        </row>
        <row r="1021">
          <cell r="A1021" t="str">
            <v>A1FSBPRINS1341</v>
          </cell>
          <cell r="B1021" t="str">
            <v>Not Started</v>
          </cell>
          <cell r="C1021">
            <v>0</v>
          </cell>
          <cell r="D1021">
            <v>0</v>
          </cell>
        </row>
        <row r="1022">
          <cell r="A1022" t="str">
            <v>A1FSBPRINS1420</v>
          </cell>
          <cell r="B1022" t="str">
            <v>In Progress</v>
          </cell>
          <cell r="C1022">
            <v>1</v>
          </cell>
          <cell r="D1022">
            <v>0</v>
          </cell>
        </row>
        <row r="1023">
          <cell r="A1023" t="str">
            <v>A1FSBPRINS1430</v>
          </cell>
          <cell r="B1023" t="str">
            <v>In Progress</v>
          </cell>
          <cell r="C1023">
            <v>1</v>
          </cell>
          <cell r="D1023">
            <v>0</v>
          </cell>
        </row>
        <row r="1024">
          <cell r="A1024" t="str">
            <v>A1FSBPRINS1440</v>
          </cell>
          <cell r="B1024" t="str">
            <v>Not Started</v>
          </cell>
          <cell r="C1024">
            <v>0</v>
          </cell>
          <cell r="D1024">
            <v>0</v>
          </cell>
        </row>
        <row r="1025">
          <cell r="A1025" t="str">
            <v>A1FSBPRINS1450</v>
          </cell>
          <cell r="B1025" t="str">
            <v>Not Started</v>
          </cell>
          <cell r="C1025">
            <v>0</v>
          </cell>
          <cell r="D1025">
            <v>0</v>
          </cell>
        </row>
        <row r="1026">
          <cell r="A1026" t="str">
            <v>A1FSBPRINS1460</v>
          </cell>
          <cell r="B1026" t="str">
            <v>Not Started</v>
          </cell>
          <cell r="C1026">
            <v>0</v>
          </cell>
          <cell r="D1026">
            <v>0</v>
          </cell>
        </row>
        <row r="1027">
          <cell r="A1027" t="str">
            <v>A1FSBPRINS1470</v>
          </cell>
          <cell r="B1027" t="str">
            <v>Not Started</v>
          </cell>
          <cell r="C1027">
            <v>0</v>
          </cell>
          <cell r="D1027">
            <v>0</v>
          </cell>
        </row>
        <row r="1028">
          <cell r="A1028" t="str">
            <v>A1FSBPRINS1480</v>
          </cell>
          <cell r="B1028" t="str">
            <v>Not Started</v>
          </cell>
          <cell r="C1028">
            <v>0</v>
          </cell>
          <cell r="D1028">
            <v>0</v>
          </cell>
        </row>
        <row r="1029">
          <cell r="A1029" t="str">
            <v>A1FSBPRLAN1400</v>
          </cell>
          <cell r="B1029" t="str">
            <v>In Progress</v>
          </cell>
          <cell r="C1029">
            <v>1</v>
          </cell>
          <cell r="D1029">
            <v>0</v>
          </cell>
        </row>
        <row r="1030">
          <cell r="A1030" t="str">
            <v>A1FSBPRLAN1410</v>
          </cell>
          <cell r="B1030" t="str">
            <v>In Progress</v>
          </cell>
          <cell r="C1030">
            <v>0.47920000000000001</v>
          </cell>
          <cell r="D1030">
            <v>0</v>
          </cell>
        </row>
        <row r="1031">
          <cell r="A1031" t="str">
            <v>A1FSBPRLAN1420</v>
          </cell>
          <cell r="B1031" t="str">
            <v>Not Started</v>
          </cell>
          <cell r="C1031">
            <v>0</v>
          </cell>
          <cell r="D1031">
            <v>0</v>
          </cell>
        </row>
        <row r="1032">
          <cell r="A1032" t="str">
            <v>A1FSBPRLAN1430</v>
          </cell>
          <cell r="B1032" t="str">
            <v>Not Started</v>
          </cell>
          <cell r="C1032">
            <v>0</v>
          </cell>
          <cell r="D1032">
            <v>0</v>
          </cell>
        </row>
        <row r="1033">
          <cell r="A1033" t="str">
            <v>A1FSBPRLAN1440</v>
          </cell>
          <cell r="B1033" t="str">
            <v>Not Started</v>
          </cell>
          <cell r="C1033">
            <v>0</v>
          </cell>
          <cell r="D1033">
            <v>0</v>
          </cell>
        </row>
        <row r="1034">
          <cell r="A1034" t="str">
            <v>A1FSBPRLAN1450</v>
          </cell>
          <cell r="B1034" t="str">
            <v>In Progress</v>
          </cell>
          <cell r="C1034">
            <v>1</v>
          </cell>
          <cell r="D1034">
            <v>0</v>
          </cell>
        </row>
        <row r="1035">
          <cell r="A1035" t="str">
            <v>A1FSBPRLAN1460</v>
          </cell>
          <cell r="B1035" t="str">
            <v>In Progress</v>
          </cell>
          <cell r="C1035">
            <v>1</v>
          </cell>
          <cell r="D1035">
            <v>0</v>
          </cell>
        </row>
        <row r="1036">
          <cell r="A1036" t="str">
            <v>A1FSBPRLAN1470</v>
          </cell>
          <cell r="B1036" t="str">
            <v>Not Started</v>
          </cell>
          <cell r="C1036">
            <v>0</v>
          </cell>
          <cell r="D1036">
            <v>0</v>
          </cell>
        </row>
        <row r="1037">
          <cell r="A1037" t="str">
            <v>A1FSBPRLAN1480</v>
          </cell>
          <cell r="B1037" t="str">
            <v>Not Started</v>
          </cell>
          <cell r="C1037">
            <v>0</v>
          </cell>
          <cell r="D1037">
            <v>0</v>
          </cell>
        </row>
        <row r="1038">
          <cell r="A1038" t="str">
            <v>A1FSBPRLAN1490</v>
          </cell>
          <cell r="B1038" t="str">
            <v>Not Started</v>
          </cell>
          <cell r="C1038">
            <v>0</v>
          </cell>
          <cell r="D1038">
            <v>0</v>
          </cell>
        </row>
        <row r="1039">
          <cell r="A1039" t="str">
            <v>A1FSBPRLAN1500</v>
          </cell>
          <cell r="B1039" t="str">
            <v>In Progress</v>
          </cell>
          <cell r="C1039">
            <v>1</v>
          </cell>
          <cell r="D1039">
            <v>0</v>
          </cell>
        </row>
        <row r="1040">
          <cell r="A1040" t="str">
            <v>A1FSBPRLAN1510</v>
          </cell>
          <cell r="B1040" t="str">
            <v>In Progress</v>
          </cell>
          <cell r="C1040">
            <v>0.70450000000000002</v>
          </cell>
          <cell r="D1040">
            <v>0</v>
          </cell>
        </row>
        <row r="1041">
          <cell r="A1041" t="str">
            <v>A1FSBPRLAN1520</v>
          </cell>
          <cell r="B1041" t="str">
            <v>Not Started</v>
          </cell>
          <cell r="C1041">
            <v>0</v>
          </cell>
          <cell r="D1041">
            <v>0</v>
          </cell>
        </row>
        <row r="1042">
          <cell r="A1042" t="str">
            <v>A1FSBPRLAN1530</v>
          </cell>
          <cell r="B1042" t="str">
            <v>Not Started</v>
          </cell>
          <cell r="C1042">
            <v>0</v>
          </cell>
          <cell r="D1042">
            <v>0</v>
          </cell>
        </row>
        <row r="1043">
          <cell r="A1043" t="str">
            <v>A1FSBPRLAN1540</v>
          </cell>
          <cell r="B1043" t="str">
            <v>Not Started</v>
          </cell>
          <cell r="C1043">
            <v>0</v>
          </cell>
          <cell r="D1043">
            <v>0</v>
          </cell>
        </row>
        <row r="1044">
          <cell r="A1044" t="str">
            <v>A1FSBPRLAN1550</v>
          </cell>
          <cell r="B1044" t="str">
            <v>In Progress</v>
          </cell>
          <cell r="C1044">
            <v>1</v>
          </cell>
          <cell r="D1044">
            <v>0</v>
          </cell>
        </row>
        <row r="1045">
          <cell r="A1045" t="str">
            <v>A1FSBPRLAN1560</v>
          </cell>
          <cell r="B1045" t="str">
            <v>In Progress</v>
          </cell>
          <cell r="C1045">
            <v>0.8125</v>
          </cell>
          <cell r="D1045">
            <v>0</v>
          </cell>
        </row>
        <row r="1046">
          <cell r="A1046" t="str">
            <v>A1FSBPRLAN1570</v>
          </cell>
          <cell r="B1046" t="str">
            <v>Not Started</v>
          </cell>
          <cell r="C1046">
            <v>0</v>
          </cell>
          <cell r="D1046">
            <v>0</v>
          </cell>
        </row>
        <row r="1047">
          <cell r="A1047" t="str">
            <v>A1FSBPRLAN1580</v>
          </cell>
          <cell r="B1047" t="str">
            <v>Not Started</v>
          </cell>
          <cell r="C1047">
            <v>0</v>
          </cell>
          <cell r="D1047">
            <v>0</v>
          </cell>
        </row>
        <row r="1048">
          <cell r="A1048" t="str">
            <v>A1FSBPRLAN1590</v>
          </cell>
          <cell r="B1048" t="str">
            <v>Not Started</v>
          </cell>
          <cell r="C1048">
            <v>0</v>
          </cell>
          <cell r="D1048">
            <v>0</v>
          </cell>
        </row>
        <row r="1049">
          <cell r="A1049" t="str">
            <v>A1FSBPRLAN1600</v>
          </cell>
          <cell r="B1049" t="str">
            <v>In Progress</v>
          </cell>
          <cell r="C1049">
            <v>1</v>
          </cell>
          <cell r="D1049">
            <v>0</v>
          </cell>
        </row>
        <row r="1050">
          <cell r="A1050" t="str">
            <v>A1FSBPRLAN1610</v>
          </cell>
          <cell r="B1050" t="str">
            <v>In Progress</v>
          </cell>
          <cell r="C1050">
            <v>0.58330000000000004</v>
          </cell>
          <cell r="D1050">
            <v>0</v>
          </cell>
        </row>
        <row r="1051">
          <cell r="A1051" t="str">
            <v>A1FSBPRLAN1620</v>
          </cell>
          <cell r="B1051" t="str">
            <v>Not Started</v>
          </cell>
          <cell r="C1051">
            <v>0</v>
          </cell>
          <cell r="D1051">
            <v>0</v>
          </cell>
        </row>
        <row r="1052">
          <cell r="A1052" t="str">
            <v>A1FSBPRLAN1630</v>
          </cell>
          <cell r="B1052" t="str">
            <v>Not Started</v>
          </cell>
          <cell r="C1052">
            <v>0</v>
          </cell>
          <cell r="D1052">
            <v>0</v>
          </cell>
        </row>
        <row r="1053">
          <cell r="A1053" t="str">
            <v>A1FSBPRLAN1640</v>
          </cell>
          <cell r="B1053" t="str">
            <v>Not Started</v>
          </cell>
          <cell r="C1053">
            <v>0</v>
          </cell>
          <cell r="D1053">
            <v>0</v>
          </cell>
        </row>
        <row r="1054">
          <cell r="A1054" t="str">
            <v>A1FSBPRLAN1650</v>
          </cell>
          <cell r="B1054" t="str">
            <v>In Progress</v>
          </cell>
          <cell r="C1054">
            <v>1</v>
          </cell>
          <cell r="D1054">
            <v>0</v>
          </cell>
        </row>
        <row r="1055">
          <cell r="A1055" t="str">
            <v>A1FSBPRLAN1660</v>
          </cell>
          <cell r="B1055" t="str">
            <v>In Progress</v>
          </cell>
          <cell r="C1055">
            <v>0.61360000000000003</v>
          </cell>
          <cell r="D1055">
            <v>0</v>
          </cell>
        </row>
        <row r="1056">
          <cell r="A1056" t="str">
            <v>A1FSBPRLAN1670</v>
          </cell>
          <cell r="B1056" t="str">
            <v>Not Started</v>
          </cell>
          <cell r="C1056">
            <v>0</v>
          </cell>
          <cell r="D1056">
            <v>0</v>
          </cell>
        </row>
        <row r="1057">
          <cell r="A1057" t="str">
            <v>A1FSBPRLAN1680</v>
          </cell>
          <cell r="B1057" t="str">
            <v>Not Started</v>
          </cell>
          <cell r="C1057">
            <v>0</v>
          </cell>
          <cell r="D1057">
            <v>0</v>
          </cell>
        </row>
        <row r="1058">
          <cell r="A1058" t="str">
            <v>A1FSBPRLAN1690</v>
          </cell>
          <cell r="B1058" t="str">
            <v>Not Started</v>
          </cell>
          <cell r="C1058">
            <v>0</v>
          </cell>
          <cell r="D1058">
            <v>0</v>
          </cell>
        </row>
        <row r="1059">
          <cell r="A1059" t="str">
            <v>A1FSBPRLAN1700</v>
          </cell>
          <cell r="B1059" t="str">
            <v>In Progress</v>
          </cell>
          <cell r="C1059">
            <v>1</v>
          </cell>
          <cell r="D1059">
            <v>0</v>
          </cell>
        </row>
        <row r="1060">
          <cell r="A1060" t="str">
            <v>A1FSBPRLAN1710</v>
          </cell>
          <cell r="B1060" t="str">
            <v>In Progress</v>
          </cell>
          <cell r="C1060">
            <v>0.67500000000000004</v>
          </cell>
          <cell r="D1060">
            <v>0</v>
          </cell>
        </row>
        <row r="1061">
          <cell r="A1061" t="str">
            <v>A1FSBPRLAN1720</v>
          </cell>
          <cell r="B1061" t="str">
            <v>Not Started</v>
          </cell>
          <cell r="C1061">
            <v>0</v>
          </cell>
          <cell r="D1061">
            <v>0</v>
          </cell>
        </row>
        <row r="1062">
          <cell r="A1062" t="str">
            <v>A1FSBPRLAN1730</v>
          </cell>
          <cell r="B1062" t="str">
            <v>Not Started</v>
          </cell>
          <cell r="C1062">
            <v>0</v>
          </cell>
          <cell r="D1062">
            <v>0</v>
          </cell>
        </row>
        <row r="1063">
          <cell r="A1063" t="str">
            <v>A1FSBPRLAN1740</v>
          </cell>
          <cell r="B1063" t="str">
            <v>Not Started</v>
          </cell>
          <cell r="C1063">
            <v>0</v>
          </cell>
          <cell r="D1063">
            <v>0</v>
          </cell>
        </row>
        <row r="1064">
          <cell r="A1064" t="str">
            <v>A1FSBPRLAN1750</v>
          </cell>
          <cell r="B1064" t="str">
            <v>In Progress</v>
          </cell>
          <cell r="C1064">
            <v>1</v>
          </cell>
          <cell r="D1064">
            <v>0</v>
          </cell>
        </row>
        <row r="1065">
          <cell r="A1065" t="str">
            <v>A1FSBPRLAN1760</v>
          </cell>
          <cell r="B1065" t="str">
            <v>In Progress</v>
          </cell>
          <cell r="C1065">
            <v>0.3654</v>
          </cell>
          <cell r="D1065">
            <v>0</v>
          </cell>
        </row>
        <row r="1066">
          <cell r="A1066" t="str">
            <v>A1FSBPRLAN1770</v>
          </cell>
          <cell r="B1066" t="str">
            <v>Not Started</v>
          </cell>
          <cell r="C1066">
            <v>0</v>
          </cell>
          <cell r="D1066">
            <v>0</v>
          </cell>
        </row>
        <row r="1067">
          <cell r="A1067" t="str">
            <v>A1FSBPRLAN1780</v>
          </cell>
          <cell r="B1067" t="str">
            <v>Not Started</v>
          </cell>
          <cell r="C1067">
            <v>0</v>
          </cell>
          <cell r="D1067">
            <v>0</v>
          </cell>
        </row>
        <row r="1068">
          <cell r="A1068" t="str">
            <v>A1FSBPRLAN1790</v>
          </cell>
          <cell r="B1068" t="str">
            <v>Not Started</v>
          </cell>
          <cell r="C1068">
            <v>0</v>
          </cell>
          <cell r="D1068">
            <v>0</v>
          </cell>
        </row>
        <row r="1069">
          <cell r="A1069" t="str">
            <v>A1FSBPRMEC4000</v>
          </cell>
          <cell r="B1069" t="str">
            <v>In Progress</v>
          </cell>
          <cell r="C1069">
            <v>1</v>
          </cell>
          <cell r="D1069">
            <v>0</v>
          </cell>
        </row>
        <row r="1070">
          <cell r="A1070" t="str">
            <v>A1FSBPRMEC4020</v>
          </cell>
          <cell r="B1070" t="str">
            <v>In Progress</v>
          </cell>
          <cell r="C1070">
            <v>1</v>
          </cell>
          <cell r="D1070">
            <v>0</v>
          </cell>
        </row>
        <row r="1071">
          <cell r="A1071" t="str">
            <v>A1FSBPRMEC4040</v>
          </cell>
          <cell r="B1071" t="str">
            <v>In Progress</v>
          </cell>
          <cell r="C1071">
            <v>1</v>
          </cell>
          <cell r="D1071">
            <v>0</v>
          </cell>
        </row>
        <row r="1072">
          <cell r="A1072" t="str">
            <v>A1FSBPRMEC4060</v>
          </cell>
          <cell r="B1072" t="str">
            <v>In Progress</v>
          </cell>
          <cell r="C1072">
            <v>1</v>
          </cell>
          <cell r="D1072">
            <v>0</v>
          </cell>
        </row>
        <row r="1073">
          <cell r="A1073" t="str">
            <v>A1FSBPRMEC4080</v>
          </cell>
          <cell r="B1073" t="str">
            <v>In Progress</v>
          </cell>
          <cell r="C1073">
            <v>1</v>
          </cell>
          <cell r="D1073">
            <v>0</v>
          </cell>
        </row>
        <row r="1074">
          <cell r="A1074" t="str">
            <v>A1FSBPRMEC4100</v>
          </cell>
          <cell r="B1074" t="str">
            <v>In Progress</v>
          </cell>
          <cell r="C1074">
            <v>1</v>
          </cell>
          <cell r="D1074">
            <v>0</v>
          </cell>
        </row>
        <row r="1075">
          <cell r="A1075" t="str">
            <v>A1FSBPRMEC4360</v>
          </cell>
          <cell r="B1075" t="str">
            <v>In Progress</v>
          </cell>
          <cell r="C1075">
            <v>1</v>
          </cell>
          <cell r="D1075">
            <v>0</v>
          </cell>
        </row>
        <row r="1076">
          <cell r="A1076" t="str">
            <v>A1FSBPRMEC4380</v>
          </cell>
          <cell r="B1076" t="str">
            <v>Completed</v>
          </cell>
          <cell r="C1076">
            <v>1</v>
          </cell>
          <cell r="D1076">
            <v>1</v>
          </cell>
        </row>
        <row r="1077">
          <cell r="A1077" t="str">
            <v>A1FSBPRMEC4400</v>
          </cell>
          <cell r="B1077" t="str">
            <v>Completed</v>
          </cell>
          <cell r="C1077">
            <v>1</v>
          </cell>
          <cell r="D1077">
            <v>1</v>
          </cell>
        </row>
        <row r="1078">
          <cell r="A1078" t="str">
            <v>A1FSBPRMEC4420</v>
          </cell>
          <cell r="B1078" t="str">
            <v>In Progress</v>
          </cell>
          <cell r="C1078">
            <v>1</v>
          </cell>
          <cell r="D1078">
            <v>0</v>
          </cell>
        </row>
        <row r="1079">
          <cell r="A1079" t="str">
            <v>A1FSBPRMEC4440</v>
          </cell>
          <cell r="B1079" t="str">
            <v>In Progress</v>
          </cell>
          <cell r="C1079">
            <v>1</v>
          </cell>
          <cell r="D1079">
            <v>0</v>
          </cell>
        </row>
        <row r="1080">
          <cell r="A1080" t="str">
            <v>A1FSBPRMEC4460</v>
          </cell>
          <cell r="B1080" t="str">
            <v>In Progress</v>
          </cell>
          <cell r="C1080">
            <v>1</v>
          </cell>
          <cell r="D1080">
            <v>0</v>
          </cell>
        </row>
        <row r="1081">
          <cell r="A1081" t="str">
            <v>A1FSBPRMEC4480</v>
          </cell>
          <cell r="B1081" t="str">
            <v>Completed</v>
          </cell>
          <cell r="C1081">
            <v>1</v>
          </cell>
          <cell r="D1081">
            <v>1</v>
          </cell>
        </row>
        <row r="1082">
          <cell r="A1082" t="str">
            <v>A1FSBPRMEC4500</v>
          </cell>
          <cell r="B1082" t="str">
            <v>In Progress</v>
          </cell>
          <cell r="C1082">
            <v>1</v>
          </cell>
          <cell r="D1082">
            <v>0</v>
          </cell>
        </row>
        <row r="1083">
          <cell r="A1083" t="str">
            <v>A1FSBPRMEC4520</v>
          </cell>
          <cell r="B1083" t="str">
            <v>Completed</v>
          </cell>
          <cell r="C1083">
            <v>1</v>
          </cell>
          <cell r="D1083">
            <v>1</v>
          </cell>
        </row>
        <row r="1084">
          <cell r="A1084" t="str">
            <v>A1FSBPRMEC4540</v>
          </cell>
          <cell r="B1084" t="str">
            <v>Completed</v>
          </cell>
          <cell r="C1084">
            <v>1</v>
          </cell>
          <cell r="D1084">
            <v>1</v>
          </cell>
        </row>
        <row r="1085">
          <cell r="A1085" t="str">
            <v>A1FSBPRMEC4560</v>
          </cell>
          <cell r="B1085" t="str">
            <v>In Progress</v>
          </cell>
          <cell r="C1085">
            <v>1</v>
          </cell>
          <cell r="D1085">
            <v>0</v>
          </cell>
        </row>
        <row r="1086">
          <cell r="A1086" t="str">
            <v>A1FSBPRMEC4580</v>
          </cell>
          <cell r="B1086" t="str">
            <v>In Progress</v>
          </cell>
          <cell r="C1086">
            <v>1</v>
          </cell>
          <cell r="D1086">
            <v>0</v>
          </cell>
        </row>
        <row r="1087">
          <cell r="A1087" t="str">
            <v>A1FSBPRMEC4600</v>
          </cell>
          <cell r="B1087" t="str">
            <v>In Progress</v>
          </cell>
          <cell r="C1087">
            <v>1</v>
          </cell>
          <cell r="D1087">
            <v>0</v>
          </cell>
        </row>
        <row r="1088">
          <cell r="A1088" t="str">
            <v>A1FSBPRMEC4620</v>
          </cell>
          <cell r="B1088" t="str">
            <v>In Progress</v>
          </cell>
          <cell r="C1088">
            <v>1</v>
          </cell>
          <cell r="D1088">
            <v>0</v>
          </cell>
        </row>
        <row r="1089">
          <cell r="A1089" t="str">
            <v>A1FSBPRMEC4640</v>
          </cell>
          <cell r="B1089" t="str">
            <v>In Progress</v>
          </cell>
          <cell r="C1089">
            <v>1</v>
          </cell>
          <cell r="D1089">
            <v>0</v>
          </cell>
        </row>
        <row r="1090">
          <cell r="A1090" t="str">
            <v>A1FSBPRMEC4660</v>
          </cell>
          <cell r="B1090" t="str">
            <v>Completed</v>
          </cell>
          <cell r="C1090">
            <v>1</v>
          </cell>
          <cell r="D1090">
            <v>1</v>
          </cell>
        </row>
        <row r="1091">
          <cell r="A1091" t="str">
            <v>A1FSBPRMEC4680</v>
          </cell>
          <cell r="B1091" t="str">
            <v>Completed</v>
          </cell>
          <cell r="C1091">
            <v>1</v>
          </cell>
          <cell r="D1091">
            <v>1</v>
          </cell>
        </row>
        <row r="1092">
          <cell r="A1092" t="str">
            <v>A1FSBPRMEC4700</v>
          </cell>
          <cell r="B1092" t="str">
            <v>In Progress</v>
          </cell>
          <cell r="C1092">
            <v>1</v>
          </cell>
          <cell r="D1092">
            <v>0</v>
          </cell>
        </row>
        <row r="1093">
          <cell r="A1093" t="str">
            <v>A1FSBPRMEC4720</v>
          </cell>
          <cell r="B1093" t="str">
            <v>In Progress</v>
          </cell>
          <cell r="C1093">
            <v>1</v>
          </cell>
          <cell r="D1093">
            <v>0</v>
          </cell>
        </row>
        <row r="1094">
          <cell r="A1094" t="str">
            <v>A1FSBPRMEC4740</v>
          </cell>
          <cell r="B1094" t="str">
            <v>In Progress</v>
          </cell>
          <cell r="C1094">
            <v>1</v>
          </cell>
          <cell r="D1094">
            <v>0</v>
          </cell>
        </row>
        <row r="1095">
          <cell r="A1095" t="str">
            <v>A1FSBPRMEC4760</v>
          </cell>
          <cell r="B1095" t="str">
            <v>In Progress</v>
          </cell>
          <cell r="C1095">
            <v>1</v>
          </cell>
          <cell r="D1095">
            <v>0</v>
          </cell>
        </row>
        <row r="1096">
          <cell r="A1096" t="str">
            <v>A1FSBPRMEC4780</v>
          </cell>
          <cell r="B1096" t="str">
            <v>In Progress</v>
          </cell>
          <cell r="C1096">
            <v>1</v>
          </cell>
          <cell r="D1096">
            <v>0</v>
          </cell>
        </row>
        <row r="1097">
          <cell r="A1097" t="str">
            <v>A1FSBPRMEC4800</v>
          </cell>
          <cell r="B1097" t="str">
            <v>In Progress</v>
          </cell>
          <cell r="C1097">
            <v>1</v>
          </cell>
          <cell r="D1097">
            <v>0</v>
          </cell>
        </row>
        <row r="1098">
          <cell r="A1098" t="str">
            <v>A1FSBPRMEC4820</v>
          </cell>
          <cell r="B1098" t="str">
            <v>In Progress</v>
          </cell>
          <cell r="C1098">
            <v>1</v>
          </cell>
          <cell r="D1098">
            <v>0</v>
          </cell>
        </row>
        <row r="1099">
          <cell r="A1099" t="str">
            <v>A1FSBPRMEC4840</v>
          </cell>
          <cell r="B1099" t="str">
            <v>In Progress</v>
          </cell>
          <cell r="C1099">
            <v>1</v>
          </cell>
          <cell r="D1099">
            <v>0</v>
          </cell>
        </row>
        <row r="1100">
          <cell r="A1100" t="str">
            <v>A1FSBPRMEC5100</v>
          </cell>
          <cell r="B1100" t="str">
            <v>In Progress</v>
          </cell>
          <cell r="C1100">
            <v>1</v>
          </cell>
          <cell r="D1100">
            <v>0</v>
          </cell>
        </row>
        <row r="1101">
          <cell r="A1101" t="str">
            <v>A1FSBPRMEC5120</v>
          </cell>
          <cell r="B1101" t="str">
            <v>In Progress</v>
          </cell>
          <cell r="C1101">
            <v>1</v>
          </cell>
          <cell r="D1101">
            <v>0</v>
          </cell>
        </row>
        <row r="1102">
          <cell r="A1102" t="str">
            <v>A1FSBPRMEC5140</v>
          </cell>
          <cell r="B1102" t="str">
            <v>Completed</v>
          </cell>
          <cell r="C1102">
            <v>1</v>
          </cell>
          <cell r="D1102">
            <v>1</v>
          </cell>
        </row>
        <row r="1103">
          <cell r="A1103" t="str">
            <v>A1FSBPRMEC5160</v>
          </cell>
          <cell r="B1103" t="str">
            <v>In Progress</v>
          </cell>
          <cell r="C1103">
            <v>1</v>
          </cell>
          <cell r="D1103">
            <v>0</v>
          </cell>
        </row>
        <row r="1104">
          <cell r="A1104" t="str">
            <v>A1FSBPRMEC5180</v>
          </cell>
          <cell r="B1104" t="str">
            <v>Completed</v>
          </cell>
          <cell r="C1104">
            <v>1</v>
          </cell>
          <cell r="D1104">
            <v>1</v>
          </cell>
        </row>
        <row r="1105">
          <cell r="A1105" t="str">
            <v>A1FSBPRMEC5200</v>
          </cell>
          <cell r="B1105" t="str">
            <v>Completed</v>
          </cell>
          <cell r="C1105">
            <v>1</v>
          </cell>
          <cell r="D1105">
            <v>1</v>
          </cell>
        </row>
        <row r="1106">
          <cell r="A1106" t="str">
            <v>A1FSBPRMEC5220</v>
          </cell>
          <cell r="B1106" t="str">
            <v>In Progress</v>
          </cell>
          <cell r="C1106">
            <v>1</v>
          </cell>
          <cell r="D1106">
            <v>0</v>
          </cell>
        </row>
        <row r="1107">
          <cell r="A1107" t="str">
            <v>A1FSBPRMEC5240</v>
          </cell>
          <cell r="B1107" t="str">
            <v>In Progress</v>
          </cell>
          <cell r="C1107">
            <v>1</v>
          </cell>
          <cell r="D1107">
            <v>0</v>
          </cell>
        </row>
        <row r="1108">
          <cell r="A1108" t="str">
            <v>A1FSBPRMEC5260</v>
          </cell>
          <cell r="B1108" t="str">
            <v>In Progress</v>
          </cell>
          <cell r="C1108">
            <v>1</v>
          </cell>
          <cell r="D1108">
            <v>0</v>
          </cell>
        </row>
        <row r="1109">
          <cell r="A1109" t="str">
            <v>A1FSBPRMEC5280</v>
          </cell>
          <cell r="B1109" t="str">
            <v>In Progress</v>
          </cell>
          <cell r="C1109">
            <v>1</v>
          </cell>
          <cell r="D1109">
            <v>0</v>
          </cell>
        </row>
        <row r="1110">
          <cell r="A1110" t="str">
            <v>A1FSBPRMEC5300</v>
          </cell>
          <cell r="B1110" t="str">
            <v>In Progress</v>
          </cell>
          <cell r="C1110">
            <v>1</v>
          </cell>
          <cell r="D1110">
            <v>0</v>
          </cell>
        </row>
        <row r="1111">
          <cell r="A1111" t="str">
            <v>A1FSBPRMEC5320</v>
          </cell>
          <cell r="B1111" t="str">
            <v>Completed</v>
          </cell>
          <cell r="C1111">
            <v>0</v>
          </cell>
          <cell r="D1111">
            <v>1</v>
          </cell>
        </row>
        <row r="1112">
          <cell r="A1112" t="str">
            <v>A1FSBPRMEC5340</v>
          </cell>
          <cell r="B1112" t="str">
            <v>Completed</v>
          </cell>
          <cell r="C1112">
            <v>0</v>
          </cell>
          <cell r="D1112">
            <v>1</v>
          </cell>
        </row>
        <row r="1113">
          <cell r="A1113" t="str">
            <v>A1FSBPRMEC5360</v>
          </cell>
          <cell r="B1113" t="str">
            <v>Not Started</v>
          </cell>
          <cell r="C1113">
            <v>0</v>
          </cell>
          <cell r="D1113">
            <v>0</v>
          </cell>
        </row>
        <row r="1114">
          <cell r="A1114" t="str">
            <v>A1FSBPRMEC5380</v>
          </cell>
          <cell r="B1114" t="str">
            <v>Not Started</v>
          </cell>
          <cell r="C1114">
            <v>0</v>
          </cell>
          <cell r="D1114">
            <v>0</v>
          </cell>
        </row>
        <row r="1115">
          <cell r="A1115" t="str">
            <v>A1FSBPRMEC5400</v>
          </cell>
          <cell r="B1115" t="str">
            <v>Not Started</v>
          </cell>
          <cell r="C1115">
            <v>0</v>
          </cell>
          <cell r="D1115">
            <v>0</v>
          </cell>
        </row>
        <row r="1116">
          <cell r="A1116" t="str">
            <v>A1FSBPRMEC5420</v>
          </cell>
          <cell r="B1116" t="str">
            <v>Not Started</v>
          </cell>
          <cell r="C1116">
            <v>0</v>
          </cell>
          <cell r="D1116">
            <v>0</v>
          </cell>
        </row>
        <row r="1117">
          <cell r="A1117" t="str">
            <v>A1FSBPRMEC5440</v>
          </cell>
          <cell r="B1117" t="str">
            <v>Not Started</v>
          </cell>
          <cell r="C1117">
            <v>0</v>
          </cell>
          <cell r="D1117">
            <v>0</v>
          </cell>
        </row>
        <row r="1118">
          <cell r="A1118" t="str">
            <v>A1FSBPRMEC5460</v>
          </cell>
          <cell r="B1118" t="str">
            <v>Not Started</v>
          </cell>
          <cell r="C1118">
            <v>0</v>
          </cell>
          <cell r="D1118">
            <v>0</v>
          </cell>
        </row>
        <row r="1119">
          <cell r="A1119" t="str">
            <v>A1FSBPRMEC5480</v>
          </cell>
          <cell r="B1119" t="str">
            <v>Not Started</v>
          </cell>
          <cell r="C1119">
            <v>0</v>
          </cell>
          <cell r="D1119">
            <v>0</v>
          </cell>
        </row>
        <row r="1120">
          <cell r="A1120" t="str">
            <v>A1FSBPRMEC5500</v>
          </cell>
          <cell r="B1120" t="str">
            <v>Not Started</v>
          </cell>
          <cell r="C1120">
            <v>0</v>
          </cell>
          <cell r="D1120">
            <v>0</v>
          </cell>
        </row>
        <row r="1121">
          <cell r="A1121" t="str">
            <v>A1FSBPRMEC5760</v>
          </cell>
          <cell r="B1121" t="str">
            <v>Not Started</v>
          </cell>
          <cell r="C1121">
            <v>0.22500000000000001</v>
          </cell>
          <cell r="D1121">
            <v>0</v>
          </cell>
        </row>
        <row r="1122">
          <cell r="A1122" t="str">
            <v>A1FSBPRMEC5780</v>
          </cell>
          <cell r="B1122" t="str">
            <v>Not Started</v>
          </cell>
          <cell r="C1122">
            <v>0</v>
          </cell>
          <cell r="D1122">
            <v>0</v>
          </cell>
        </row>
        <row r="1123">
          <cell r="A1123" t="str">
            <v>A1FSBPRMEC5800</v>
          </cell>
          <cell r="B1123" t="str">
            <v>In Progress</v>
          </cell>
          <cell r="C1123">
            <v>0.45829999999999999</v>
          </cell>
          <cell r="D1123">
            <v>0.25</v>
          </cell>
        </row>
        <row r="1124">
          <cell r="A1124" t="str">
            <v>A1FSBPRMEC5820</v>
          </cell>
          <cell r="B1124" t="str">
            <v>Not Started</v>
          </cell>
          <cell r="C1124">
            <v>0.1875</v>
          </cell>
          <cell r="D1124">
            <v>0</v>
          </cell>
        </row>
        <row r="1125">
          <cell r="A1125" t="str">
            <v>A1FSBPRMEC5840</v>
          </cell>
          <cell r="B1125" t="str">
            <v>Not Started</v>
          </cell>
          <cell r="C1125">
            <v>0</v>
          </cell>
          <cell r="D1125">
            <v>0</v>
          </cell>
        </row>
        <row r="1126">
          <cell r="A1126" t="str">
            <v>A1FSBPRMEC5860</v>
          </cell>
          <cell r="B1126" t="str">
            <v>Completed</v>
          </cell>
          <cell r="C1126">
            <v>0</v>
          </cell>
          <cell r="D1126">
            <v>1</v>
          </cell>
        </row>
        <row r="1127">
          <cell r="A1127" t="str">
            <v>A1FSBPRMEC5880</v>
          </cell>
          <cell r="B1127" t="str">
            <v>Not Started</v>
          </cell>
          <cell r="C1127">
            <v>0</v>
          </cell>
          <cell r="D1127">
            <v>0</v>
          </cell>
        </row>
        <row r="1128">
          <cell r="A1128" t="str">
            <v>A1FSBPRMEC5900</v>
          </cell>
          <cell r="B1128" t="str">
            <v>Not Started</v>
          </cell>
          <cell r="C1128">
            <v>0</v>
          </cell>
          <cell r="D1128">
            <v>0</v>
          </cell>
        </row>
        <row r="1129">
          <cell r="A1129" t="str">
            <v>A1FSBPRMEC5920</v>
          </cell>
          <cell r="B1129" t="str">
            <v>Not Started</v>
          </cell>
          <cell r="C1129">
            <v>0</v>
          </cell>
          <cell r="D1129">
            <v>0</v>
          </cell>
        </row>
        <row r="1130">
          <cell r="A1130" t="str">
            <v>A1FSBPRMEC5940</v>
          </cell>
          <cell r="B1130" t="str">
            <v>Not Started</v>
          </cell>
          <cell r="C1130">
            <v>0.2</v>
          </cell>
          <cell r="D1130">
            <v>0</v>
          </cell>
        </row>
        <row r="1131">
          <cell r="A1131" t="str">
            <v>A1FSBPRMEC5960</v>
          </cell>
          <cell r="B1131" t="str">
            <v>Not Started</v>
          </cell>
          <cell r="C1131">
            <v>0</v>
          </cell>
          <cell r="D1131">
            <v>0</v>
          </cell>
        </row>
        <row r="1132">
          <cell r="A1132" t="str">
            <v>A1FSBPRMEC5980</v>
          </cell>
          <cell r="B1132" t="str">
            <v>Not Started</v>
          </cell>
          <cell r="C1132">
            <v>0</v>
          </cell>
          <cell r="D1132">
            <v>0</v>
          </cell>
        </row>
        <row r="1133">
          <cell r="A1133" t="str">
            <v>A1FSBPRMEC6000</v>
          </cell>
          <cell r="B1133" t="str">
            <v>Not Started</v>
          </cell>
          <cell r="C1133">
            <v>0</v>
          </cell>
          <cell r="D1133">
            <v>0</v>
          </cell>
        </row>
        <row r="1134">
          <cell r="A1134" t="str">
            <v>A1FSBPRMEC6020</v>
          </cell>
          <cell r="B1134" t="str">
            <v>Not Started</v>
          </cell>
          <cell r="C1134">
            <v>0</v>
          </cell>
          <cell r="D1134">
            <v>0</v>
          </cell>
        </row>
        <row r="1135">
          <cell r="A1135" t="str">
            <v>A1FSBPRMEC6040</v>
          </cell>
          <cell r="B1135" t="str">
            <v>Not Started</v>
          </cell>
          <cell r="C1135">
            <v>0</v>
          </cell>
          <cell r="D1135">
            <v>0</v>
          </cell>
        </row>
        <row r="1136">
          <cell r="A1136" t="str">
            <v>A1FSBPRMEC6060</v>
          </cell>
          <cell r="B1136" t="str">
            <v>Not Started</v>
          </cell>
          <cell r="C1136">
            <v>0</v>
          </cell>
          <cell r="D1136">
            <v>0</v>
          </cell>
        </row>
        <row r="1137">
          <cell r="A1137" t="str">
            <v>A1FSBPRMEC6080</v>
          </cell>
          <cell r="B1137" t="str">
            <v>Not Started</v>
          </cell>
          <cell r="C1137">
            <v>0</v>
          </cell>
          <cell r="D1137">
            <v>0</v>
          </cell>
        </row>
        <row r="1138">
          <cell r="A1138" t="str">
            <v>A1FSBPRMEC6340</v>
          </cell>
          <cell r="B1138" t="str">
            <v>Not Started</v>
          </cell>
          <cell r="C1138">
            <v>0</v>
          </cell>
          <cell r="D1138">
            <v>0</v>
          </cell>
        </row>
        <row r="1139">
          <cell r="A1139" t="str">
            <v>A1FSBPRMEC6360</v>
          </cell>
          <cell r="B1139" t="str">
            <v>Not Started</v>
          </cell>
          <cell r="C1139">
            <v>0</v>
          </cell>
          <cell r="D1139">
            <v>0</v>
          </cell>
        </row>
        <row r="1140">
          <cell r="A1140" t="str">
            <v>A1FSBPRMEC6380</v>
          </cell>
          <cell r="B1140" t="str">
            <v>In Progress</v>
          </cell>
          <cell r="C1140">
            <v>0.13200000000000001</v>
          </cell>
          <cell r="D1140">
            <v>0.1757</v>
          </cell>
        </row>
        <row r="1141">
          <cell r="A1141" t="str">
            <v>A1FSBPRMEC6400</v>
          </cell>
          <cell r="B1141" t="str">
            <v>Not Started</v>
          </cell>
          <cell r="C1141">
            <v>0</v>
          </cell>
          <cell r="D1141">
            <v>0</v>
          </cell>
        </row>
        <row r="1142">
          <cell r="A1142" t="str">
            <v>A1FSBPRMEC6420</v>
          </cell>
          <cell r="B1142" t="str">
            <v>Not Started</v>
          </cell>
          <cell r="C1142">
            <v>0</v>
          </cell>
          <cell r="D1142">
            <v>0</v>
          </cell>
        </row>
        <row r="1143">
          <cell r="A1143" t="str">
            <v>A1FSBPRMEC6440</v>
          </cell>
          <cell r="B1143" t="str">
            <v>Not Started</v>
          </cell>
          <cell r="C1143">
            <v>0</v>
          </cell>
          <cell r="D1143">
            <v>0</v>
          </cell>
        </row>
        <row r="1144">
          <cell r="A1144" t="str">
            <v>A1FSBPRMEC6460</v>
          </cell>
          <cell r="B1144" t="str">
            <v>Not Started</v>
          </cell>
          <cell r="C1144">
            <v>0</v>
          </cell>
          <cell r="D1144">
            <v>0</v>
          </cell>
        </row>
        <row r="1145">
          <cell r="A1145" t="str">
            <v>A1FSBPRMEC6480</v>
          </cell>
          <cell r="B1145" t="str">
            <v>Not Started</v>
          </cell>
          <cell r="C1145">
            <v>0</v>
          </cell>
          <cell r="D1145">
            <v>0</v>
          </cell>
        </row>
        <row r="1146">
          <cell r="A1146" t="str">
            <v>A1FSBPRMEC6500</v>
          </cell>
          <cell r="B1146" t="str">
            <v>Not Started</v>
          </cell>
          <cell r="C1146">
            <v>0</v>
          </cell>
          <cell r="D1146">
            <v>0</v>
          </cell>
        </row>
        <row r="1147">
          <cell r="A1147" t="str">
            <v>A1FSBPRMEC6520</v>
          </cell>
          <cell r="B1147" t="str">
            <v>Not Started</v>
          </cell>
          <cell r="C1147">
            <v>0</v>
          </cell>
          <cell r="D1147">
            <v>0</v>
          </cell>
        </row>
        <row r="1148">
          <cell r="A1148" t="str">
            <v>A1FSBPRMEC6540</v>
          </cell>
          <cell r="B1148" t="str">
            <v>Not Started</v>
          </cell>
          <cell r="C1148">
            <v>0</v>
          </cell>
          <cell r="D1148">
            <v>0</v>
          </cell>
        </row>
        <row r="1149">
          <cell r="A1149" t="str">
            <v>A1FSBPRMEC6560</v>
          </cell>
          <cell r="B1149" t="str">
            <v>Not Started</v>
          </cell>
          <cell r="C1149">
            <v>0</v>
          </cell>
          <cell r="D1149">
            <v>0</v>
          </cell>
        </row>
        <row r="1150">
          <cell r="A1150" t="str">
            <v>A1FSBPRMEC6580</v>
          </cell>
          <cell r="B1150" t="str">
            <v>Not Started</v>
          </cell>
          <cell r="C1150">
            <v>0</v>
          </cell>
          <cell r="D1150">
            <v>0</v>
          </cell>
        </row>
        <row r="1151">
          <cell r="A1151" t="str">
            <v>A1FSBPRMEC6600</v>
          </cell>
          <cell r="B1151" t="str">
            <v>Not Started</v>
          </cell>
          <cell r="C1151">
            <v>0</v>
          </cell>
          <cell r="D1151">
            <v>0</v>
          </cell>
        </row>
        <row r="1152">
          <cell r="A1152" t="str">
            <v>A1FSBPRMEC6620</v>
          </cell>
          <cell r="B1152" t="str">
            <v>Not Started</v>
          </cell>
          <cell r="C1152">
            <v>0</v>
          </cell>
          <cell r="D1152">
            <v>0</v>
          </cell>
        </row>
        <row r="1153">
          <cell r="A1153" t="str">
            <v>A1FSBPRMEC6640</v>
          </cell>
          <cell r="B1153" t="str">
            <v>Not Started</v>
          </cell>
          <cell r="C1153">
            <v>0</v>
          </cell>
          <cell r="D1153">
            <v>0</v>
          </cell>
        </row>
        <row r="1154">
          <cell r="A1154" t="str">
            <v>A1FSBPRMEC6660</v>
          </cell>
          <cell r="B1154" t="str">
            <v>Not Started</v>
          </cell>
          <cell r="C1154">
            <v>0</v>
          </cell>
          <cell r="D1154">
            <v>0</v>
          </cell>
        </row>
        <row r="1155">
          <cell r="A1155" t="str">
            <v>A1FSBPRMEC6680</v>
          </cell>
          <cell r="B1155" t="str">
            <v>Not Started</v>
          </cell>
          <cell r="C1155">
            <v>0</v>
          </cell>
          <cell r="D1155">
            <v>0</v>
          </cell>
        </row>
        <row r="1156">
          <cell r="A1156" t="str">
            <v>A1FSBPRMEC6700</v>
          </cell>
          <cell r="B1156" t="str">
            <v>Not Started</v>
          </cell>
          <cell r="C1156">
            <v>0</v>
          </cell>
          <cell r="D1156">
            <v>0</v>
          </cell>
        </row>
        <row r="1157">
          <cell r="A1157" t="str">
            <v>A1FSBPRMEC6720</v>
          </cell>
          <cell r="B1157" t="str">
            <v>Not Started</v>
          </cell>
          <cell r="C1157">
            <v>0</v>
          </cell>
          <cell r="D1157">
            <v>0</v>
          </cell>
        </row>
        <row r="1158">
          <cell r="A1158" t="str">
            <v>A1FSBPRMEC6740</v>
          </cell>
          <cell r="B1158" t="str">
            <v>Not Started</v>
          </cell>
          <cell r="C1158">
            <v>0</v>
          </cell>
          <cell r="D1158">
            <v>0</v>
          </cell>
        </row>
        <row r="1159">
          <cell r="A1159" t="str">
            <v>A1FSBPRMEC6760</v>
          </cell>
          <cell r="B1159" t="str">
            <v>Not Started</v>
          </cell>
          <cell r="C1159">
            <v>0</v>
          </cell>
          <cell r="D1159">
            <v>0</v>
          </cell>
        </row>
        <row r="1160">
          <cell r="A1160" t="str">
            <v>A1FSBPRMEC6780</v>
          </cell>
          <cell r="B1160" t="str">
            <v>Not Started</v>
          </cell>
          <cell r="C1160">
            <v>0</v>
          </cell>
          <cell r="D1160">
            <v>0</v>
          </cell>
        </row>
        <row r="1161">
          <cell r="A1161" t="str">
            <v>A1FSBPRMEC6800</v>
          </cell>
          <cell r="B1161" t="str">
            <v>Not Started</v>
          </cell>
          <cell r="C1161">
            <v>0</v>
          </cell>
          <cell r="D1161">
            <v>0</v>
          </cell>
        </row>
        <row r="1162">
          <cell r="A1162" t="str">
            <v>A1FSBPRMEC6820</v>
          </cell>
          <cell r="B1162" t="str">
            <v>Not Started</v>
          </cell>
          <cell r="C1162">
            <v>0</v>
          </cell>
          <cell r="D1162">
            <v>0</v>
          </cell>
        </row>
        <row r="1163">
          <cell r="A1163" t="str">
            <v>A1FSBPRMEC6840</v>
          </cell>
          <cell r="B1163" t="str">
            <v>Not Started</v>
          </cell>
          <cell r="C1163">
            <v>0</v>
          </cell>
          <cell r="D1163">
            <v>0</v>
          </cell>
        </row>
        <row r="1164">
          <cell r="A1164" t="str">
            <v>A1FSBPRMEC6860</v>
          </cell>
          <cell r="B1164" t="str">
            <v>Not Started</v>
          </cell>
          <cell r="C1164">
            <v>0</v>
          </cell>
          <cell r="D1164">
            <v>0</v>
          </cell>
        </row>
        <row r="1165">
          <cell r="A1165" t="str">
            <v>A1FSBPRMEC6880</v>
          </cell>
          <cell r="B1165" t="str">
            <v>Not Started</v>
          </cell>
          <cell r="C1165">
            <v>0</v>
          </cell>
          <cell r="D1165">
            <v>0</v>
          </cell>
        </row>
        <row r="1166">
          <cell r="A1166" t="str">
            <v>A1FSBPRMEC6900</v>
          </cell>
          <cell r="B1166" t="str">
            <v>Not Started</v>
          </cell>
          <cell r="C1166">
            <v>0</v>
          </cell>
          <cell r="D1166">
            <v>0</v>
          </cell>
        </row>
        <row r="1167">
          <cell r="A1167" t="str">
            <v>A1FSBPRMEC6920</v>
          </cell>
          <cell r="B1167" t="str">
            <v>Not Started</v>
          </cell>
          <cell r="C1167">
            <v>0</v>
          </cell>
          <cell r="D1167">
            <v>0</v>
          </cell>
        </row>
        <row r="1168">
          <cell r="A1168" t="str">
            <v>A1FSBPRMEC6940</v>
          </cell>
          <cell r="B1168" t="str">
            <v>Not Started</v>
          </cell>
          <cell r="C1168">
            <v>0</v>
          </cell>
          <cell r="D1168">
            <v>0</v>
          </cell>
        </row>
        <row r="1169">
          <cell r="A1169" t="str">
            <v>A1FSBPRMEC6960</v>
          </cell>
          <cell r="B1169" t="str">
            <v>Not Started</v>
          </cell>
          <cell r="C1169">
            <v>0</v>
          </cell>
          <cell r="D1169">
            <v>0</v>
          </cell>
        </row>
        <row r="1170">
          <cell r="A1170" t="str">
            <v>A1FSBPRMEC6980</v>
          </cell>
          <cell r="B1170" t="str">
            <v>Not Started</v>
          </cell>
          <cell r="C1170">
            <v>0</v>
          </cell>
          <cell r="D1170">
            <v>0</v>
          </cell>
        </row>
        <row r="1171">
          <cell r="A1171" t="str">
            <v>A1FSBPRMEC7720</v>
          </cell>
          <cell r="B1171" t="str">
            <v>Not Started</v>
          </cell>
          <cell r="C1171">
            <v>0</v>
          </cell>
          <cell r="D1171">
            <v>0</v>
          </cell>
        </row>
        <row r="1172">
          <cell r="A1172" t="str">
            <v>A1FSBPRMEC7740</v>
          </cell>
          <cell r="B1172" t="str">
            <v>Not Started</v>
          </cell>
          <cell r="C1172">
            <v>0</v>
          </cell>
          <cell r="D1172">
            <v>0</v>
          </cell>
        </row>
        <row r="1173">
          <cell r="A1173" t="str">
            <v>A1FSBPRMEC7760</v>
          </cell>
          <cell r="B1173" t="str">
            <v>Not Started</v>
          </cell>
          <cell r="C1173">
            <v>0</v>
          </cell>
          <cell r="D1173">
            <v>0</v>
          </cell>
        </row>
        <row r="1174">
          <cell r="A1174" t="str">
            <v>A1FSBPRMEC7780</v>
          </cell>
          <cell r="B1174" t="str">
            <v>Not Started</v>
          </cell>
          <cell r="C1174">
            <v>0</v>
          </cell>
          <cell r="D1174">
            <v>0</v>
          </cell>
        </row>
        <row r="1175">
          <cell r="A1175" t="str">
            <v>A1FSBPRMEC7800</v>
          </cell>
          <cell r="B1175" t="str">
            <v>Not Started</v>
          </cell>
          <cell r="C1175">
            <v>0</v>
          </cell>
          <cell r="D1175">
            <v>0</v>
          </cell>
        </row>
        <row r="1176">
          <cell r="A1176" t="str">
            <v>A1FSBPRMEC7820</v>
          </cell>
          <cell r="B1176" t="str">
            <v>Not Started</v>
          </cell>
          <cell r="C1176">
            <v>0</v>
          </cell>
          <cell r="D1176">
            <v>0</v>
          </cell>
        </row>
        <row r="1177">
          <cell r="A1177" t="str">
            <v>A1FSBPRMEC7840</v>
          </cell>
          <cell r="B1177" t="str">
            <v>Not Started</v>
          </cell>
          <cell r="C1177">
            <v>0</v>
          </cell>
          <cell r="D1177">
            <v>0</v>
          </cell>
        </row>
        <row r="1178">
          <cell r="A1178" t="str">
            <v>A1FSBPRMEC7860</v>
          </cell>
          <cell r="B1178" t="str">
            <v>Not Started</v>
          </cell>
          <cell r="C1178">
            <v>0</v>
          </cell>
          <cell r="D1178">
            <v>0</v>
          </cell>
        </row>
        <row r="1179">
          <cell r="A1179" t="str">
            <v>A1FSBPRMEC7880</v>
          </cell>
          <cell r="B1179" t="str">
            <v>Not Started</v>
          </cell>
          <cell r="C1179">
            <v>0</v>
          </cell>
          <cell r="D1179">
            <v>0</v>
          </cell>
        </row>
        <row r="1180">
          <cell r="A1180" t="str">
            <v>A1FSBPRMEC7900</v>
          </cell>
          <cell r="B1180" t="str">
            <v>Not Started</v>
          </cell>
          <cell r="C1180">
            <v>0</v>
          </cell>
          <cell r="D1180">
            <v>0</v>
          </cell>
        </row>
        <row r="1181">
          <cell r="A1181" t="str">
            <v>A1FSBPRMEC7920</v>
          </cell>
          <cell r="B1181" t="str">
            <v>Not Started</v>
          </cell>
          <cell r="C1181">
            <v>0</v>
          </cell>
          <cell r="D1181">
            <v>0</v>
          </cell>
        </row>
        <row r="1182">
          <cell r="A1182" t="str">
            <v>A1FSBPRMEC7940</v>
          </cell>
          <cell r="B1182" t="str">
            <v>Not Started</v>
          </cell>
          <cell r="C1182">
            <v>0</v>
          </cell>
          <cell r="D1182">
            <v>0</v>
          </cell>
        </row>
        <row r="1183">
          <cell r="A1183" t="str">
            <v>A1FSBPRMEC7960</v>
          </cell>
          <cell r="B1183" t="str">
            <v>Not Started</v>
          </cell>
          <cell r="C1183">
            <v>0</v>
          </cell>
          <cell r="D1183">
            <v>0</v>
          </cell>
        </row>
        <row r="1184">
          <cell r="A1184" t="str">
            <v>A1FSBPRMEC7980</v>
          </cell>
          <cell r="B1184" t="str">
            <v>Not Started</v>
          </cell>
          <cell r="C1184">
            <v>0</v>
          </cell>
          <cell r="D1184">
            <v>0</v>
          </cell>
        </row>
        <row r="1185">
          <cell r="A1185" t="str">
            <v>A1FSBPRMEC8000</v>
          </cell>
          <cell r="B1185" t="str">
            <v>Not Started</v>
          </cell>
          <cell r="C1185">
            <v>0</v>
          </cell>
          <cell r="D1185">
            <v>0</v>
          </cell>
        </row>
        <row r="1186">
          <cell r="A1186" t="str">
            <v>A1FSBPRMEC8020</v>
          </cell>
          <cell r="B1186" t="str">
            <v>Not Started</v>
          </cell>
          <cell r="C1186">
            <v>0</v>
          </cell>
          <cell r="D1186">
            <v>0</v>
          </cell>
        </row>
        <row r="1187">
          <cell r="A1187" t="str">
            <v>A1FSBPRMEC8040</v>
          </cell>
          <cell r="B1187" t="str">
            <v>In Progress</v>
          </cell>
          <cell r="C1187">
            <v>0</v>
          </cell>
          <cell r="D1187">
            <v>0.1757</v>
          </cell>
        </row>
        <row r="1188">
          <cell r="A1188" t="str">
            <v>A1FSBPRMEC8060</v>
          </cell>
          <cell r="B1188" t="str">
            <v>Not Started</v>
          </cell>
          <cell r="C1188">
            <v>0</v>
          </cell>
          <cell r="D1188">
            <v>0</v>
          </cell>
        </row>
        <row r="1189">
          <cell r="A1189" t="str">
            <v>A1FSBPRMEC8080</v>
          </cell>
          <cell r="B1189" t="str">
            <v>Not Started</v>
          </cell>
          <cell r="C1189">
            <v>0</v>
          </cell>
          <cell r="D1189">
            <v>0</v>
          </cell>
        </row>
        <row r="1190">
          <cell r="A1190" t="str">
            <v>A1FSBPRMEC8100</v>
          </cell>
          <cell r="B1190" t="str">
            <v>Not Started</v>
          </cell>
          <cell r="C1190">
            <v>0</v>
          </cell>
          <cell r="D1190">
            <v>0</v>
          </cell>
        </row>
        <row r="1191">
          <cell r="A1191" t="str">
            <v>A1FSBPRMEC8120</v>
          </cell>
          <cell r="B1191" t="str">
            <v>Not Started</v>
          </cell>
          <cell r="C1191">
            <v>0</v>
          </cell>
          <cell r="D1191">
            <v>0</v>
          </cell>
        </row>
        <row r="1192">
          <cell r="A1192" t="str">
            <v>A1FSBPRMEC8140</v>
          </cell>
          <cell r="B1192" t="str">
            <v>Not Started</v>
          </cell>
          <cell r="C1192">
            <v>0</v>
          </cell>
          <cell r="D1192">
            <v>0</v>
          </cell>
        </row>
        <row r="1193">
          <cell r="A1193" t="str">
            <v>A1FSBPRMEC8160</v>
          </cell>
          <cell r="B1193" t="str">
            <v>Not Started</v>
          </cell>
          <cell r="C1193">
            <v>0</v>
          </cell>
          <cell r="D1193">
            <v>0</v>
          </cell>
        </row>
        <row r="1194">
          <cell r="A1194" t="str">
            <v>A1FSBPRMEC8180</v>
          </cell>
          <cell r="B1194" t="str">
            <v>Not Started</v>
          </cell>
          <cell r="C1194">
            <v>0</v>
          </cell>
          <cell r="D1194">
            <v>0</v>
          </cell>
        </row>
        <row r="1195">
          <cell r="A1195" t="str">
            <v>A1FSBPRMEC8200</v>
          </cell>
          <cell r="B1195" t="str">
            <v>Not Started</v>
          </cell>
          <cell r="C1195">
            <v>0</v>
          </cell>
          <cell r="D1195">
            <v>0</v>
          </cell>
        </row>
        <row r="1196">
          <cell r="A1196" t="str">
            <v>A1FSBPRMEC8220</v>
          </cell>
          <cell r="B1196" t="str">
            <v>Not Started</v>
          </cell>
          <cell r="C1196">
            <v>0</v>
          </cell>
          <cell r="D1196">
            <v>0</v>
          </cell>
        </row>
        <row r="1197">
          <cell r="A1197" t="str">
            <v>A1FSBPRMEC8240</v>
          </cell>
          <cell r="B1197" t="str">
            <v>Not Started</v>
          </cell>
          <cell r="C1197">
            <v>0</v>
          </cell>
          <cell r="D1197">
            <v>0</v>
          </cell>
        </row>
        <row r="1198">
          <cell r="A1198" t="str">
            <v>A1FSBPRMEC8260</v>
          </cell>
          <cell r="B1198" t="str">
            <v>Not Started</v>
          </cell>
          <cell r="C1198">
            <v>0</v>
          </cell>
          <cell r="D1198">
            <v>0</v>
          </cell>
        </row>
        <row r="1199">
          <cell r="A1199" t="str">
            <v>A1FSBPRMEC8280</v>
          </cell>
          <cell r="B1199" t="str">
            <v>Not Started</v>
          </cell>
          <cell r="C1199">
            <v>0</v>
          </cell>
          <cell r="D1199">
            <v>0</v>
          </cell>
        </row>
        <row r="1200">
          <cell r="A1200" t="str">
            <v>A1FSBPRMEC8300</v>
          </cell>
          <cell r="B1200" t="str">
            <v>Not Started</v>
          </cell>
          <cell r="C1200">
            <v>0</v>
          </cell>
          <cell r="D1200">
            <v>0</v>
          </cell>
        </row>
        <row r="1201">
          <cell r="A1201" t="str">
            <v>A1FSBPRMEC8320</v>
          </cell>
          <cell r="B1201" t="str">
            <v>Not Started</v>
          </cell>
          <cell r="C1201">
            <v>0</v>
          </cell>
          <cell r="D1201">
            <v>0</v>
          </cell>
        </row>
        <row r="1202">
          <cell r="A1202" t="str">
            <v>A1FSBPRMEC8340</v>
          </cell>
          <cell r="B1202" t="str">
            <v>Not Started</v>
          </cell>
          <cell r="C1202">
            <v>0</v>
          </cell>
          <cell r="D1202">
            <v>0</v>
          </cell>
        </row>
        <row r="1203">
          <cell r="A1203" t="str">
            <v>A1FSBPRMEC8360</v>
          </cell>
          <cell r="B1203" t="str">
            <v>Not Started</v>
          </cell>
          <cell r="C1203">
            <v>0</v>
          </cell>
          <cell r="D1203">
            <v>0</v>
          </cell>
        </row>
        <row r="1204">
          <cell r="A1204" t="str">
            <v>A1FSBPRMEC8380</v>
          </cell>
          <cell r="B1204" t="str">
            <v>Not Started</v>
          </cell>
          <cell r="C1204">
            <v>0</v>
          </cell>
          <cell r="D1204">
            <v>0</v>
          </cell>
        </row>
        <row r="1205">
          <cell r="A1205" t="str">
            <v>A1FSBPRMEC8400</v>
          </cell>
          <cell r="B1205" t="str">
            <v>Not Started</v>
          </cell>
          <cell r="C1205">
            <v>0</v>
          </cell>
          <cell r="D1205">
            <v>0</v>
          </cell>
        </row>
        <row r="1206">
          <cell r="A1206" t="str">
            <v>A1FSBPRMEC8420</v>
          </cell>
          <cell r="B1206" t="str">
            <v>Not Started</v>
          </cell>
          <cell r="C1206">
            <v>0</v>
          </cell>
          <cell r="D1206">
            <v>0</v>
          </cell>
        </row>
        <row r="1207">
          <cell r="A1207" t="str">
            <v>A1FSBPRMEC8440</v>
          </cell>
          <cell r="B1207" t="str">
            <v>Not Started</v>
          </cell>
          <cell r="C1207">
            <v>0</v>
          </cell>
          <cell r="D1207">
            <v>0</v>
          </cell>
        </row>
        <row r="1208">
          <cell r="A1208" t="str">
            <v>A1FSBPRMEC8460</v>
          </cell>
          <cell r="B1208" t="str">
            <v>Not Started</v>
          </cell>
          <cell r="C1208">
            <v>0</v>
          </cell>
          <cell r="D1208">
            <v>0</v>
          </cell>
        </row>
        <row r="1209">
          <cell r="A1209" t="str">
            <v>A1FSBPRMEC8480</v>
          </cell>
          <cell r="B1209" t="str">
            <v>Not Started</v>
          </cell>
          <cell r="C1209">
            <v>0</v>
          </cell>
          <cell r="D1209">
            <v>0</v>
          </cell>
        </row>
        <row r="1210">
          <cell r="A1210" t="str">
            <v>A1FSBPRMEC8500</v>
          </cell>
          <cell r="B1210" t="str">
            <v>Not Started</v>
          </cell>
          <cell r="C1210">
            <v>0</v>
          </cell>
          <cell r="D1210">
            <v>0</v>
          </cell>
        </row>
        <row r="1211">
          <cell r="A1211" t="str">
            <v>A1FSBPRMEC8520</v>
          </cell>
          <cell r="B1211" t="str">
            <v>Not Started</v>
          </cell>
          <cell r="C1211">
            <v>0</v>
          </cell>
          <cell r="D1211">
            <v>0</v>
          </cell>
        </row>
        <row r="1212">
          <cell r="A1212" t="str">
            <v>A1FSBPRMEC8540</v>
          </cell>
          <cell r="B1212" t="str">
            <v>Not Started</v>
          </cell>
          <cell r="C1212">
            <v>0</v>
          </cell>
          <cell r="D1212">
            <v>0</v>
          </cell>
        </row>
        <row r="1213">
          <cell r="A1213" t="str">
            <v>A1FSBPRMEC8560</v>
          </cell>
          <cell r="B1213" t="str">
            <v>Not Started</v>
          </cell>
          <cell r="C1213">
            <v>0</v>
          </cell>
          <cell r="D1213">
            <v>0</v>
          </cell>
        </row>
        <row r="1214">
          <cell r="A1214" t="str">
            <v>A1FSBPRMEC8580</v>
          </cell>
          <cell r="B1214" t="str">
            <v>Not Started</v>
          </cell>
          <cell r="C1214">
            <v>0</v>
          </cell>
          <cell r="D1214">
            <v>0</v>
          </cell>
        </row>
        <row r="1215">
          <cell r="A1215" t="str">
            <v>A1FSBPRMEC8600</v>
          </cell>
          <cell r="B1215" t="str">
            <v>Not Started</v>
          </cell>
          <cell r="C1215">
            <v>0</v>
          </cell>
          <cell r="D1215">
            <v>0</v>
          </cell>
        </row>
        <row r="1216">
          <cell r="A1216" t="str">
            <v>A1MC1000</v>
          </cell>
          <cell r="B1216" t="str">
            <v>Not Started</v>
          </cell>
          <cell r="C1216">
            <v>0</v>
          </cell>
          <cell r="D1216">
            <v>0</v>
          </cell>
        </row>
        <row r="1217">
          <cell r="A1217" t="str">
            <v>A1MC1010</v>
          </cell>
          <cell r="B1217" t="str">
            <v>Not Started</v>
          </cell>
          <cell r="C1217">
            <v>0</v>
          </cell>
          <cell r="D1217">
            <v>0</v>
          </cell>
        </row>
        <row r="1218">
          <cell r="A1218" t="str">
            <v>A1MC1020</v>
          </cell>
          <cell r="B1218" t="str">
            <v>Not Started</v>
          </cell>
          <cell r="C1218">
            <v>0</v>
          </cell>
          <cell r="D1218">
            <v>0</v>
          </cell>
        </row>
        <row r="1219">
          <cell r="A1219" t="str">
            <v>A1MC1030</v>
          </cell>
          <cell r="B1219" t="str">
            <v>Not Started</v>
          </cell>
          <cell r="C1219">
            <v>0</v>
          </cell>
          <cell r="D1219">
            <v>0</v>
          </cell>
        </row>
        <row r="1220">
          <cell r="A1220" t="str">
            <v>A1MC1040</v>
          </cell>
          <cell r="B1220" t="str">
            <v>Not Started</v>
          </cell>
          <cell r="C1220">
            <v>0</v>
          </cell>
          <cell r="D1220">
            <v>0</v>
          </cell>
        </row>
        <row r="1221">
          <cell r="A1221" t="str">
            <v>A1MC1050</v>
          </cell>
          <cell r="B1221" t="str">
            <v>Not Started</v>
          </cell>
          <cell r="C1221">
            <v>0</v>
          </cell>
          <cell r="D1221">
            <v>0</v>
          </cell>
        </row>
        <row r="1222">
          <cell r="A1222" t="str">
            <v>A1MC1060</v>
          </cell>
          <cell r="B1222" t="str">
            <v>Not Started</v>
          </cell>
          <cell r="C1222">
            <v>0</v>
          </cell>
          <cell r="D1222">
            <v>0</v>
          </cell>
        </row>
        <row r="1223">
          <cell r="A1223" t="str">
            <v>A1MC1070</v>
          </cell>
          <cell r="B1223" t="str">
            <v>Not Started</v>
          </cell>
          <cell r="C1223">
            <v>0</v>
          </cell>
          <cell r="D1223">
            <v>0</v>
          </cell>
        </row>
        <row r="1224">
          <cell r="A1224" t="str">
            <v>A1MC1080</v>
          </cell>
          <cell r="B1224" t="str">
            <v>Not Started</v>
          </cell>
          <cell r="C1224">
            <v>0</v>
          </cell>
          <cell r="D1224">
            <v>0</v>
          </cell>
        </row>
        <row r="1225">
          <cell r="A1225" t="str">
            <v>A1MC1090</v>
          </cell>
          <cell r="B1225" t="str">
            <v>Not Started</v>
          </cell>
          <cell r="C1225">
            <v>0</v>
          </cell>
          <cell r="D1225">
            <v>0</v>
          </cell>
        </row>
        <row r="1226">
          <cell r="A1226" t="str">
            <v>A1MC1100</v>
          </cell>
          <cell r="B1226" t="str">
            <v>Not Started</v>
          </cell>
          <cell r="C1226">
            <v>0</v>
          </cell>
          <cell r="D1226">
            <v>0</v>
          </cell>
        </row>
        <row r="1227">
          <cell r="A1227" t="str">
            <v>A1MC1110</v>
          </cell>
          <cell r="B1227" t="str">
            <v>Not Started</v>
          </cell>
          <cell r="C1227">
            <v>0</v>
          </cell>
          <cell r="D1227">
            <v>0</v>
          </cell>
        </row>
        <row r="1228">
          <cell r="A1228" t="str">
            <v>A1MC1120</v>
          </cell>
          <cell r="B1228" t="str">
            <v>Not Started</v>
          </cell>
          <cell r="C1228">
            <v>0</v>
          </cell>
          <cell r="D1228">
            <v>0</v>
          </cell>
        </row>
        <row r="1229">
          <cell r="A1229" t="str">
            <v>A1MC1130</v>
          </cell>
          <cell r="B1229" t="str">
            <v>Not Started</v>
          </cell>
          <cell r="C1229">
            <v>0</v>
          </cell>
          <cell r="D1229">
            <v>0</v>
          </cell>
        </row>
        <row r="1230">
          <cell r="A1230" t="str">
            <v>A1MC1140</v>
          </cell>
          <cell r="B1230" t="str">
            <v>Not Started</v>
          </cell>
          <cell r="C1230">
            <v>0</v>
          </cell>
          <cell r="D1230">
            <v>0</v>
          </cell>
        </row>
        <row r="1231">
          <cell r="A1231" t="str">
            <v>A1MC1150</v>
          </cell>
          <cell r="B1231" t="str">
            <v>Not Started</v>
          </cell>
          <cell r="C1231">
            <v>0</v>
          </cell>
          <cell r="D1231">
            <v>0</v>
          </cell>
        </row>
        <row r="1232">
          <cell r="A1232" t="str">
            <v>A1PSBCOCIV1000</v>
          </cell>
          <cell r="B1232" t="str">
            <v>Completed</v>
          </cell>
          <cell r="C1232">
            <v>1</v>
          </cell>
          <cell r="D1232">
            <v>1</v>
          </cell>
        </row>
        <row r="1233">
          <cell r="A1233" t="str">
            <v>A1PSBCOCIV1020</v>
          </cell>
          <cell r="B1233" t="str">
            <v>Completed</v>
          </cell>
          <cell r="C1233">
            <v>1</v>
          </cell>
          <cell r="D1233">
            <v>1</v>
          </cell>
        </row>
        <row r="1234">
          <cell r="A1234" t="str">
            <v>A1PSBCOCIV1030</v>
          </cell>
          <cell r="B1234" t="str">
            <v>Completed</v>
          </cell>
          <cell r="C1234">
            <v>1</v>
          </cell>
          <cell r="D1234">
            <v>1</v>
          </cell>
        </row>
        <row r="1235">
          <cell r="A1235" t="str">
            <v>A1PSBCOCIV1040</v>
          </cell>
          <cell r="B1235" t="str">
            <v>Completed</v>
          </cell>
          <cell r="C1235">
            <v>1</v>
          </cell>
          <cell r="D1235">
            <v>1</v>
          </cell>
        </row>
        <row r="1236">
          <cell r="A1236" t="str">
            <v>A1PSBCOCIV1060</v>
          </cell>
          <cell r="B1236" t="str">
            <v>Completed</v>
          </cell>
          <cell r="C1236">
            <v>1</v>
          </cell>
          <cell r="D1236">
            <v>1</v>
          </cell>
        </row>
        <row r="1237">
          <cell r="A1237" t="str">
            <v>A1PSBCOCIV1080</v>
          </cell>
          <cell r="B1237" t="str">
            <v>Completed</v>
          </cell>
          <cell r="C1237">
            <v>1</v>
          </cell>
          <cell r="D1237">
            <v>1</v>
          </cell>
        </row>
        <row r="1238">
          <cell r="A1238" t="str">
            <v>A1PSBCOCIV1090</v>
          </cell>
          <cell r="B1238" t="str">
            <v>Completed</v>
          </cell>
          <cell r="C1238">
            <v>1</v>
          </cell>
          <cell r="D1238">
            <v>1</v>
          </cell>
        </row>
        <row r="1239">
          <cell r="A1239" t="str">
            <v>A1PSBCOCIV1100</v>
          </cell>
          <cell r="B1239" t="str">
            <v>In Progress</v>
          </cell>
          <cell r="C1239">
            <v>1</v>
          </cell>
          <cell r="D1239">
            <v>0.95</v>
          </cell>
        </row>
        <row r="1240">
          <cell r="A1240" t="str">
            <v>A1PSBCOCIV1120</v>
          </cell>
          <cell r="B1240" t="str">
            <v>In Progress</v>
          </cell>
          <cell r="C1240">
            <v>1</v>
          </cell>
          <cell r="D1240">
            <v>0.95</v>
          </cell>
        </row>
        <row r="1241">
          <cell r="A1241" t="str">
            <v>A1PSBCOCIV1140</v>
          </cell>
          <cell r="B1241" t="str">
            <v>In Progress</v>
          </cell>
          <cell r="C1241">
            <v>1</v>
          </cell>
          <cell r="D1241">
            <v>0.1</v>
          </cell>
        </row>
        <row r="1242">
          <cell r="A1242" t="str">
            <v>A1PSBCOCIV1160</v>
          </cell>
          <cell r="B1242" t="str">
            <v>Not Started</v>
          </cell>
          <cell r="C1242">
            <v>1</v>
          </cell>
          <cell r="D1242">
            <v>0</v>
          </cell>
        </row>
        <row r="1243">
          <cell r="A1243" t="str">
            <v>A1PSBCOCIV1170</v>
          </cell>
          <cell r="B1243" t="str">
            <v>Not Started</v>
          </cell>
          <cell r="C1243">
            <v>1</v>
          </cell>
          <cell r="D1243">
            <v>0</v>
          </cell>
        </row>
        <row r="1244">
          <cell r="A1244" t="str">
            <v>A1PSBCOCIV1180</v>
          </cell>
          <cell r="B1244" t="str">
            <v>Not Started</v>
          </cell>
          <cell r="C1244">
            <v>1</v>
          </cell>
          <cell r="D1244">
            <v>0</v>
          </cell>
        </row>
        <row r="1245">
          <cell r="A1245" t="str">
            <v>A1PSBCOCIV1200</v>
          </cell>
          <cell r="B1245" t="str">
            <v>Not Started</v>
          </cell>
          <cell r="C1245">
            <v>1</v>
          </cell>
          <cell r="D1245">
            <v>0</v>
          </cell>
        </row>
        <row r="1246">
          <cell r="A1246" t="str">
            <v>A1PSBCOCIV1220</v>
          </cell>
          <cell r="B1246" t="str">
            <v>Not Started</v>
          </cell>
          <cell r="C1246">
            <v>1</v>
          </cell>
          <cell r="D1246">
            <v>0</v>
          </cell>
        </row>
        <row r="1247">
          <cell r="A1247" t="str">
            <v>A1PSBCOCIV1240</v>
          </cell>
          <cell r="B1247" t="str">
            <v>Not Started</v>
          </cell>
          <cell r="C1247">
            <v>0.52500000000000002</v>
          </cell>
          <cell r="D1247">
            <v>0</v>
          </cell>
        </row>
        <row r="1248">
          <cell r="A1248" t="str">
            <v>A1PSBCOCIV1250</v>
          </cell>
          <cell r="B1248" t="str">
            <v>Not Started</v>
          </cell>
          <cell r="C1248">
            <v>0.125</v>
          </cell>
          <cell r="D1248">
            <v>0</v>
          </cell>
        </row>
        <row r="1249">
          <cell r="A1249" t="str">
            <v>A1PSBCOCIV1260</v>
          </cell>
          <cell r="B1249" t="str">
            <v>Not Started</v>
          </cell>
          <cell r="C1249">
            <v>0</v>
          </cell>
          <cell r="D1249">
            <v>0</v>
          </cell>
        </row>
        <row r="1250">
          <cell r="A1250" t="str">
            <v>A1PSBCOCIV1280</v>
          </cell>
          <cell r="B1250" t="str">
            <v>Not Started</v>
          </cell>
          <cell r="C1250">
            <v>0</v>
          </cell>
          <cell r="D1250">
            <v>0</v>
          </cell>
        </row>
        <row r="1251">
          <cell r="A1251" t="str">
            <v>A1PSBCOCIV1300</v>
          </cell>
          <cell r="B1251" t="str">
            <v>Not Started</v>
          </cell>
          <cell r="C1251">
            <v>0</v>
          </cell>
          <cell r="D1251">
            <v>0</v>
          </cell>
        </row>
        <row r="1252">
          <cell r="A1252" t="str">
            <v>A1PSBCOCIV1320</v>
          </cell>
          <cell r="B1252" t="str">
            <v>Not Started</v>
          </cell>
          <cell r="C1252">
            <v>0</v>
          </cell>
          <cell r="D1252">
            <v>0</v>
          </cell>
        </row>
        <row r="1253">
          <cell r="A1253" t="str">
            <v>A1PSBCOCIV1330</v>
          </cell>
          <cell r="B1253" t="str">
            <v>Not Started</v>
          </cell>
          <cell r="C1253">
            <v>0</v>
          </cell>
          <cell r="D1253">
            <v>0</v>
          </cell>
        </row>
        <row r="1254">
          <cell r="A1254" t="str">
            <v>A1PSBCOCIV1340</v>
          </cell>
          <cell r="B1254" t="str">
            <v>Not Started</v>
          </cell>
          <cell r="C1254">
            <v>0</v>
          </cell>
          <cell r="D1254">
            <v>0</v>
          </cell>
        </row>
        <row r="1255">
          <cell r="A1255" t="str">
            <v>A1PSBCOCIV1360</v>
          </cell>
          <cell r="B1255" t="str">
            <v>Not Started</v>
          </cell>
          <cell r="C1255">
            <v>0</v>
          </cell>
          <cell r="D1255">
            <v>0</v>
          </cell>
        </row>
        <row r="1256">
          <cell r="A1256" t="str">
            <v>A1PSBCOCIV1380</v>
          </cell>
          <cell r="B1256" t="str">
            <v>Not Started</v>
          </cell>
          <cell r="C1256">
            <v>0</v>
          </cell>
          <cell r="D1256">
            <v>0</v>
          </cell>
        </row>
        <row r="1257">
          <cell r="A1257" t="str">
            <v>A1PSBCOCIV1400</v>
          </cell>
          <cell r="B1257" t="str">
            <v>Not Started</v>
          </cell>
          <cell r="C1257">
            <v>0</v>
          </cell>
          <cell r="D1257">
            <v>0</v>
          </cell>
        </row>
        <row r="1258">
          <cell r="A1258" t="str">
            <v>A1PSBCOCIV1410</v>
          </cell>
          <cell r="B1258" t="str">
            <v>Not Started</v>
          </cell>
          <cell r="C1258">
            <v>0</v>
          </cell>
          <cell r="D1258">
            <v>0</v>
          </cell>
        </row>
        <row r="1259">
          <cell r="A1259" t="str">
            <v>A1PSBCOCIV1420</v>
          </cell>
          <cell r="B1259" t="str">
            <v>Not Started</v>
          </cell>
          <cell r="C1259">
            <v>0</v>
          </cell>
          <cell r="D1259">
            <v>0</v>
          </cell>
        </row>
        <row r="1260">
          <cell r="A1260" t="str">
            <v>A1PSBCOCIV1440</v>
          </cell>
          <cell r="B1260" t="str">
            <v>Not Started</v>
          </cell>
          <cell r="C1260">
            <v>0</v>
          </cell>
          <cell r="D1260">
            <v>0</v>
          </cell>
        </row>
        <row r="1261">
          <cell r="A1261" t="str">
            <v>A1PSBCOCIV1460</v>
          </cell>
          <cell r="B1261" t="str">
            <v>Completed</v>
          </cell>
          <cell r="C1261">
            <v>1</v>
          </cell>
          <cell r="D1261">
            <v>1</v>
          </cell>
        </row>
        <row r="1262">
          <cell r="A1262" t="str">
            <v>A1PSBCOCIV1480</v>
          </cell>
          <cell r="B1262" t="str">
            <v>Not Started</v>
          </cell>
          <cell r="C1262">
            <v>0</v>
          </cell>
          <cell r="D1262">
            <v>0</v>
          </cell>
        </row>
        <row r="1263">
          <cell r="A1263" t="str">
            <v>A1PSBCOCIV1500</v>
          </cell>
          <cell r="B1263" t="str">
            <v>In Progress</v>
          </cell>
          <cell r="C1263">
            <v>1</v>
          </cell>
          <cell r="D1263">
            <v>0.85</v>
          </cell>
        </row>
        <row r="1264">
          <cell r="A1264" t="str">
            <v>A1PSBCOCIV1520</v>
          </cell>
          <cell r="B1264" t="str">
            <v>Not Started</v>
          </cell>
          <cell r="C1264">
            <v>0</v>
          </cell>
          <cell r="D1264">
            <v>0</v>
          </cell>
        </row>
        <row r="1265">
          <cell r="A1265" t="str">
            <v>A1PSBCOCIV1540</v>
          </cell>
          <cell r="B1265" t="str">
            <v>Not Started</v>
          </cell>
          <cell r="C1265">
            <v>0</v>
          </cell>
          <cell r="D1265">
            <v>0</v>
          </cell>
        </row>
        <row r="1266">
          <cell r="A1266" t="str">
            <v>A1PSBCOCIV1560</v>
          </cell>
          <cell r="B1266" t="str">
            <v>Not Started</v>
          </cell>
          <cell r="C1266">
            <v>0</v>
          </cell>
          <cell r="D1266">
            <v>0</v>
          </cell>
        </row>
        <row r="1267">
          <cell r="A1267" t="str">
            <v>A1PSBCOCIV1580</v>
          </cell>
          <cell r="B1267" t="str">
            <v>Not Started</v>
          </cell>
          <cell r="C1267">
            <v>0.875</v>
          </cell>
          <cell r="D1267">
            <v>0</v>
          </cell>
        </row>
        <row r="1268">
          <cell r="A1268" t="str">
            <v>A1PSBCOCIV1600</v>
          </cell>
          <cell r="B1268" t="str">
            <v>Not Started</v>
          </cell>
          <cell r="C1268">
            <v>0</v>
          </cell>
          <cell r="D1268">
            <v>0</v>
          </cell>
        </row>
        <row r="1269">
          <cell r="A1269" t="str">
            <v>A1PSBCOCIV1610</v>
          </cell>
          <cell r="B1269" t="str">
            <v>Not Started</v>
          </cell>
          <cell r="C1269">
            <v>0</v>
          </cell>
          <cell r="D1269">
            <v>0</v>
          </cell>
        </row>
        <row r="1270">
          <cell r="A1270" t="str">
            <v>A1PSBCOCIV1620</v>
          </cell>
          <cell r="B1270" t="str">
            <v>Not Started</v>
          </cell>
          <cell r="C1270">
            <v>0</v>
          </cell>
          <cell r="D1270">
            <v>0</v>
          </cell>
        </row>
        <row r="1271">
          <cell r="A1271" t="str">
            <v>A1PSBCOCIV1640</v>
          </cell>
          <cell r="B1271" t="str">
            <v>Not Started</v>
          </cell>
          <cell r="C1271">
            <v>0</v>
          </cell>
          <cell r="D1271">
            <v>0</v>
          </cell>
        </row>
        <row r="1272">
          <cell r="A1272" t="str">
            <v>A1PSBCOCIV1660</v>
          </cell>
          <cell r="B1272" t="str">
            <v>Not Started</v>
          </cell>
          <cell r="C1272">
            <v>0</v>
          </cell>
          <cell r="D1272">
            <v>0</v>
          </cell>
        </row>
        <row r="1273">
          <cell r="A1273" t="str">
            <v>A1PSBCOCIV1680</v>
          </cell>
          <cell r="B1273" t="str">
            <v>Not Started</v>
          </cell>
          <cell r="C1273">
            <v>0</v>
          </cell>
          <cell r="D1273">
            <v>0</v>
          </cell>
        </row>
        <row r="1274">
          <cell r="A1274" t="str">
            <v>A1PSBCOCIV1700</v>
          </cell>
          <cell r="B1274" t="str">
            <v>Not Started</v>
          </cell>
          <cell r="C1274">
            <v>0</v>
          </cell>
          <cell r="D1274">
            <v>0</v>
          </cell>
        </row>
        <row r="1275">
          <cell r="A1275" t="str">
            <v>A1PSBCOCIV1720</v>
          </cell>
          <cell r="B1275" t="str">
            <v>Not Started</v>
          </cell>
          <cell r="C1275">
            <v>0</v>
          </cell>
          <cell r="D1275">
            <v>0</v>
          </cell>
        </row>
        <row r="1276">
          <cell r="A1276" t="str">
            <v>A1PSBCOCIV1740</v>
          </cell>
          <cell r="B1276" t="str">
            <v>Not Started</v>
          </cell>
          <cell r="C1276">
            <v>0</v>
          </cell>
          <cell r="D1276">
            <v>0</v>
          </cell>
        </row>
        <row r="1277">
          <cell r="A1277" t="str">
            <v>A1PSBCOCIV1760</v>
          </cell>
          <cell r="B1277" t="str">
            <v>Not Started</v>
          </cell>
          <cell r="C1277">
            <v>0</v>
          </cell>
          <cell r="D1277">
            <v>0</v>
          </cell>
        </row>
        <row r="1278">
          <cell r="A1278" t="str">
            <v>A1PSBCOCIV1780</v>
          </cell>
          <cell r="B1278" t="str">
            <v>Not Started</v>
          </cell>
          <cell r="C1278">
            <v>0</v>
          </cell>
          <cell r="D1278">
            <v>0</v>
          </cell>
        </row>
        <row r="1279">
          <cell r="A1279" t="str">
            <v>A1PSBCOCIV1800</v>
          </cell>
          <cell r="B1279" t="str">
            <v>Not Started</v>
          </cell>
          <cell r="C1279">
            <v>0</v>
          </cell>
          <cell r="D1279">
            <v>0</v>
          </cell>
        </row>
        <row r="1280">
          <cell r="A1280" t="str">
            <v>A1PSBCOCIV1820</v>
          </cell>
          <cell r="B1280" t="str">
            <v>Not Started</v>
          </cell>
          <cell r="C1280">
            <v>0</v>
          </cell>
          <cell r="D1280">
            <v>0</v>
          </cell>
        </row>
        <row r="1281">
          <cell r="A1281" t="str">
            <v>A1PSBCOCIV1840</v>
          </cell>
          <cell r="B1281" t="str">
            <v>Not Started</v>
          </cell>
          <cell r="C1281">
            <v>0</v>
          </cell>
          <cell r="D1281">
            <v>0</v>
          </cell>
        </row>
        <row r="1282">
          <cell r="A1282" t="str">
            <v>A1PSBCOCIV1860</v>
          </cell>
          <cell r="B1282" t="str">
            <v>Not Started</v>
          </cell>
          <cell r="C1282">
            <v>0</v>
          </cell>
          <cell r="D1282">
            <v>0</v>
          </cell>
        </row>
        <row r="1283">
          <cell r="A1283" t="str">
            <v>A1PSBCOCIV1880</v>
          </cell>
          <cell r="B1283" t="str">
            <v>Not Started</v>
          </cell>
          <cell r="C1283">
            <v>0</v>
          </cell>
          <cell r="D1283">
            <v>0</v>
          </cell>
        </row>
        <row r="1284">
          <cell r="A1284" t="str">
            <v>A1PSBCOCIV1900</v>
          </cell>
          <cell r="B1284" t="str">
            <v>Not Started</v>
          </cell>
          <cell r="C1284">
            <v>0</v>
          </cell>
          <cell r="D1284">
            <v>0</v>
          </cell>
        </row>
        <row r="1285">
          <cell r="A1285" t="str">
            <v>A1PSBCOCIV1920</v>
          </cell>
          <cell r="B1285" t="str">
            <v>Not Started</v>
          </cell>
          <cell r="C1285">
            <v>0</v>
          </cell>
          <cell r="D1285">
            <v>0</v>
          </cell>
        </row>
        <row r="1286">
          <cell r="A1286" t="str">
            <v>A1PSBCOCIV1940</v>
          </cell>
          <cell r="B1286" t="str">
            <v>Not Started</v>
          </cell>
          <cell r="C1286">
            <v>0</v>
          </cell>
          <cell r="D1286">
            <v>0</v>
          </cell>
        </row>
        <row r="1287">
          <cell r="A1287" t="str">
            <v>A1PSBCOCIV1960</v>
          </cell>
          <cell r="B1287" t="str">
            <v>Not Started</v>
          </cell>
          <cell r="C1287">
            <v>0</v>
          </cell>
          <cell r="D1287">
            <v>0</v>
          </cell>
        </row>
        <row r="1288">
          <cell r="A1288" t="str">
            <v>A1PSBCOCIV1980</v>
          </cell>
          <cell r="B1288" t="str">
            <v>Not Started</v>
          </cell>
          <cell r="C1288">
            <v>0</v>
          </cell>
          <cell r="D1288">
            <v>0</v>
          </cell>
        </row>
        <row r="1289">
          <cell r="A1289" t="str">
            <v>A1PSBCOCIV2000</v>
          </cell>
          <cell r="B1289" t="str">
            <v>Not Started</v>
          </cell>
          <cell r="C1289">
            <v>0</v>
          </cell>
          <cell r="D1289">
            <v>0</v>
          </cell>
        </row>
        <row r="1290">
          <cell r="A1290" t="str">
            <v>A1PSBCOCIV2020</v>
          </cell>
          <cell r="B1290" t="str">
            <v>Not Started</v>
          </cell>
          <cell r="C1290">
            <v>0</v>
          </cell>
          <cell r="D1290">
            <v>0</v>
          </cell>
        </row>
        <row r="1291">
          <cell r="A1291" t="str">
            <v>A1PSBCOCIV2040</v>
          </cell>
          <cell r="B1291" t="str">
            <v>Not Started</v>
          </cell>
          <cell r="C1291">
            <v>0</v>
          </cell>
          <cell r="D1291">
            <v>0</v>
          </cell>
        </row>
        <row r="1292">
          <cell r="A1292" t="str">
            <v>A1PSBCOCIV2060</v>
          </cell>
          <cell r="B1292" t="str">
            <v>Not Started</v>
          </cell>
          <cell r="C1292">
            <v>0</v>
          </cell>
          <cell r="D1292">
            <v>0</v>
          </cell>
        </row>
        <row r="1293">
          <cell r="A1293" t="str">
            <v>A1PSBCOCIV2080</v>
          </cell>
          <cell r="B1293" t="str">
            <v>Not Started</v>
          </cell>
          <cell r="C1293">
            <v>0</v>
          </cell>
          <cell r="D1293">
            <v>0</v>
          </cell>
        </row>
        <row r="1294">
          <cell r="A1294" t="str">
            <v>A1PSBCOCIV2100</v>
          </cell>
          <cell r="B1294" t="str">
            <v>Not Started</v>
          </cell>
          <cell r="C1294">
            <v>0</v>
          </cell>
          <cell r="D1294">
            <v>0</v>
          </cell>
        </row>
        <row r="1295">
          <cell r="A1295" t="str">
            <v>A1PSBCOCIV2120</v>
          </cell>
          <cell r="B1295" t="str">
            <v>Not Started</v>
          </cell>
          <cell r="C1295">
            <v>0</v>
          </cell>
          <cell r="D1295">
            <v>0</v>
          </cell>
        </row>
        <row r="1296">
          <cell r="A1296" t="str">
            <v>A1PSBCOCIV2140</v>
          </cell>
          <cell r="B1296" t="str">
            <v>Not Started</v>
          </cell>
          <cell r="C1296">
            <v>0</v>
          </cell>
          <cell r="D1296">
            <v>0</v>
          </cell>
        </row>
        <row r="1297">
          <cell r="A1297" t="str">
            <v>A1PSBCOCIV2150</v>
          </cell>
          <cell r="B1297" t="str">
            <v>Not Started</v>
          </cell>
          <cell r="C1297">
            <v>0</v>
          </cell>
          <cell r="D1297">
            <v>0</v>
          </cell>
        </row>
        <row r="1298">
          <cell r="A1298" t="str">
            <v>A1PSBCOCIV2160</v>
          </cell>
          <cell r="B1298" t="str">
            <v>Not Started</v>
          </cell>
          <cell r="C1298">
            <v>0</v>
          </cell>
          <cell r="D1298">
            <v>0</v>
          </cell>
        </row>
        <row r="1299">
          <cell r="A1299" t="str">
            <v>A1PSBCOCIV2170</v>
          </cell>
          <cell r="B1299" t="str">
            <v>Not Started</v>
          </cell>
          <cell r="C1299">
            <v>0</v>
          </cell>
          <cell r="D1299">
            <v>0</v>
          </cell>
        </row>
        <row r="1300">
          <cell r="A1300" t="str">
            <v>A1PSBCOCIV2180</v>
          </cell>
          <cell r="B1300" t="str">
            <v>Not Started</v>
          </cell>
          <cell r="C1300">
            <v>0</v>
          </cell>
          <cell r="D1300">
            <v>0</v>
          </cell>
        </row>
        <row r="1301">
          <cell r="A1301" t="str">
            <v>A1PSBCOCIV2200</v>
          </cell>
          <cell r="B1301" t="str">
            <v>Not Started</v>
          </cell>
          <cell r="C1301">
            <v>0</v>
          </cell>
          <cell r="D1301">
            <v>0</v>
          </cell>
        </row>
        <row r="1302">
          <cell r="A1302" t="str">
            <v>A1PSBCOCIV2210</v>
          </cell>
          <cell r="B1302" t="str">
            <v>Not Started</v>
          </cell>
          <cell r="C1302">
            <v>0</v>
          </cell>
          <cell r="D1302">
            <v>0</v>
          </cell>
        </row>
        <row r="1303">
          <cell r="A1303" t="str">
            <v>A1PSBCOCIV2220</v>
          </cell>
          <cell r="B1303" t="str">
            <v>Not Started</v>
          </cell>
          <cell r="C1303">
            <v>0</v>
          </cell>
          <cell r="D1303">
            <v>0</v>
          </cell>
        </row>
        <row r="1304">
          <cell r="A1304" t="str">
            <v>A1PSBCOCIV2230</v>
          </cell>
          <cell r="B1304" t="str">
            <v>Completed</v>
          </cell>
          <cell r="C1304">
            <v>1</v>
          </cell>
          <cell r="D1304">
            <v>1</v>
          </cell>
        </row>
        <row r="1305">
          <cell r="A1305" t="str">
            <v>A1PSBCOCIV2240</v>
          </cell>
          <cell r="B1305" t="str">
            <v>In Progress</v>
          </cell>
          <cell r="C1305">
            <v>1</v>
          </cell>
          <cell r="D1305">
            <v>0.15</v>
          </cell>
        </row>
        <row r="1306">
          <cell r="A1306" t="str">
            <v>A1PSBCOCIV2250</v>
          </cell>
          <cell r="B1306" t="str">
            <v>Not Started</v>
          </cell>
          <cell r="C1306">
            <v>0.875</v>
          </cell>
          <cell r="D1306">
            <v>0</v>
          </cell>
        </row>
        <row r="1307">
          <cell r="A1307" t="str">
            <v>A1PSBCOCIV2260</v>
          </cell>
          <cell r="B1307" t="str">
            <v>Not Started</v>
          </cell>
          <cell r="C1307">
            <v>0</v>
          </cell>
          <cell r="D1307">
            <v>0</v>
          </cell>
        </row>
        <row r="1308">
          <cell r="A1308" t="str">
            <v>A1PSBCOCIV2270</v>
          </cell>
          <cell r="B1308" t="str">
            <v>Not Started</v>
          </cell>
          <cell r="C1308">
            <v>0</v>
          </cell>
          <cell r="D1308">
            <v>0</v>
          </cell>
        </row>
        <row r="1309">
          <cell r="A1309" t="str">
            <v>A1PSBCOCIV2280</v>
          </cell>
          <cell r="B1309" t="str">
            <v>Not Started</v>
          </cell>
          <cell r="C1309">
            <v>0</v>
          </cell>
          <cell r="D1309">
            <v>0</v>
          </cell>
        </row>
        <row r="1310">
          <cell r="A1310" t="str">
            <v>A1PSBCOCIV2290</v>
          </cell>
          <cell r="B1310" t="str">
            <v>Not Started</v>
          </cell>
          <cell r="C1310">
            <v>0</v>
          </cell>
          <cell r="D1310">
            <v>0</v>
          </cell>
        </row>
        <row r="1311">
          <cell r="A1311" t="str">
            <v>A1PSBCOCIV2300</v>
          </cell>
          <cell r="B1311" t="str">
            <v>Not Started</v>
          </cell>
          <cell r="C1311">
            <v>0</v>
          </cell>
          <cell r="D1311">
            <v>0</v>
          </cell>
        </row>
        <row r="1312">
          <cell r="A1312" t="str">
            <v>A1PSBCOCIV2310</v>
          </cell>
          <cell r="B1312" t="str">
            <v>Not Started</v>
          </cell>
          <cell r="C1312">
            <v>0</v>
          </cell>
          <cell r="D1312">
            <v>0</v>
          </cell>
        </row>
        <row r="1313">
          <cell r="A1313" t="str">
            <v>A1PSBCOCOM1000</v>
          </cell>
          <cell r="B1313" t="str">
            <v>Not Started</v>
          </cell>
          <cell r="C1313">
            <v>0</v>
          </cell>
          <cell r="D1313">
            <v>0</v>
          </cell>
        </row>
        <row r="1314">
          <cell r="A1314" t="str">
            <v>A1PSBCOCOM1010</v>
          </cell>
          <cell r="B1314" t="str">
            <v>Not Started</v>
          </cell>
          <cell r="C1314">
            <v>0</v>
          </cell>
          <cell r="D1314">
            <v>0</v>
          </cell>
        </row>
        <row r="1315">
          <cell r="A1315" t="str">
            <v>A1PSBCOCOM1020</v>
          </cell>
          <cell r="B1315" t="str">
            <v>Not Started</v>
          </cell>
          <cell r="C1315">
            <v>0</v>
          </cell>
          <cell r="D1315">
            <v>0</v>
          </cell>
        </row>
        <row r="1316">
          <cell r="A1316" t="str">
            <v>A1PSBCOCOM1030</v>
          </cell>
          <cell r="B1316" t="str">
            <v>Not Started</v>
          </cell>
          <cell r="C1316">
            <v>0</v>
          </cell>
          <cell r="D1316">
            <v>0</v>
          </cell>
        </row>
        <row r="1317">
          <cell r="A1317" t="str">
            <v>A1PSBCOCOM1040</v>
          </cell>
          <cell r="B1317" t="str">
            <v>Not Started</v>
          </cell>
          <cell r="C1317">
            <v>0</v>
          </cell>
          <cell r="D1317">
            <v>0</v>
          </cell>
        </row>
        <row r="1318">
          <cell r="A1318" t="str">
            <v>A1PSBCOCOM1050</v>
          </cell>
          <cell r="B1318" t="str">
            <v>Not Started</v>
          </cell>
          <cell r="C1318">
            <v>0</v>
          </cell>
          <cell r="D1318">
            <v>0</v>
          </cell>
        </row>
        <row r="1319">
          <cell r="A1319" t="str">
            <v>A1PSBCOEAR1000</v>
          </cell>
          <cell r="B1319" t="str">
            <v>Completed</v>
          </cell>
          <cell r="C1319">
            <v>1</v>
          </cell>
          <cell r="D1319">
            <v>1</v>
          </cell>
        </row>
        <row r="1320">
          <cell r="A1320" t="str">
            <v>A1PSBCOEAR1010</v>
          </cell>
          <cell r="B1320" t="str">
            <v>Completed</v>
          </cell>
          <cell r="C1320">
            <v>1</v>
          </cell>
          <cell r="D1320">
            <v>1</v>
          </cell>
        </row>
        <row r="1321">
          <cell r="A1321" t="str">
            <v>A1PSBCOEAR1020</v>
          </cell>
          <cell r="B1321" t="str">
            <v>Completed</v>
          </cell>
          <cell r="C1321">
            <v>1</v>
          </cell>
          <cell r="D1321">
            <v>1</v>
          </cell>
        </row>
        <row r="1322">
          <cell r="A1322" t="str">
            <v>A1PSBCOEAR1030</v>
          </cell>
          <cell r="B1322" t="str">
            <v>Not Started</v>
          </cell>
          <cell r="C1322">
            <v>1</v>
          </cell>
          <cell r="D1322">
            <v>0</v>
          </cell>
        </row>
        <row r="1323">
          <cell r="A1323" t="str">
            <v>A1PSBCOEAR1040</v>
          </cell>
          <cell r="B1323" t="str">
            <v>Not Started</v>
          </cell>
          <cell r="C1323">
            <v>0</v>
          </cell>
          <cell r="D1323">
            <v>0</v>
          </cell>
        </row>
        <row r="1324">
          <cell r="A1324" t="str">
            <v>A1PSBCOEAR1050</v>
          </cell>
          <cell r="B1324" t="str">
            <v>Not Started</v>
          </cell>
          <cell r="C1324">
            <v>0</v>
          </cell>
          <cell r="D1324">
            <v>0</v>
          </cell>
        </row>
        <row r="1325">
          <cell r="A1325" t="str">
            <v>A1PSBCOEAR1060</v>
          </cell>
          <cell r="B1325" t="str">
            <v>Not Started</v>
          </cell>
          <cell r="C1325">
            <v>0</v>
          </cell>
          <cell r="D1325">
            <v>0</v>
          </cell>
        </row>
        <row r="1326">
          <cell r="A1326" t="str">
            <v>A1PSBCOEAR1070</v>
          </cell>
          <cell r="B1326" t="str">
            <v>Not Started</v>
          </cell>
          <cell r="C1326">
            <v>0</v>
          </cell>
          <cell r="D1326">
            <v>0</v>
          </cell>
        </row>
        <row r="1327">
          <cell r="A1327" t="str">
            <v>A1PSBCOEAR1080</v>
          </cell>
          <cell r="B1327" t="str">
            <v>Not Started</v>
          </cell>
          <cell r="C1327">
            <v>0</v>
          </cell>
          <cell r="D1327">
            <v>0</v>
          </cell>
        </row>
        <row r="1328">
          <cell r="A1328" t="str">
            <v>A1PSBCOEAR1090</v>
          </cell>
          <cell r="B1328" t="str">
            <v>Not Started</v>
          </cell>
          <cell r="C1328">
            <v>0</v>
          </cell>
          <cell r="D1328">
            <v>0</v>
          </cell>
        </row>
        <row r="1329">
          <cell r="A1329" t="str">
            <v>A1PSBCOEAR1100</v>
          </cell>
          <cell r="B1329" t="str">
            <v>Completed</v>
          </cell>
          <cell r="C1329">
            <v>1</v>
          </cell>
          <cell r="D1329">
            <v>1</v>
          </cell>
        </row>
        <row r="1330">
          <cell r="A1330" t="str">
            <v>A1PSBCOEAR1110</v>
          </cell>
          <cell r="B1330" t="str">
            <v>Completed</v>
          </cell>
          <cell r="C1330">
            <v>1</v>
          </cell>
          <cell r="D1330">
            <v>1</v>
          </cell>
        </row>
        <row r="1331">
          <cell r="A1331" t="str">
            <v>A1PSBCOELE1000</v>
          </cell>
          <cell r="B1331" t="str">
            <v>Not Started</v>
          </cell>
          <cell r="C1331">
            <v>0</v>
          </cell>
          <cell r="D1331">
            <v>0</v>
          </cell>
        </row>
        <row r="1332">
          <cell r="A1332" t="str">
            <v>A1PSBCOELE1010</v>
          </cell>
          <cell r="B1332" t="str">
            <v>Not Started</v>
          </cell>
          <cell r="C1332">
            <v>0</v>
          </cell>
          <cell r="D1332">
            <v>0</v>
          </cell>
        </row>
        <row r="1333">
          <cell r="A1333" t="str">
            <v>A1PSBCOELE1020</v>
          </cell>
          <cell r="B1333" t="str">
            <v>Not Started</v>
          </cell>
          <cell r="C1333">
            <v>0</v>
          </cell>
          <cell r="D1333">
            <v>0</v>
          </cell>
        </row>
        <row r="1334">
          <cell r="A1334" t="str">
            <v>A1PSBCOELE1030</v>
          </cell>
          <cell r="B1334" t="str">
            <v>Not Started</v>
          </cell>
          <cell r="C1334">
            <v>0</v>
          </cell>
          <cell r="D1334">
            <v>0</v>
          </cell>
        </row>
        <row r="1335">
          <cell r="A1335" t="str">
            <v>A1PSBCOELE1040</v>
          </cell>
          <cell r="B1335" t="str">
            <v>Not Started</v>
          </cell>
          <cell r="C1335">
            <v>0</v>
          </cell>
          <cell r="D1335">
            <v>0</v>
          </cell>
        </row>
        <row r="1336">
          <cell r="A1336" t="str">
            <v>A1PSBCOELE1050</v>
          </cell>
          <cell r="B1336" t="str">
            <v>Not Started</v>
          </cell>
          <cell r="C1336">
            <v>0</v>
          </cell>
          <cell r="D1336">
            <v>0</v>
          </cell>
        </row>
        <row r="1337">
          <cell r="A1337" t="str">
            <v>A1PSBCOELE1060</v>
          </cell>
          <cell r="B1337" t="str">
            <v>Not Started</v>
          </cell>
          <cell r="C1337">
            <v>0</v>
          </cell>
          <cell r="D1337">
            <v>0</v>
          </cell>
        </row>
        <row r="1338">
          <cell r="A1338" t="str">
            <v>A1PSBCOELE1070</v>
          </cell>
          <cell r="B1338" t="str">
            <v>Not Started</v>
          </cell>
          <cell r="C1338">
            <v>0</v>
          </cell>
          <cell r="D1338">
            <v>0</v>
          </cell>
        </row>
        <row r="1339">
          <cell r="A1339" t="str">
            <v>A1PSBCOELE1080</v>
          </cell>
          <cell r="B1339" t="str">
            <v>Not Started</v>
          </cell>
          <cell r="C1339">
            <v>0</v>
          </cell>
          <cell r="D1339">
            <v>0</v>
          </cell>
        </row>
        <row r="1340">
          <cell r="A1340" t="str">
            <v>A1PSBCOELE1090</v>
          </cell>
          <cell r="B1340" t="str">
            <v>Not Started</v>
          </cell>
          <cell r="C1340">
            <v>0</v>
          </cell>
          <cell r="D1340">
            <v>0</v>
          </cell>
        </row>
        <row r="1341">
          <cell r="A1341" t="str">
            <v>A1PSBCOELE1100</v>
          </cell>
          <cell r="B1341" t="str">
            <v>Not Started</v>
          </cell>
          <cell r="C1341">
            <v>0</v>
          </cell>
          <cell r="D1341">
            <v>0</v>
          </cell>
        </row>
        <row r="1342">
          <cell r="A1342" t="str">
            <v>A1PSBCOELE1110</v>
          </cell>
          <cell r="B1342" t="str">
            <v>Not Started</v>
          </cell>
          <cell r="C1342">
            <v>0</v>
          </cell>
          <cell r="D1342">
            <v>0</v>
          </cell>
        </row>
        <row r="1343">
          <cell r="A1343" t="str">
            <v>A1PSBCOELE1120</v>
          </cell>
          <cell r="B1343" t="str">
            <v>Not Started</v>
          </cell>
          <cell r="C1343">
            <v>0</v>
          </cell>
          <cell r="D1343">
            <v>0</v>
          </cell>
        </row>
        <row r="1344">
          <cell r="A1344" t="str">
            <v>A1PSBCOELE1130</v>
          </cell>
          <cell r="B1344" t="str">
            <v>Not Started</v>
          </cell>
          <cell r="C1344">
            <v>0</v>
          </cell>
          <cell r="D1344">
            <v>0</v>
          </cell>
        </row>
        <row r="1345">
          <cell r="A1345" t="str">
            <v>A1PSBCOELE1212</v>
          </cell>
          <cell r="B1345" t="str">
            <v>Not Started</v>
          </cell>
          <cell r="C1345">
            <v>0</v>
          </cell>
          <cell r="D1345">
            <v>0</v>
          </cell>
        </row>
        <row r="1346">
          <cell r="A1346" t="str">
            <v>A1PSBCOELE1213</v>
          </cell>
          <cell r="B1346" t="str">
            <v>Not Started</v>
          </cell>
          <cell r="C1346">
            <v>0</v>
          </cell>
          <cell r="D1346">
            <v>0</v>
          </cell>
        </row>
        <row r="1347">
          <cell r="A1347" t="str">
            <v>A1PSBCOELE1223</v>
          </cell>
          <cell r="B1347" t="str">
            <v>Not Started</v>
          </cell>
          <cell r="C1347">
            <v>0</v>
          </cell>
          <cell r="D1347">
            <v>0</v>
          </cell>
        </row>
        <row r="1348">
          <cell r="A1348" t="str">
            <v>A1PSBCOELE2111</v>
          </cell>
          <cell r="B1348" t="str">
            <v>Not Started</v>
          </cell>
          <cell r="C1348">
            <v>0</v>
          </cell>
          <cell r="D1348">
            <v>0</v>
          </cell>
        </row>
        <row r="1349">
          <cell r="A1349" t="str">
            <v>A1PSBCOELE2112</v>
          </cell>
          <cell r="B1349" t="str">
            <v>Not Started</v>
          </cell>
          <cell r="C1349">
            <v>0</v>
          </cell>
          <cell r="D1349">
            <v>0</v>
          </cell>
        </row>
        <row r="1350">
          <cell r="A1350" t="str">
            <v>A1PSBCOELE2113</v>
          </cell>
          <cell r="B1350" t="str">
            <v>Not Started</v>
          </cell>
          <cell r="C1350">
            <v>0</v>
          </cell>
          <cell r="D1350">
            <v>0</v>
          </cell>
        </row>
        <row r="1351">
          <cell r="A1351" t="str">
            <v>A1PSBCOINS1000</v>
          </cell>
          <cell r="B1351" t="str">
            <v>Not Started</v>
          </cell>
          <cell r="C1351">
            <v>0</v>
          </cell>
          <cell r="D1351">
            <v>0</v>
          </cell>
        </row>
        <row r="1352">
          <cell r="A1352" t="str">
            <v>A1PSBCOINS1010</v>
          </cell>
          <cell r="B1352" t="str">
            <v>Not Started</v>
          </cell>
          <cell r="C1352">
            <v>0</v>
          </cell>
          <cell r="D1352">
            <v>0</v>
          </cell>
        </row>
        <row r="1353">
          <cell r="A1353" t="str">
            <v>A1PSBCOINS1020</v>
          </cell>
          <cell r="B1353" t="str">
            <v>Not Started</v>
          </cell>
          <cell r="C1353">
            <v>0</v>
          </cell>
          <cell r="D1353">
            <v>0</v>
          </cell>
        </row>
        <row r="1354">
          <cell r="A1354" t="str">
            <v>A1PSBCOINS1031</v>
          </cell>
          <cell r="B1354" t="str">
            <v>Not Started</v>
          </cell>
          <cell r="C1354">
            <v>0</v>
          </cell>
          <cell r="D1354">
            <v>0</v>
          </cell>
        </row>
        <row r="1355">
          <cell r="A1355" t="str">
            <v>A1PSBCOINS2100</v>
          </cell>
          <cell r="B1355" t="str">
            <v>Not Started</v>
          </cell>
          <cell r="C1355">
            <v>0</v>
          </cell>
          <cell r="D1355">
            <v>0</v>
          </cell>
        </row>
        <row r="1356">
          <cell r="A1356" t="str">
            <v>A1PSBCOINS2110</v>
          </cell>
          <cell r="B1356" t="str">
            <v>Not Started</v>
          </cell>
          <cell r="C1356">
            <v>0</v>
          </cell>
          <cell r="D1356">
            <v>0</v>
          </cell>
        </row>
        <row r="1357">
          <cell r="A1357" t="str">
            <v>A1PSBCOINS2120</v>
          </cell>
          <cell r="B1357" t="str">
            <v>Not Started</v>
          </cell>
          <cell r="C1357">
            <v>0</v>
          </cell>
          <cell r="D1357">
            <v>0</v>
          </cell>
        </row>
        <row r="1358">
          <cell r="A1358" t="str">
            <v>A1PSBCOINS2130</v>
          </cell>
          <cell r="B1358" t="str">
            <v>Not Started</v>
          </cell>
          <cell r="C1358">
            <v>0</v>
          </cell>
          <cell r="D1358">
            <v>0</v>
          </cell>
        </row>
        <row r="1359">
          <cell r="A1359" t="str">
            <v>A1PSBCOINS2140</v>
          </cell>
          <cell r="B1359" t="str">
            <v>Not Started</v>
          </cell>
          <cell r="C1359">
            <v>0</v>
          </cell>
          <cell r="D1359">
            <v>0</v>
          </cell>
        </row>
        <row r="1360">
          <cell r="A1360" t="str">
            <v>A1PSBCOINS2150</v>
          </cell>
          <cell r="B1360" t="str">
            <v>Not Started</v>
          </cell>
          <cell r="C1360">
            <v>0</v>
          </cell>
          <cell r="D1360">
            <v>0</v>
          </cell>
        </row>
        <row r="1361">
          <cell r="A1361" t="str">
            <v>A1PSBCOLAN1000</v>
          </cell>
          <cell r="B1361" t="str">
            <v>Not Started</v>
          </cell>
          <cell r="C1361">
            <v>0</v>
          </cell>
          <cell r="D1361">
            <v>0</v>
          </cell>
        </row>
        <row r="1362">
          <cell r="A1362" t="str">
            <v>A1PSBCOLAN1010</v>
          </cell>
          <cell r="B1362" t="str">
            <v>Not Started</v>
          </cell>
          <cell r="C1362">
            <v>0</v>
          </cell>
          <cell r="D1362">
            <v>0</v>
          </cell>
        </row>
        <row r="1363">
          <cell r="A1363" t="str">
            <v>A1PSBCOLAN1020</v>
          </cell>
          <cell r="B1363" t="str">
            <v>Not Started</v>
          </cell>
          <cell r="C1363">
            <v>0</v>
          </cell>
          <cell r="D1363">
            <v>0</v>
          </cell>
        </row>
        <row r="1364">
          <cell r="A1364" t="str">
            <v>A1PSBCOLAN1030</v>
          </cell>
          <cell r="B1364" t="str">
            <v>Not Started</v>
          </cell>
          <cell r="C1364">
            <v>0</v>
          </cell>
          <cell r="D1364">
            <v>0</v>
          </cell>
        </row>
        <row r="1365">
          <cell r="A1365" t="str">
            <v>A1PSBCOLAN1040</v>
          </cell>
          <cell r="B1365" t="str">
            <v>Not Started</v>
          </cell>
          <cell r="C1365">
            <v>0</v>
          </cell>
          <cell r="D1365">
            <v>0</v>
          </cell>
        </row>
        <row r="1366">
          <cell r="A1366" t="str">
            <v>A1PSBCOLAN1050</v>
          </cell>
          <cell r="B1366" t="str">
            <v>Not Started</v>
          </cell>
          <cell r="C1366">
            <v>0</v>
          </cell>
          <cell r="D1366">
            <v>0</v>
          </cell>
        </row>
        <row r="1367">
          <cell r="A1367" t="str">
            <v>A1PSBCOLAN1060</v>
          </cell>
          <cell r="B1367" t="str">
            <v>Not Started</v>
          </cell>
          <cell r="C1367">
            <v>0</v>
          </cell>
          <cell r="D1367">
            <v>0</v>
          </cell>
        </row>
        <row r="1368">
          <cell r="A1368" t="str">
            <v>A1PSBCOLAN1070</v>
          </cell>
          <cell r="B1368" t="str">
            <v>Not Started</v>
          </cell>
          <cell r="C1368">
            <v>0</v>
          </cell>
          <cell r="D1368">
            <v>0</v>
          </cell>
        </row>
        <row r="1369">
          <cell r="A1369" t="str">
            <v>A1PSBCOLAN1080</v>
          </cell>
          <cell r="B1369" t="str">
            <v>Not Started</v>
          </cell>
          <cell r="C1369">
            <v>0</v>
          </cell>
          <cell r="D1369">
            <v>0</v>
          </cell>
        </row>
        <row r="1370">
          <cell r="A1370" t="str">
            <v>A1PSBCOLAN1090</v>
          </cell>
          <cell r="B1370" t="str">
            <v>Not Started</v>
          </cell>
          <cell r="C1370">
            <v>0</v>
          </cell>
          <cell r="D1370">
            <v>0</v>
          </cell>
        </row>
        <row r="1371">
          <cell r="A1371" t="str">
            <v>A1PSBCOLAN1100</v>
          </cell>
          <cell r="B1371" t="str">
            <v>Not Started</v>
          </cell>
          <cell r="C1371">
            <v>0</v>
          </cell>
          <cell r="D1371">
            <v>0</v>
          </cell>
        </row>
        <row r="1372">
          <cell r="A1372" t="str">
            <v>A1PSBCOLAN1110</v>
          </cell>
          <cell r="B1372" t="str">
            <v>Not Started</v>
          </cell>
          <cell r="C1372">
            <v>0</v>
          </cell>
          <cell r="D1372">
            <v>0</v>
          </cell>
        </row>
        <row r="1373">
          <cell r="A1373" t="str">
            <v>A1PSBCOMEC1000</v>
          </cell>
          <cell r="B1373" t="str">
            <v>Not Started</v>
          </cell>
          <cell r="C1373">
            <v>1</v>
          </cell>
          <cell r="D1373">
            <v>0</v>
          </cell>
        </row>
        <row r="1374">
          <cell r="A1374" t="str">
            <v>A1PSBCOMEC1010</v>
          </cell>
          <cell r="B1374" t="str">
            <v>Not Started</v>
          </cell>
          <cell r="C1374">
            <v>1</v>
          </cell>
          <cell r="D1374">
            <v>0</v>
          </cell>
        </row>
        <row r="1375">
          <cell r="A1375" t="str">
            <v>A1PSBCOMEC1020</v>
          </cell>
          <cell r="B1375" t="str">
            <v>Not Started</v>
          </cell>
          <cell r="C1375">
            <v>0</v>
          </cell>
          <cell r="D1375">
            <v>0</v>
          </cell>
        </row>
        <row r="1376">
          <cell r="A1376" t="str">
            <v>A1PSBCOMEC1030</v>
          </cell>
          <cell r="B1376" t="str">
            <v>Not Started</v>
          </cell>
          <cell r="C1376">
            <v>0</v>
          </cell>
          <cell r="D1376">
            <v>0</v>
          </cell>
        </row>
        <row r="1377">
          <cell r="A1377" t="str">
            <v>A1PSBCOMEC1040</v>
          </cell>
          <cell r="B1377" t="str">
            <v>Not Started</v>
          </cell>
          <cell r="C1377">
            <v>0</v>
          </cell>
          <cell r="D1377">
            <v>0</v>
          </cell>
        </row>
        <row r="1378">
          <cell r="A1378" t="str">
            <v>A1PSBCOMEC1050</v>
          </cell>
          <cell r="B1378" t="str">
            <v>Not Started</v>
          </cell>
          <cell r="C1378">
            <v>0</v>
          </cell>
          <cell r="D1378">
            <v>0</v>
          </cell>
        </row>
        <row r="1379">
          <cell r="A1379" t="str">
            <v>A1PSBCOMEC1060</v>
          </cell>
          <cell r="B1379" t="str">
            <v>Not Started</v>
          </cell>
          <cell r="C1379">
            <v>0</v>
          </cell>
          <cell r="D1379">
            <v>0</v>
          </cell>
        </row>
        <row r="1380">
          <cell r="A1380" t="str">
            <v>A1PSBCOMEC1070</v>
          </cell>
          <cell r="B1380" t="str">
            <v>Not Started</v>
          </cell>
          <cell r="C1380">
            <v>0</v>
          </cell>
          <cell r="D1380">
            <v>0</v>
          </cell>
        </row>
        <row r="1381">
          <cell r="A1381" t="str">
            <v>A1PSBCOMEC1080</v>
          </cell>
          <cell r="B1381" t="str">
            <v>Not Started</v>
          </cell>
          <cell r="C1381">
            <v>0</v>
          </cell>
          <cell r="D1381">
            <v>0</v>
          </cell>
        </row>
        <row r="1382">
          <cell r="A1382" t="str">
            <v>A1PSBCOMEC1090</v>
          </cell>
          <cell r="B1382" t="str">
            <v>Not Started</v>
          </cell>
          <cell r="C1382">
            <v>0</v>
          </cell>
          <cell r="D1382">
            <v>0</v>
          </cell>
        </row>
        <row r="1383">
          <cell r="A1383" t="str">
            <v>A1PSBCOMEC1100</v>
          </cell>
          <cell r="B1383" t="str">
            <v>Not Started</v>
          </cell>
          <cell r="C1383">
            <v>0</v>
          </cell>
          <cell r="D1383">
            <v>0</v>
          </cell>
        </row>
        <row r="1384">
          <cell r="A1384" t="str">
            <v>A1PSBCOMEC1110</v>
          </cell>
          <cell r="B1384" t="str">
            <v>Not Started</v>
          </cell>
          <cell r="C1384">
            <v>0</v>
          </cell>
          <cell r="D1384">
            <v>0</v>
          </cell>
        </row>
        <row r="1385">
          <cell r="A1385" t="str">
            <v>A1PSBCOMEC1120</v>
          </cell>
          <cell r="B1385" t="str">
            <v>Not Started</v>
          </cell>
          <cell r="C1385">
            <v>0</v>
          </cell>
          <cell r="D1385">
            <v>0</v>
          </cell>
        </row>
        <row r="1386">
          <cell r="A1386" t="str">
            <v>A1PSBCOMEC1130</v>
          </cell>
          <cell r="B1386" t="str">
            <v>Not Started</v>
          </cell>
          <cell r="C1386">
            <v>0</v>
          </cell>
          <cell r="D1386">
            <v>0</v>
          </cell>
        </row>
        <row r="1387">
          <cell r="A1387" t="str">
            <v>A1PSBCOMEC1140</v>
          </cell>
          <cell r="B1387" t="str">
            <v>Not Started</v>
          </cell>
          <cell r="C1387">
            <v>0</v>
          </cell>
          <cell r="D1387">
            <v>0</v>
          </cell>
        </row>
        <row r="1388">
          <cell r="A1388" t="str">
            <v>A1PSBCOMEC1150</v>
          </cell>
          <cell r="B1388" t="str">
            <v>Not Started</v>
          </cell>
          <cell r="C1388">
            <v>0</v>
          </cell>
          <cell r="D1388">
            <v>0</v>
          </cell>
        </row>
        <row r="1389">
          <cell r="A1389" t="str">
            <v>A1PSBCOMEC1160</v>
          </cell>
          <cell r="B1389" t="str">
            <v>Not Started</v>
          </cell>
          <cell r="C1389">
            <v>0</v>
          </cell>
          <cell r="D1389">
            <v>0</v>
          </cell>
        </row>
        <row r="1390">
          <cell r="A1390" t="str">
            <v>A1PSBCOMEC1170</v>
          </cell>
          <cell r="B1390" t="str">
            <v>Not Started</v>
          </cell>
          <cell r="C1390">
            <v>0</v>
          </cell>
          <cell r="D1390">
            <v>0</v>
          </cell>
        </row>
        <row r="1391">
          <cell r="A1391" t="str">
            <v>A1PSBCOMEC1180</v>
          </cell>
          <cell r="B1391" t="str">
            <v>Not Started</v>
          </cell>
          <cell r="C1391">
            <v>0</v>
          </cell>
          <cell r="D1391">
            <v>0</v>
          </cell>
        </row>
        <row r="1392">
          <cell r="A1392" t="str">
            <v>A1PSBCOMEC1190</v>
          </cell>
          <cell r="B1392" t="str">
            <v>Not Started</v>
          </cell>
          <cell r="C1392">
            <v>0</v>
          </cell>
          <cell r="D1392">
            <v>0</v>
          </cell>
        </row>
        <row r="1393">
          <cell r="A1393" t="str">
            <v>A1PSBCOMEC1200</v>
          </cell>
          <cell r="B1393" t="str">
            <v>Not Started</v>
          </cell>
          <cell r="C1393">
            <v>0</v>
          </cell>
          <cell r="D1393">
            <v>0</v>
          </cell>
        </row>
        <row r="1394">
          <cell r="A1394" t="str">
            <v>A1PSBCOMEC1210</v>
          </cell>
          <cell r="B1394" t="str">
            <v>Not Started</v>
          </cell>
          <cell r="C1394">
            <v>0</v>
          </cell>
          <cell r="D1394">
            <v>0</v>
          </cell>
        </row>
        <row r="1395">
          <cell r="A1395" t="str">
            <v>A1PSBCOMEC1220</v>
          </cell>
          <cell r="B1395" t="str">
            <v>Not Started</v>
          </cell>
          <cell r="C1395">
            <v>0</v>
          </cell>
          <cell r="D1395">
            <v>0</v>
          </cell>
        </row>
        <row r="1396">
          <cell r="A1396" t="str">
            <v>A1PSBCOMEC1230</v>
          </cell>
          <cell r="B1396" t="str">
            <v>Not Started</v>
          </cell>
          <cell r="C1396">
            <v>0</v>
          </cell>
          <cell r="D1396">
            <v>0</v>
          </cell>
        </row>
        <row r="1397">
          <cell r="A1397" t="str">
            <v>A1PSBCOMEC1240</v>
          </cell>
          <cell r="B1397" t="str">
            <v>Not Started</v>
          </cell>
          <cell r="C1397">
            <v>0</v>
          </cell>
          <cell r="D1397">
            <v>0</v>
          </cell>
        </row>
        <row r="1398">
          <cell r="A1398" t="str">
            <v>A1PSBCOMEC1250</v>
          </cell>
          <cell r="B1398" t="str">
            <v>Not Started</v>
          </cell>
          <cell r="C1398">
            <v>0</v>
          </cell>
          <cell r="D1398">
            <v>0</v>
          </cell>
        </row>
        <row r="1399">
          <cell r="A1399" t="str">
            <v>A1PSBCOMEC1260</v>
          </cell>
          <cell r="B1399" t="str">
            <v>Not Started</v>
          </cell>
          <cell r="C1399">
            <v>0</v>
          </cell>
          <cell r="D1399">
            <v>0</v>
          </cell>
        </row>
        <row r="1400">
          <cell r="A1400" t="str">
            <v>A1PSBCOMEC1270</v>
          </cell>
          <cell r="B1400" t="str">
            <v>Not Started</v>
          </cell>
          <cell r="C1400">
            <v>0</v>
          </cell>
          <cell r="D1400">
            <v>0</v>
          </cell>
        </row>
        <row r="1401">
          <cell r="A1401" t="str">
            <v>A1PSBCOMEC1272</v>
          </cell>
          <cell r="B1401" t="str">
            <v>Not Started</v>
          </cell>
          <cell r="C1401">
            <v>0</v>
          </cell>
          <cell r="D1401">
            <v>0</v>
          </cell>
        </row>
        <row r="1402">
          <cell r="A1402" t="str">
            <v>A1PSBCOMEC1280</v>
          </cell>
          <cell r="B1402" t="str">
            <v>Not Started</v>
          </cell>
          <cell r="C1402">
            <v>0</v>
          </cell>
          <cell r="D1402">
            <v>0</v>
          </cell>
        </row>
        <row r="1403">
          <cell r="A1403" t="str">
            <v>A1PSBCOMEC1282</v>
          </cell>
          <cell r="B1403" t="str">
            <v>Not Started</v>
          </cell>
          <cell r="C1403">
            <v>0</v>
          </cell>
          <cell r="D1403">
            <v>0</v>
          </cell>
        </row>
        <row r="1404">
          <cell r="A1404" t="str">
            <v>A1PSBCOMEC1290</v>
          </cell>
          <cell r="B1404" t="str">
            <v>Not Started</v>
          </cell>
          <cell r="C1404">
            <v>0</v>
          </cell>
          <cell r="D1404">
            <v>0</v>
          </cell>
        </row>
        <row r="1405">
          <cell r="A1405" t="str">
            <v>A1PSBCOMEC1300</v>
          </cell>
          <cell r="B1405" t="str">
            <v>Not Started</v>
          </cell>
          <cell r="C1405">
            <v>0</v>
          </cell>
          <cell r="D1405">
            <v>0</v>
          </cell>
        </row>
        <row r="1406">
          <cell r="A1406" t="str">
            <v>A1PSBCOMEC1310</v>
          </cell>
          <cell r="B1406" t="str">
            <v>Not Started</v>
          </cell>
          <cell r="C1406">
            <v>0</v>
          </cell>
          <cell r="D1406">
            <v>0</v>
          </cell>
        </row>
        <row r="1407">
          <cell r="A1407" t="str">
            <v>A1PSBCOMEC1320</v>
          </cell>
          <cell r="B1407" t="str">
            <v>Not Started</v>
          </cell>
          <cell r="C1407">
            <v>0</v>
          </cell>
          <cell r="D1407">
            <v>0</v>
          </cell>
        </row>
        <row r="1408">
          <cell r="A1408" t="str">
            <v>A1PSBCOMEC1330</v>
          </cell>
          <cell r="B1408" t="str">
            <v>Not Started</v>
          </cell>
          <cell r="C1408">
            <v>0</v>
          </cell>
          <cell r="D1408">
            <v>0</v>
          </cell>
        </row>
        <row r="1409">
          <cell r="A1409" t="str">
            <v>A1PSBCOMEC1340</v>
          </cell>
          <cell r="B1409" t="str">
            <v>Not Started</v>
          </cell>
          <cell r="C1409">
            <v>0</v>
          </cell>
          <cell r="D1409">
            <v>0</v>
          </cell>
        </row>
        <row r="1410">
          <cell r="A1410" t="str">
            <v>A1PSBCOMEC1350</v>
          </cell>
          <cell r="B1410" t="str">
            <v>Not Started</v>
          </cell>
          <cell r="C1410">
            <v>0</v>
          </cell>
          <cell r="D1410">
            <v>0</v>
          </cell>
        </row>
        <row r="1411">
          <cell r="A1411" t="str">
            <v>A1PSBCOMEC1352</v>
          </cell>
          <cell r="B1411" t="str">
            <v>Not Started</v>
          </cell>
          <cell r="C1411">
            <v>0</v>
          </cell>
          <cell r="D1411">
            <v>0</v>
          </cell>
        </row>
        <row r="1412">
          <cell r="A1412" t="str">
            <v>A1PSBCOMEC1353</v>
          </cell>
          <cell r="B1412" t="str">
            <v>Not Started</v>
          </cell>
          <cell r="C1412">
            <v>0</v>
          </cell>
          <cell r="D1412">
            <v>0</v>
          </cell>
        </row>
        <row r="1413">
          <cell r="A1413" t="str">
            <v>A1PSBCOMEC1360</v>
          </cell>
          <cell r="B1413" t="str">
            <v>Not Started</v>
          </cell>
          <cell r="C1413">
            <v>0</v>
          </cell>
          <cell r="D1413">
            <v>0</v>
          </cell>
        </row>
        <row r="1414">
          <cell r="A1414" t="str">
            <v>A1PSBCOMEC1385</v>
          </cell>
          <cell r="B1414" t="str">
            <v>Not Started</v>
          </cell>
          <cell r="C1414">
            <v>0</v>
          </cell>
          <cell r="D1414">
            <v>0</v>
          </cell>
        </row>
        <row r="1415">
          <cell r="A1415" t="str">
            <v>A1PSBCOMEC1390</v>
          </cell>
          <cell r="B1415" t="str">
            <v>Not Started</v>
          </cell>
          <cell r="C1415">
            <v>0</v>
          </cell>
          <cell r="D1415">
            <v>0</v>
          </cell>
        </row>
        <row r="1416">
          <cell r="A1416" t="str">
            <v>A1PSBCOMEC1395</v>
          </cell>
          <cell r="B1416" t="str">
            <v>Not Started</v>
          </cell>
          <cell r="C1416">
            <v>0</v>
          </cell>
          <cell r="D1416">
            <v>0</v>
          </cell>
        </row>
        <row r="1417">
          <cell r="A1417" t="str">
            <v>A1PSBCOMEC1400</v>
          </cell>
          <cell r="B1417" t="str">
            <v>Not Started</v>
          </cell>
          <cell r="C1417">
            <v>0</v>
          </cell>
          <cell r="D1417">
            <v>0</v>
          </cell>
        </row>
        <row r="1418">
          <cell r="A1418" t="str">
            <v>A1PSBCOMEC1410</v>
          </cell>
          <cell r="B1418" t="str">
            <v>Not Started</v>
          </cell>
          <cell r="C1418">
            <v>0</v>
          </cell>
          <cell r="D1418">
            <v>0</v>
          </cell>
        </row>
        <row r="1419">
          <cell r="A1419" t="str">
            <v>A1PSBCOMEC1420</v>
          </cell>
          <cell r="B1419" t="str">
            <v>Not Started</v>
          </cell>
          <cell r="C1419">
            <v>0</v>
          </cell>
          <cell r="D1419">
            <v>0</v>
          </cell>
        </row>
        <row r="1420">
          <cell r="A1420" t="str">
            <v>A1PSBCOMEC1430</v>
          </cell>
          <cell r="B1420" t="str">
            <v>Not Started</v>
          </cell>
          <cell r="C1420">
            <v>0</v>
          </cell>
          <cell r="D1420">
            <v>0</v>
          </cell>
        </row>
        <row r="1421">
          <cell r="A1421" t="str">
            <v>A1PSBCOMEC1440</v>
          </cell>
          <cell r="B1421" t="str">
            <v>Not Started</v>
          </cell>
          <cell r="C1421">
            <v>0</v>
          </cell>
          <cell r="D1421">
            <v>0</v>
          </cell>
        </row>
        <row r="1422">
          <cell r="A1422" t="str">
            <v>A1PSBCOMEC1450</v>
          </cell>
          <cell r="B1422" t="str">
            <v>Not Started</v>
          </cell>
          <cell r="C1422">
            <v>0</v>
          </cell>
          <cell r="D1422">
            <v>0</v>
          </cell>
        </row>
        <row r="1423">
          <cell r="A1423" t="str">
            <v>A1PSBCOMEC1460</v>
          </cell>
          <cell r="B1423" t="str">
            <v>Not Started</v>
          </cell>
          <cell r="C1423">
            <v>0</v>
          </cell>
          <cell r="D1423">
            <v>0</v>
          </cell>
        </row>
        <row r="1424">
          <cell r="A1424" t="str">
            <v>A1PSBCOMEC1470</v>
          </cell>
          <cell r="B1424" t="str">
            <v>Not Started</v>
          </cell>
          <cell r="C1424">
            <v>0</v>
          </cell>
          <cell r="D1424">
            <v>0</v>
          </cell>
        </row>
        <row r="1425">
          <cell r="A1425" t="str">
            <v>A1PSBCOMEC1480</v>
          </cell>
          <cell r="B1425" t="str">
            <v>Not Started</v>
          </cell>
          <cell r="C1425">
            <v>0</v>
          </cell>
          <cell r="D1425">
            <v>0</v>
          </cell>
        </row>
        <row r="1426">
          <cell r="A1426" t="str">
            <v>A1PSBCOMEC1487</v>
          </cell>
          <cell r="B1426" t="str">
            <v>Not Started</v>
          </cell>
          <cell r="C1426">
            <v>0</v>
          </cell>
          <cell r="D1426">
            <v>0</v>
          </cell>
        </row>
        <row r="1427">
          <cell r="A1427" t="str">
            <v>A1PSBCOMEC1489</v>
          </cell>
          <cell r="B1427" t="str">
            <v>Not Started</v>
          </cell>
          <cell r="C1427">
            <v>0</v>
          </cell>
          <cell r="D1427">
            <v>0</v>
          </cell>
        </row>
        <row r="1428">
          <cell r="A1428" t="str">
            <v>A1PSBCOMEC1490</v>
          </cell>
          <cell r="B1428" t="str">
            <v>Not Started</v>
          </cell>
          <cell r="C1428">
            <v>0</v>
          </cell>
          <cell r="D1428">
            <v>0</v>
          </cell>
        </row>
        <row r="1429">
          <cell r="A1429" t="str">
            <v>A1PSBCOMEC1500</v>
          </cell>
          <cell r="B1429" t="str">
            <v>Not Started</v>
          </cell>
          <cell r="C1429">
            <v>0</v>
          </cell>
          <cell r="D1429">
            <v>0</v>
          </cell>
        </row>
        <row r="1430">
          <cell r="A1430" t="str">
            <v>A1PSBCOMEC1510</v>
          </cell>
          <cell r="B1430" t="str">
            <v>Not Started</v>
          </cell>
          <cell r="C1430">
            <v>0</v>
          </cell>
          <cell r="D1430">
            <v>0</v>
          </cell>
        </row>
        <row r="1431">
          <cell r="A1431" t="str">
            <v>A1PSBCOMEC1520</v>
          </cell>
          <cell r="B1431" t="str">
            <v>Not Started</v>
          </cell>
          <cell r="C1431">
            <v>0</v>
          </cell>
          <cell r="D1431">
            <v>0</v>
          </cell>
        </row>
        <row r="1432">
          <cell r="A1432" t="str">
            <v>A1PSBCOMEC1530</v>
          </cell>
          <cell r="B1432" t="str">
            <v>Not Started</v>
          </cell>
          <cell r="C1432">
            <v>0</v>
          </cell>
          <cell r="D1432">
            <v>0</v>
          </cell>
        </row>
        <row r="1433">
          <cell r="A1433" t="str">
            <v>A1PSBCOMEC1540</v>
          </cell>
          <cell r="B1433" t="str">
            <v>Not Started</v>
          </cell>
          <cell r="C1433">
            <v>0</v>
          </cell>
          <cell r="D1433">
            <v>0</v>
          </cell>
        </row>
        <row r="1434">
          <cell r="A1434" t="str">
            <v>A1PSBCOMEC1550</v>
          </cell>
          <cell r="B1434" t="str">
            <v>Not Started</v>
          </cell>
          <cell r="C1434">
            <v>0</v>
          </cell>
          <cell r="D1434">
            <v>0</v>
          </cell>
        </row>
        <row r="1435">
          <cell r="A1435" t="str">
            <v>A1PSBCOMEC1560</v>
          </cell>
          <cell r="B1435" t="str">
            <v>Not Started</v>
          </cell>
          <cell r="C1435">
            <v>0</v>
          </cell>
          <cell r="D1435">
            <v>0</v>
          </cell>
        </row>
        <row r="1436">
          <cell r="A1436" t="str">
            <v>A1PSBCOMEC1570</v>
          </cell>
          <cell r="B1436" t="str">
            <v>Not Started</v>
          </cell>
          <cell r="C1436">
            <v>0</v>
          </cell>
          <cell r="D1436">
            <v>0</v>
          </cell>
        </row>
        <row r="1437">
          <cell r="A1437" t="str">
            <v>A1PSBMC1000</v>
          </cell>
          <cell r="B1437" t="str">
            <v>Not Started</v>
          </cell>
          <cell r="C1437">
            <v>0</v>
          </cell>
          <cell r="D1437">
            <v>0</v>
          </cell>
        </row>
        <row r="1438">
          <cell r="A1438" t="str">
            <v>A1PSBMC1010</v>
          </cell>
          <cell r="B1438" t="str">
            <v>Not Started</v>
          </cell>
          <cell r="C1438">
            <v>0</v>
          </cell>
          <cell r="D1438">
            <v>0</v>
          </cell>
        </row>
        <row r="1439">
          <cell r="A1439" t="str">
            <v>A1PSBMC1020</v>
          </cell>
          <cell r="B1439" t="str">
            <v>Not Started</v>
          </cell>
          <cell r="C1439">
            <v>0</v>
          </cell>
          <cell r="D1439">
            <v>0</v>
          </cell>
        </row>
        <row r="1440">
          <cell r="A1440" t="str">
            <v>A1PSBMC1030</v>
          </cell>
          <cell r="B1440" t="str">
            <v>Not Started</v>
          </cell>
          <cell r="C1440">
            <v>0</v>
          </cell>
          <cell r="D1440">
            <v>0</v>
          </cell>
        </row>
        <row r="1441">
          <cell r="A1441" t="str">
            <v>A1PSBML1000</v>
          </cell>
          <cell r="B1441" t="str">
            <v>Completed</v>
          </cell>
          <cell r="C1441">
            <v>1</v>
          </cell>
          <cell r="D1441">
            <v>1</v>
          </cell>
        </row>
        <row r="1442">
          <cell r="A1442" t="str">
            <v>A1PSBML1010</v>
          </cell>
          <cell r="B1442" t="str">
            <v>Not Started</v>
          </cell>
          <cell r="C1442">
            <v>0</v>
          </cell>
          <cell r="D1442">
            <v>0</v>
          </cell>
        </row>
        <row r="1443">
          <cell r="A1443" t="str">
            <v>A1PSBML1020</v>
          </cell>
          <cell r="B1443" t="str">
            <v>Not Started</v>
          </cell>
          <cell r="C1443">
            <v>0</v>
          </cell>
          <cell r="D1443">
            <v>0</v>
          </cell>
        </row>
        <row r="1444">
          <cell r="A1444" t="str">
            <v>A1PSBML1030</v>
          </cell>
          <cell r="B1444" t="str">
            <v>Not Started</v>
          </cell>
          <cell r="C1444">
            <v>0</v>
          </cell>
          <cell r="D1444">
            <v>0</v>
          </cell>
        </row>
        <row r="1445">
          <cell r="A1445" t="str">
            <v>A1PSBML1040</v>
          </cell>
          <cell r="B1445" t="str">
            <v>Not Started</v>
          </cell>
          <cell r="C1445">
            <v>0</v>
          </cell>
          <cell r="D1445">
            <v>0</v>
          </cell>
        </row>
        <row r="1446">
          <cell r="A1446" t="str">
            <v>A1PSBML1050</v>
          </cell>
          <cell r="B1446" t="str">
            <v>Not Started</v>
          </cell>
          <cell r="C1446">
            <v>0</v>
          </cell>
          <cell r="D1446">
            <v>0</v>
          </cell>
        </row>
        <row r="1447">
          <cell r="A1447" t="str">
            <v>A1PSBML1060</v>
          </cell>
          <cell r="B1447" t="str">
            <v>Not Started</v>
          </cell>
          <cell r="C1447">
            <v>0</v>
          </cell>
          <cell r="D1447">
            <v>0</v>
          </cell>
        </row>
        <row r="1448">
          <cell r="A1448" t="str">
            <v>A1PSBPRCIV2910</v>
          </cell>
          <cell r="B1448" t="str">
            <v>Completed</v>
          </cell>
          <cell r="C1448">
            <v>1</v>
          </cell>
          <cell r="D1448">
            <v>1</v>
          </cell>
        </row>
        <row r="1449">
          <cell r="A1449" t="str">
            <v>A1PSBPRCIV2920</v>
          </cell>
          <cell r="B1449" t="str">
            <v>Completed</v>
          </cell>
          <cell r="C1449">
            <v>1</v>
          </cell>
          <cell r="D1449">
            <v>1</v>
          </cell>
        </row>
        <row r="1450">
          <cell r="A1450" t="str">
            <v>A1PSBPRCIV2930</v>
          </cell>
          <cell r="B1450" t="str">
            <v>In Progress</v>
          </cell>
          <cell r="C1450">
            <v>1</v>
          </cell>
          <cell r="D1450">
            <v>0.1077</v>
          </cell>
        </row>
        <row r="1451">
          <cell r="A1451" t="str">
            <v>A1PSBPRCIV2940</v>
          </cell>
          <cell r="B1451" t="str">
            <v>In Progress</v>
          </cell>
          <cell r="C1451">
            <v>0.78149999999999997</v>
          </cell>
          <cell r="D1451">
            <v>0.1077</v>
          </cell>
        </row>
        <row r="1452">
          <cell r="A1452" t="str">
            <v>A1PSBPRCIV2950</v>
          </cell>
          <cell r="B1452" t="str">
            <v>In Progress</v>
          </cell>
          <cell r="C1452">
            <v>0.75360000000000005</v>
          </cell>
          <cell r="D1452">
            <v>0.1077</v>
          </cell>
        </row>
        <row r="1453">
          <cell r="A1453" t="str">
            <v>A1PSBPRCIV2960</v>
          </cell>
          <cell r="B1453" t="str">
            <v>Completed</v>
          </cell>
          <cell r="C1453">
            <v>1</v>
          </cell>
          <cell r="D1453">
            <v>1</v>
          </cell>
        </row>
        <row r="1454">
          <cell r="A1454" t="str">
            <v>A1PSBPRCIV2970</v>
          </cell>
          <cell r="B1454" t="str">
            <v>Completed</v>
          </cell>
          <cell r="C1454">
            <v>1</v>
          </cell>
          <cell r="D1454">
            <v>1</v>
          </cell>
        </row>
        <row r="1455">
          <cell r="A1455" t="str">
            <v>A1PSBPRCIV2980</v>
          </cell>
          <cell r="B1455" t="str">
            <v>In Progress</v>
          </cell>
          <cell r="C1455">
            <v>0.6875</v>
          </cell>
          <cell r="D1455">
            <v>0.59470000000000001</v>
          </cell>
        </row>
        <row r="1456">
          <cell r="A1456" t="str">
            <v>A1PSBPRCIV2990</v>
          </cell>
          <cell r="B1456" t="str">
            <v>In Progress</v>
          </cell>
          <cell r="C1456">
            <v>0.6875</v>
          </cell>
          <cell r="D1456">
            <v>0.59470000000000001</v>
          </cell>
        </row>
        <row r="1457">
          <cell r="A1457" t="str">
            <v>A1PSBPRCIV3000</v>
          </cell>
          <cell r="B1457" t="str">
            <v>In Progress</v>
          </cell>
          <cell r="C1457">
            <v>0</v>
          </cell>
          <cell r="D1457">
            <v>0.15</v>
          </cell>
        </row>
        <row r="1458">
          <cell r="A1458" t="str">
            <v>A1PSBPRCIV3010</v>
          </cell>
          <cell r="B1458" t="str">
            <v>Completed</v>
          </cell>
          <cell r="C1458">
            <v>1</v>
          </cell>
          <cell r="D1458">
            <v>1</v>
          </cell>
        </row>
        <row r="1459">
          <cell r="A1459" t="str">
            <v>A1PSBPRCIV3020</v>
          </cell>
          <cell r="B1459" t="str">
            <v>In Progress</v>
          </cell>
          <cell r="C1459">
            <v>1</v>
          </cell>
          <cell r="D1459">
            <v>0</v>
          </cell>
        </row>
        <row r="1460">
          <cell r="A1460" t="str">
            <v>A1PSBPRCIV3030</v>
          </cell>
          <cell r="B1460" t="str">
            <v>Not Started</v>
          </cell>
          <cell r="C1460">
            <v>0.36109999999999998</v>
          </cell>
          <cell r="D1460">
            <v>0</v>
          </cell>
        </row>
        <row r="1461">
          <cell r="A1461" t="str">
            <v>A1PSBPRCIV3040</v>
          </cell>
          <cell r="B1461" t="str">
            <v>Not Started</v>
          </cell>
          <cell r="C1461">
            <v>0</v>
          </cell>
          <cell r="D1461">
            <v>0</v>
          </cell>
        </row>
        <row r="1462">
          <cell r="A1462" t="str">
            <v>A1PSBPRCIV3050</v>
          </cell>
          <cell r="B1462" t="str">
            <v>Not Started</v>
          </cell>
          <cell r="C1462">
            <v>0</v>
          </cell>
          <cell r="D1462">
            <v>0</v>
          </cell>
        </row>
        <row r="1463">
          <cell r="A1463" t="str">
            <v>A1PSBPRCIV3060</v>
          </cell>
          <cell r="B1463" t="str">
            <v>Completed</v>
          </cell>
          <cell r="C1463">
            <v>1</v>
          </cell>
          <cell r="D1463">
            <v>1</v>
          </cell>
        </row>
        <row r="1464">
          <cell r="A1464" t="str">
            <v>A1PSBPRCIV3070</v>
          </cell>
          <cell r="B1464" t="str">
            <v>Completed</v>
          </cell>
          <cell r="C1464">
            <v>1</v>
          </cell>
          <cell r="D1464">
            <v>1</v>
          </cell>
        </row>
        <row r="1465">
          <cell r="A1465" t="str">
            <v>A1PSBPRCIV3080</v>
          </cell>
          <cell r="B1465" t="str">
            <v>In Progress</v>
          </cell>
          <cell r="C1465">
            <v>0</v>
          </cell>
          <cell r="D1465">
            <v>0.1</v>
          </cell>
        </row>
        <row r="1466">
          <cell r="A1466" t="str">
            <v>A1PSBPRCIV3090</v>
          </cell>
          <cell r="B1466" t="str">
            <v>In Progress</v>
          </cell>
          <cell r="C1466">
            <v>0</v>
          </cell>
          <cell r="D1466">
            <v>0.1</v>
          </cell>
        </row>
        <row r="1467">
          <cell r="A1467" t="str">
            <v>A1PSBPRCIV3100</v>
          </cell>
          <cell r="B1467" t="str">
            <v>Not Started</v>
          </cell>
          <cell r="C1467">
            <v>0</v>
          </cell>
          <cell r="D1467">
            <v>0</v>
          </cell>
        </row>
        <row r="1468">
          <cell r="A1468" t="str">
            <v>A1PSBPRCIV3110</v>
          </cell>
          <cell r="B1468" t="str">
            <v>In Progress</v>
          </cell>
          <cell r="C1468">
            <v>1</v>
          </cell>
          <cell r="D1468">
            <v>0</v>
          </cell>
        </row>
        <row r="1469">
          <cell r="A1469" t="str">
            <v>A1PSBPRCIV3120</v>
          </cell>
          <cell r="B1469" t="str">
            <v>In Progress</v>
          </cell>
          <cell r="C1469">
            <v>1</v>
          </cell>
          <cell r="D1469">
            <v>0</v>
          </cell>
        </row>
        <row r="1470">
          <cell r="A1470" t="str">
            <v>A1PSBPRCIV3130</v>
          </cell>
          <cell r="B1470" t="str">
            <v>Not Started</v>
          </cell>
          <cell r="C1470">
            <v>0</v>
          </cell>
          <cell r="D1470">
            <v>0</v>
          </cell>
        </row>
        <row r="1471">
          <cell r="A1471" t="str">
            <v>A1PSBPRCIV3140</v>
          </cell>
          <cell r="B1471" t="str">
            <v>Not Started</v>
          </cell>
          <cell r="C1471">
            <v>0</v>
          </cell>
          <cell r="D1471">
            <v>0</v>
          </cell>
        </row>
        <row r="1472">
          <cell r="A1472" t="str">
            <v>A1PSBPRCIV3150</v>
          </cell>
          <cell r="B1472" t="str">
            <v>Not Started</v>
          </cell>
          <cell r="C1472">
            <v>0</v>
          </cell>
          <cell r="D1472">
            <v>0</v>
          </cell>
        </row>
        <row r="1473">
          <cell r="A1473" t="str">
            <v>A1PSBPRCIV3160</v>
          </cell>
          <cell r="B1473" t="str">
            <v>Not Started</v>
          </cell>
          <cell r="C1473">
            <v>0</v>
          </cell>
          <cell r="D1473">
            <v>0</v>
          </cell>
        </row>
        <row r="1474">
          <cell r="A1474" t="str">
            <v>A1PSBPRCIV3170</v>
          </cell>
          <cell r="B1474" t="str">
            <v>Not Started</v>
          </cell>
          <cell r="C1474">
            <v>0</v>
          </cell>
          <cell r="D1474">
            <v>0</v>
          </cell>
        </row>
        <row r="1475">
          <cell r="A1475" t="str">
            <v>A1PSBPRCIV3180</v>
          </cell>
          <cell r="B1475" t="str">
            <v>In Progress</v>
          </cell>
          <cell r="C1475">
            <v>1</v>
          </cell>
          <cell r="D1475">
            <v>0</v>
          </cell>
        </row>
        <row r="1476">
          <cell r="A1476" t="str">
            <v>A1PSBPRCIV3190</v>
          </cell>
          <cell r="B1476" t="str">
            <v>In Progress</v>
          </cell>
          <cell r="C1476">
            <v>1</v>
          </cell>
          <cell r="D1476">
            <v>0</v>
          </cell>
        </row>
        <row r="1477">
          <cell r="A1477" t="str">
            <v>A1PSBPRCIV3200</v>
          </cell>
          <cell r="B1477" t="str">
            <v>Not Started</v>
          </cell>
          <cell r="C1477">
            <v>0</v>
          </cell>
          <cell r="D1477">
            <v>0</v>
          </cell>
        </row>
        <row r="1478">
          <cell r="A1478" t="str">
            <v>A1PSBPRCIV3210</v>
          </cell>
          <cell r="B1478" t="str">
            <v>Not Started</v>
          </cell>
          <cell r="C1478">
            <v>0</v>
          </cell>
          <cell r="D1478">
            <v>0</v>
          </cell>
        </row>
        <row r="1479">
          <cell r="A1479" t="str">
            <v>A1PSBPRCIV3220</v>
          </cell>
          <cell r="B1479" t="str">
            <v>Not Started</v>
          </cell>
          <cell r="C1479">
            <v>0</v>
          </cell>
          <cell r="D1479">
            <v>0</v>
          </cell>
        </row>
        <row r="1480">
          <cell r="A1480" t="str">
            <v>A1PSBPRCIV3230</v>
          </cell>
          <cell r="B1480" t="str">
            <v>Not Started</v>
          </cell>
          <cell r="C1480">
            <v>0</v>
          </cell>
          <cell r="D1480">
            <v>0</v>
          </cell>
        </row>
        <row r="1481">
          <cell r="A1481" t="str">
            <v>A1PSBPRCIV3240</v>
          </cell>
          <cell r="B1481" t="str">
            <v>Not Started</v>
          </cell>
          <cell r="C1481">
            <v>0</v>
          </cell>
          <cell r="D1481">
            <v>0</v>
          </cell>
        </row>
        <row r="1482">
          <cell r="A1482" t="str">
            <v>A1PSBPRCIV3250</v>
          </cell>
          <cell r="B1482" t="str">
            <v>Completed</v>
          </cell>
          <cell r="C1482">
            <v>1</v>
          </cell>
          <cell r="D1482">
            <v>1</v>
          </cell>
        </row>
        <row r="1483">
          <cell r="A1483" t="str">
            <v>A1PSBPRCIV3260</v>
          </cell>
          <cell r="B1483" t="str">
            <v>In Progress</v>
          </cell>
          <cell r="C1483">
            <v>1</v>
          </cell>
          <cell r="D1483">
            <v>0</v>
          </cell>
        </row>
        <row r="1484">
          <cell r="A1484" t="str">
            <v>A1PSBPRCIV3270</v>
          </cell>
          <cell r="B1484" t="str">
            <v>Not Started</v>
          </cell>
          <cell r="C1484">
            <v>8.3299999999999999E-2</v>
          </cell>
          <cell r="D1484">
            <v>0</v>
          </cell>
        </row>
        <row r="1485">
          <cell r="A1485" t="str">
            <v>A1PSBPRCIV3280</v>
          </cell>
          <cell r="B1485" t="str">
            <v>Not Started</v>
          </cell>
          <cell r="C1485">
            <v>0</v>
          </cell>
          <cell r="D1485">
            <v>0</v>
          </cell>
        </row>
        <row r="1486">
          <cell r="A1486" t="str">
            <v>A1PSBPRCIV3290</v>
          </cell>
          <cell r="B1486" t="str">
            <v>Not Started</v>
          </cell>
          <cell r="C1486">
            <v>0</v>
          </cell>
          <cell r="D1486">
            <v>0</v>
          </cell>
        </row>
        <row r="1487">
          <cell r="A1487" t="str">
            <v>A1PSBPRCIV3300</v>
          </cell>
          <cell r="B1487" t="str">
            <v>In Progress</v>
          </cell>
          <cell r="C1487">
            <v>1</v>
          </cell>
          <cell r="D1487">
            <v>0</v>
          </cell>
        </row>
        <row r="1488">
          <cell r="A1488" t="str">
            <v>A1PSBPRCIV3310</v>
          </cell>
          <cell r="B1488" t="str">
            <v>In Progress</v>
          </cell>
          <cell r="C1488">
            <v>1</v>
          </cell>
          <cell r="D1488">
            <v>0</v>
          </cell>
        </row>
        <row r="1489">
          <cell r="A1489" t="str">
            <v>A1PSBPRCIV3320</v>
          </cell>
          <cell r="B1489" t="str">
            <v>Not Started</v>
          </cell>
          <cell r="C1489">
            <v>0</v>
          </cell>
          <cell r="D1489">
            <v>0</v>
          </cell>
        </row>
        <row r="1490">
          <cell r="A1490" t="str">
            <v>A1PSBPRCIV3330</v>
          </cell>
          <cell r="B1490" t="str">
            <v>Not Started</v>
          </cell>
          <cell r="C1490">
            <v>0</v>
          </cell>
          <cell r="D1490">
            <v>0</v>
          </cell>
        </row>
        <row r="1491">
          <cell r="A1491" t="str">
            <v>A1PSBPRCIV3340</v>
          </cell>
          <cell r="B1491" t="str">
            <v>Not Started</v>
          </cell>
          <cell r="C1491">
            <v>0</v>
          </cell>
          <cell r="D1491">
            <v>0</v>
          </cell>
        </row>
        <row r="1492">
          <cell r="A1492" t="str">
            <v>A1PSBPRCIV3350</v>
          </cell>
          <cell r="B1492" t="str">
            <v>Completed</v>
          </cell>
          <cell r="C1492">
            <v>1</v>
          </cell>
          <cell r="D1492">
            <v>1</v>
          </cell>
        </row>
        <row r="1493">
          <cell r="A1493" t="str">
            <v>A1PSBPRCIV3360</v>
          </cell>
          <cell r="B1493" t="str">
            <v>In Progress</v>
          </cell>
          <cell r="C1493">
            <v>1</v>
          </cell>
          <cell r="D1493">
            <v>0</v>
          </cell>
        </row>
        <row r="1494">
          <cell r="A1494" t="str">
            <v>A1PSBPRCIV3370</v>
          </cell>
          <cell r="B1494" t="str">
            <v>Not Started</v>
          </cell>
          <cell r="C1494">
            <v>0</v>
          </cell>
          <cell r="D1494">
            <v>0</v>
          </cell>
        </row>
        <row r="1495">
          <cell r="A1495" t="str">
            <v>A1PSBPRCIV3380</v>
          </cell>
          <cell r="B1495" t="str">
            <v>Not Started</v>
          </cell>
          <cell r="C1495">
            <v>0</v>
          </cell>
          <cell r="D1495">
            <v>0</v>
          </cell>
        </row>
        <row r="1496">
          <cell r="A1496" t="str">
            <v>A1PSBPRCIV3390</v>
          </cell>
          <cell r="B1496" t="str">
            <v>Not Started</v>
          </cell>
          <cell r="C1496">
            <v>0</v>
          </cell>
          <cell r="D1496">
            <v>0</v>
          </cell>
        </row>
        <row r="1497">
          <cell r="A1497" t="str">
            <v>A1PSBPRCIV3400</v>
          </cell>
          <cell r="B1497" t="str">
            <v>Completed</v>
          </cell>
          <cell r="C1497">
            <v>1</v>
          </cell>
          <cell r="D1497">
            <v>1</v>
          </cell>
        </row>
        <row r="1498">
          <cell r="A1498" t="str">
            <v>A1PSBPRCIV3410</v>
          </cell>
          <cell r="B1498" t="str">
            <v>In Progress</v>
          </cell>
          <cell r="C1498">
            <v>1</v>
          </cell>
          <cell r="D1498">
            <v>0</v>
          </cell>
        </row>
        <row r="1499">
          <cell r="A1499" t="str">
            <v>A1PSBPRCIV3420</v>
          </cell>
          <cell r="B1499" t="str">
            <v>Not Started</v>
          </cell>
          <cell r="C1499">
            <v>0.15379999999999999</v>
          </cell>
          <cell r="D1499">
            <v>0</v>
          </cell>
        </row>
        <row r="1500">
          <cell r="A1500" t="str">
            <v>A1PSBPRCIV3430</v>
          </cell>
          <cell r="B1500" t="str">
            <v>Not Started</v>
          </cell>
          <cell r="C1500">
            <v>0</v>
          </cell>
          <cell r="D1500">
            <v>0</v>
          </cell>
        </row>
        <row r="1501">
          <cell r="A1501" t="str">
            <v>A1PSBPRCIV3440</v>
          </cell>
          <cell r="B1501" t="str">
            <v>Not Started</v>
          </cell>
          <cell r="C1501">
            <v>0</v>
          </cell>
          <cell r="D1501">
            <v>0</v>
          </cell>
        </row>
        <row r="1502">
          <cell r="A1502" t="str">
            <v>A1PSBPRCIV3450</v>
          </cell>
          <cell r="B1502" t="str">
            <v>In Progress</v>
          </cell>
          <cell r="C1502">
            <v>1</v>
          </cell>
          <cell r="D1502">
            <v>0</v>
          </cell>
        </row>
        <row r="1503">
          <cell r="A1503" t="str">
            <v>A1PSBPRCIV3460</v>
          </cell>
          <cell r="B1503" t="str">
            <v>In Progress</v>
          </cell>
          <cell r="C1503">
            <v>1</v>
          </cell>
          <cell r="D1503">
            <v>0</v>
          </cell>
        </row>
        <row r="1504">
          <cell r="A1504" t="str">
            <v>A1PSBPRCIV3470</v>
          </cell>
          <cell r="B1504" t="str">
            <v>Not Started</v>
          </cell>
          <cell r="C1504">
            <v>8.3299999999999999E-2</v>
          </cell>
          <cell r="D1504">
            <v>0</v>
          </cell>
        </row>
        <row r="1505">
          <cell r="A1505" t="str">
            <v>A1PSBPRCIV3480</v>
          </cell>
          <cell r="B1505" t="str">
            <v>Not Started</v>
          </cell>
          <cell r="C1505">
            <v>0</v>
          </cell>
          <cell r="D1505">
            <v>0</v>
          </cell>
        </row>
        <row r="1506">
          <cell r="A1506" t="str">
            <v>A1PSBPRCIV3490</v>
          </cell>
          <cell r="B1506" t="str">
            <v>Not Started</v>
          </cell>
          <cell r="C1506">
            <v>0</v>
          </cell>
          <cell r="D1506">
            <v>0</v>
          </cell>
        </row>
        <row r="1507">
          <cell r="A1507" t="str">
            <v>A1PSBPRCIV3500</v>
          </cell>
          <cell r="B1507" t="str">
            <v>Completed</v>
          </cell>
          <cell r="C1507">
            <v>1</v>
          </cell>
          <cell r="D1507">
            <v>1</v>
          </cell>
        </row>
        <row r="1508">
          <cell r="A1508" t="str">
            <v>A1PSBPRCIV3510</v>
          </cell>
          <cell r="B1508" t="str">
            <v>In Progress</v>
          </cell>
          <cell r="C1508">
            <v>1</v>
          </cell>
          <cell r="D1508">
            <v>0</v>
          </cell>
        </row>
        <row r="1509">
          <cell r="A1509" t="str">
            <v>A1PSBPRCIV3520</v>
          </cell>
          <cell r="B1509" t="str">
            <v>Not Started</v>
          </cell>
          <cell r="C1509">
            <v>0</v>
          </cell>
          <cell r="D1509">
            <v>0</v>
          </cell>
        </row>
        <row r="1510">
          <cell r="A1510" t="str">
            <v>A1PSBPRCIV3530</v>
          </cell>
          <cell r="B1510" t="str">
            <v>Not Started</v>
          </cell>
          <cell r="C1510">
            <v>0</v>
          </cell>
          <cell r="D1510">
            <v>0</v>
          </cell>
        </row>
        <row r="1511">
          <cell r="A1511" t="str">
            <v>A1PSBPRCIV3540</v>
          </cell>
          <cell r="B1511" t="str">
            <v>Not Started</v>
          </cell>
          <cell r="C1511">
            <v>0</v>
          </cell>
          <cell r="D1511">
            <v>0</v>
          </cell>
        </row>
        <row r="1512">
          <cell r="A1512" t="str">
            <v>A1PSBPRCIV3550</v>
          </cell>
          <cell r="B1512" t="str">
            <v>In Progress</v>
          </cell>
          <cell r="C1512">
            <v>1</v>
          </cell>
          <cell r="D1512">
            <v>0</v>
          </cell>
        </row>
        <row r="1513">
          <cell r="A1513" t="str">
            <v>A1PSBPRCIV3560</v>
          </cell>
          <cell r="B1513" t="str">
            <v>In Progress</v>
          </cell>
          <cell r="C1513">
            <v>1</v>
          </cell>
          <cell r="D1513">
            <v>0</v>
          </cell>
        </row>
        <row r="1514">
          <cell r="A1514" t="str">
            <v>A1PSBPRCIV3570</v>
          </cell>
          <cell r="B1514" t="str">
            <v>Not Started</v>
          </cell>
          <cell r="C1514">
            <v>0</v>
          </cell>
          <cell r="D1514">
            <v>0</v>
          </cell>
        </row>
        <row r="1515">
          <cell r="A1515" t="str">
            <v>A1PSBPRCIV3580</v>
          </cell>
          <cell r="B1515" t="str">
            <v>Not Started</v>
          </cell>
          <cell r="C1515">
            <v>0</v>
          </cell>
          <cell r="D1515">
            <v>0</v>
          </cell>
        </row>
        <row r="1516">
          <cell r="A1516" t="str">
            <v>A1PSBPRCIV3590</v>
          </cell>
          <cell r="B1516" t="str">
            <v>Not Started</v>
          </cell>
          <cell r="C1516">
            <v>0</v>
          </cell>
          <cell r="D1516">
            <v>0</v>
          </cell>
        </row>
        <row r="1517">
          <cell r="A1517" t="str">
            <v>A1PSBPRCIV3600</v>
          </cell>
          <cell r="B1517" t="str">
            <v>Completed</v>
          </cell>
          <cell r="C1517">
            <v>1</v>
          </cell>
          <cell r="D1517">
            <v>1</v>
          </cell>
        </row>
        <row r="1518">
          <cell r="A1518" t="str">
            <v>A1PSBPRCIV3610</v>
          </cell>
          <cell r="B1518" t="str">
            <v>In Progress</v>
          </cell>
          <cell r="C1518">
            <v>1</v>
          </cell>
          <cell r="D1518">
            <v>0</v>
          </cell>
        </row>
        <row r="1519">
          <cell r="A1519" t="str">
            <v>A1PSBPRCIV3620</v>
          </cell>
          <cell r="B1519" t="str">
            <v>Not Started</v>
          </cell>
          <cell r="C1519">
            <v>0.25</v>
          </cell>
          <cell r="D1519">
            <v>0</v>
          </cell>
        </row>
        <row r="1520">
          <cell r="A1520" t="str">
            <v>A1PSBPRCIV3630</v>
          </cell>
          <cell r="B1520" t="str">
            <v>Not Started</v>
          </cell>
          <cell r="C1520">
            <v>0</v>
          </cell>
          <cell r="D1520">
            <v>0</v>
          </cell>
        </row>
        <row r="1521">
          <cell r="A1521" t="str">
            <v>A1PSBPRCIV3640</v>
          </cell>
          <cell r="B1521" t="str">
            <v>Not Started</v>
          </cell>
          <cell r="C1521">
            <v>0</v>
          </cell>
          <cell r="D1521">
            <v>0</v>
          </cell>
        </row>
        <row r="1522">
          <cell r="A1522" t="str">
            <v>A1PSBPRCIV3650</v>
          </cell>
          <cell r="B1522" t="str">
            <v>Completed</v>
          </cell>
          <cell r="C1522">
            <v>1</v>
          </cell>
          <cell r="D1522">
            <v>1</v>
          </cell>
        </row>
        <row r="1523">
          <cell r="A1523" t="str">
            <v>A1PSBPRCIV3660</v>
          </cell>
          <cell r="B1523" t="str">
            <v>In Progress</v>
          </cell>
          <cell r="C1523">
            <v>1</v>
          </cell>
          <cell r="D1523">
            <v>0</v>
          </cell>
        </row>
        <row r="1524">
          <cell r="A1524" t="str">
            <v>A1PSBPRCIV3670</v>
          </cell>
          <cell r="B1524" t="str">
            <v>Not Started</v>
          </cell>
          <cell r="C1524">
            <v>8.3299999999999999E-2</v>
          </cell>
          <cell r="D1524">
            <v>0</v>
          </cell>
        </row>
        <row r="1525">
          <cell r="A1525" t="str">
            <v>A1PSBPRCIV3680</v>
          </cell>
          <cell r="B1525" t="str">
            <v>Not Started</v>
          </cell>
          <cell r="C1525">
            <v>0</v>
          </cell>
          <cell r="D1525">
            <v>0</v>
          </cell>
        </row>
        <row r="1526">
          <cell r="A1526" t="str">
            <v>A1PSBPRCIV3690</v>
          </cell>
          <cell r="B1526" t="str">
            <v>Not Started</v>
          </cell>
          <cell r="C1526">
            <v>0</v>
          </cell>
          <cell r="D1526">
            <v>0</v>
          </cell>
        </row>
        <row r="1527">
          <cell r="A1527" t="str">
            <v>A1PSBPRCIV3700</v>
          </cell>
          <cell r="B1527" t="str">
            <v>In Progress</v>
          </cell>
          <cell r="C1527">
            <v>1</v>
          </cell>
          <cell r="D1527">
            <v>0</v>
          </cell>
        </row>
        <row r="1528">
          <cell r="A1528" t="str">
            <v>A1PSBPRCIV3710</v>
          </cell>
          <cell r="B1528" t="str">
            <v>In Progress</v>
          </cell>
          <cell r="C1528">
            <v>1</v>
          </cell>
          <cell r="D1528">
            <v>0</v>
          </cell>
        </row>
        <row r="1529">
          <cell r="A1529" t="str">
            <v>A1PSBPRCIV3720</v>
          </cell>
          <cell r="B1529" t="str">
            <v>Not Started</v>
          </cell>
          <cell r="C1529">
            <v>0</v>
          </cell>
          <cell r="D1529">
            <v>0</v>
          </cell>
        </row>
        <row r="1530">
          <cell r="A1530" t="str">
            <v>A1PSBPRCIV3730</v>
          </cell>
          <cell r="B1530" t="str">
            <v>Not Started</v>
          </cell>
          <cell r="C1530">
            <v>0</v>
          </cell>
          <cell r="D1530">
            <v>0</v>
          </cell>
        </row>
        <row r="1531">
          <cell r="A1531" t="str">
            <v>A1PSBPRCIV3740</v>
          </cell>
          <cell r="B1531" t="str">
            <v>Not Started</v>
          </cell>
          <cell r="C1531">
            <v>0</v>
          </cell>
          <cell r="D1531">
            <v>0</v>
          </cell>
        </row>
        <row r="1532">
          <cell r="A1532" t="str">
            <v>A1PSBPRCIV3750</v>
          </cell>
          <cell r="B1532" t="str">
            <v>Not Started</v>
          </cell>
          <cell r="C1532">
            <v>0</v>
          </cell>
          <cell r="D1532">
            <v>0</v>
          </cell>
        </row>
        <row r="1533">
          <cell r="A1533" t="str">
            <v>A1PSBPRCIV3760</v>
          </cell>
          <cell r="B1533" t="str">
            <v>Not Started</v>
          </cell>
          <cell r="C1533">
            <v>0</v>
          </cell>
          <cell r="D1533">
            <v>0</v>
          </cell>
        </row>
        <row r="1534">
          <cell r="A1534" t="str">
            <v>A1PSBPRCOM1420</v>
          </cell>
          <cell r="B1534" t="str">
            <v>In Progress</v>
          </cell>
          <cell r="C1534">
            <v>1</v>
          </cell>
          <cell r="D1534">
            <v>0</v>
          </cell>
        </row>
        <row r="1535">
          <cell r="A1535" t="str">
            <v>A1PSBPRCOM1430</v>
          </cell>
          <cell r="B1535" t="str">
            <v>In Progress</v>
          </cell>
          <cell r="C1535">
            <v>1</v>
          </cell>
          <cell r="D1535">
            <v>0</v>
          </cell>
        </row>
        <row r="1536">
          <cell r="A1536" t="str">
            <v>A1PSBPRCOM1440</v>
          </cell>
          <cell r="B1536" t="str">
            <v>Not Started</v>
          </cell>
          <cell r="C1536">
            <v>0</v>
          </cell>
          <cell r="D1536">
            <v>0</v>
          </cell>
        </row>
        <row r="1537">
          <cell r="A1537" t="str">
            <v>A1PSBPRCOM1450</v>
          </cell>
          <cell r="B1537" t="str">
            <v>Not Started</v>
          </cell>
          <cell r="C1537">
            <v>0</v>
          </cell>
          <cell r="D1537">
            <v>0</v>
          </cell>
        </row>
        <row r="1538">
          <cell r="A1538" t="str">
            <v>A1PSBPRCOM1460</v>
          </cell>
          <cell r="B1538" t="str">
            <v>Not Started</v>
          </cell>
          <cell r="C1538">
            <v>0</v>
          </cell>
          <cell r="D1538">
            <v>0</v>
          </cell>
        </row>
        <row r="1539">
          <cell r="A1539" t="str">
            <v>A1PSBPRCOM1470</v>
          </cell>
          <cell r="B1539" t="str">
            <v>Not Started</v>
          </cell>
          <cell r="C1539">
            <v>0</v>
          </cell>
          <cell r="D1539">
            <v>0</v>
          </cell>
        </row>
        <row r="1540">
          <cell r="A1540" t="str">
            <v>A1PSBPRCOM1480</v>
          </cell>
          <cell r="B1540" t="str">
            <v>Not Started</v>
          </cell>
          <cell r="C1540">
            <v>0</v>
          </cell>
          <cell r="D1540">
            <v>0</v>
          </cell>
        </row>
        <row r="1541">
          <cell r="A1541" t="str">
            <v>A1PSBPRCOM1490</v>
          </cell>
          <cell r="B1541" t="str">
            <v>In Progress</v>
          </cell>
          <cell r="C1541">
            <v>1</v>
          </cell>
          <cell r="D1541">
            <v>0</v>
          </cell>
        </row>
        <row r="1542">
          <cell r="A1542" t="str">
            <v>A1PSBPRCOM1500</v>
          </cell>
          <cell r="B1542" t="str">
            <v>In Progress</v>
          </cell>
          <cell r="C1542">
            <v>1</v>
          </cell>
          <cell r="D1542">
            <v>0</v>
          </cell>
        </row>
        <row r="1543">
          <cell r="A1543" t="str">
            <v>A1PSBPRCOM1510</v>
          </cell>
          <cell r="B1543" t="str">
            <v>Not Started</v>
          </cell>
          <cell r="C1543">
            <v>0</v>
          </cell>
          <cell r="D1543">
            <v>0</v>
          </cell>
        </row>
        <row r="1544">
          <cell r="A1544" t="str">
            <v>A1PSBPRCOM1520</v>
          </cell>
          <cell r="B1544" t="str">
            <v>Not Started</v>
          </cell>
          <cell r="C1544">
            <v>0</v>
          </cell>
          <cell r="D1544">
            <v>0</v>
          </cell>
        </row>
        <row r="1545">
          <cell r="A1545" t="str">
            <v>A1PSBPRCOM1530</v>
          </cell>
          <cell r="B1545" t="str">
            <v>Not Started</v>
          </cell>
          <cell r="C1545">
            <v>0</v>
          </cell>
          <cell r="D1545">
            <v>0</v>
          </cell>
        </row>
        <row r="1546">
          <cell r="A1546" t="str">
            <v>A1PSBPRCOM1540</v>
          </cell>
          <cell r="B1546" t="str">
            <v>Not Started</v>
          </cell>
          <cell r="C1546">
            <v>0</v>
          </cell>
          <cell r="D1546">
            <v>0</v>
          </cell>
        </row>
        <row r="1547">
          <cell r="A1547" t="str">
            <v>A1PSBPRCOM1550</v>
          </cell>
          <cell r="B1547" t="str">
            <v>Not Started</v>
          </cell>
          <cell r="C1547">
            <v>0</v>
          </cell>
          <cell r="D1547">
            <v>0</v>
          </cell>
        </row>
        <row r="1548">
          <cell r="A1548" t="str">
            <v>A1PSBPRCOM1560</v>
          </cell>
          <cell r="B1548" t="str">
            <v>In Progress</v>
          </cell>
          <cell r="C1548">
            <v>1</v>
          </cell>
          <cell r="D1548">
            <v>0</v>
          </cell>
        </row>
        <row r="1549">
          <cell r="A1549" t="str">
            <v>A1PSBPRCOM1570</v>
          </cell>
          <cell r="B1549" t="str">
            <v>In Progress</v>
          </cell>
          <cell r="C1549">
            <v>1</v>
          </cell>
          <cell r="D1549">
            <v>0</v>
          </cell>
        </row>
        <row r="1550">
          <cell r="A1550" t="str">
            <v>A1PSBPRCOM1580</v>
          </cell>
          <cell r="B1550" t="str">
            <v>Not Started</v>
          </cell>
          <cell r="C1550">
            <v>0.18</v>
          </cell>
          <cell r="D1550">
            <v>0</v>
          </cell>
        </row>
        <row r="1551">
          <cell r="A1551" t="str">
            <v>A1PSBPRCOM1590</v>
          </cell>
          <cell r="B1551" t="str">
            <v>Not Started</v>
          </cell>
          <cell r="C1551">
            <v>0</v>
          </cell>
          <cell r="D1551">
            <v>0</v>
          </cell>
        </row>
        <row r="1552">
          <cell r="A1552" t="str">
            <v>A1PSBPRCOM1600</v>
          </cell>
          <cell r="B1552" t="str">
            <v>Not Started</v>
          </cell>
          <cell r="C1552">
            <v>0</v>
          </cell>
          <cell r="D1552">
            <v>0</v>
          </cell>
        </row>
        <row r="1553">
          <cell r="A1553" t="str">
            <v>A1PSBPRCOM1610</v>
          </cell>
          <cell r="B1553" t="str">
            <v>Not Started</v>
          </cell>
          <cell r="C1553">
            <v>0</v>
          </cell>
          <cell r="D1553">
            <v>0</v>
          </cell>
        </row>
        <row r="1554">
          <cell r="A1554" t="str">
            <v>A1PSBPRCOM1620</v>
          </cell>
          <cell r="B1554" t="str">
            <v>Not Started</v>
          </cell>
          <cell r="C1554">
            <v>0</v>
          </cell>
          <cell r="D1554">
            <v>0</v>
          </cell>
        </row>
        <row r="1555">
          <cell r="A1555" t="str">
            <v>A1PSBPREAR1300</v>
          </cell>
          <cell r="B1555" t="str">
            <v>Completed</v>
          </cell>
          <cell r="C1555">
            <v>1</v>
          </cell>
          <cell r="D1555">
            <v>1</v>
          </cell>
        </row>
        <row r="1556">
          <cell r="A1556" t="str">
            <v>A1PSBPREAR1310</v>
          </cell>
          <cell r="B1556" t="str">
            <v>Completed</v>
          </cell>
          <cell r="C1556">
            <v>1</v>
          </cell>
          <cell r="D1556">
            <v>1</v>
          </cell>
        </row>
        <row r="1557">
          <cell r="A1557" t="str">
            <v>A1PSBPREAR1320</v>
          </cell>
          <cell r="B1557" t="str">
            <v>Completed</v>
          </cell>
          <cell r="C1557">
            <v>1</v>
          </cell>
          <cell r="D1557">
            <v>1</v>
          </cell>
        </row>
        <row r="1558">
          <cell r="A1558" t="str">
            <v>A1PSBPREAR1330</v>
          </cell>
          <cell r="B1558" t="str">
            <v>In Progress</v>
          </cell>
          <cell r="C1558">
            <v>1</v>
          </cell>
          <cell r="D1558">
            <v>0.8</v>
          </cell>
        </row>
        <row r="1559">
          <cell r="A1559" t="str">
            <v>A1PSBPREAR1340</v>
          </cell>
          <cell r="B1559" t="str">
            <v>In Progress</v>
          </cell>
          <cell r="C1559">
            <v>1</v>
          </cell>
          <cell r="D1559">
            <v>0.75</v>
          </cell>
        </row>
        <row r="1560">
          <cell r="A1560" t="str">
            <v>A1PSBPREAR1350</v>
          </cell>
          <cell r="B1560" t="str">
            <v>In Progress</v>
          </cell>
          <cell r="C1560">
            <v>1</v>
          </cell>
          <cell r="D1560">
            <v>0</v>
          </cell>
        </row>
        <row r="1561">
          <cell r="A1561" t="str">
            <v>A1PSBPREAR1360</v>
          </cell>
          <cell r="B1561" t="str">
            <v>In Progress</v>
          </cell>
          <cell r="C1561">
            <v>1</v>
          </cell>
          <cell r="D1561">
            <v>0</v>
          </cell>
        </row>
        <row r="1562">
          <cell r="A1562" t="str">
            <v>A1PSBPREAR1370</v>
          </cell>
          <cell r="B1562" t="str">
            <v>Not Started</v>
          </cell>
          <cell r="C1562">
            <v>0</v>
          </cell>
          <cell r="D1562">
            <v>0</v>
          </cell>
        </row>
        <row r="1563">
          <cell r="A1563" t="str">
            <v>A1PSBPREAR1380</v>
          </cell>
          <cell r="B1563" t="str">
            <v>Not Started</v>
          </cell>
          <cell r="C1563">
            <v>0</v>
          </cell>
          <cell r="D1563">
            <v>0</v>
          </cell>
        </row>
        <row r="1564">
          <cell r="A1564" t="str">
            <v>A1PSBPREAR1390</v>
          </cell>
          <cell r="B1564" t="str">
            <v>Not Started</v>
          </cell>
          <cell r="C1564">
            <v>0</v>
          </cell>
          <cell r="D1564">
            <v>0</v>
          </cell>
        </row>
        <row r="1565">
          <cell r="A1565" t="str">
            <v>A1PSBPREAR1400</v>
          </cell>
          <cell r="B1565" t="str">
            <v>In Progress</v>
          </cell>
          <cell r="C1565">
            <v>1</v>
          </cell>
          <cell r="D1565">
            <v>0</v>
          </cell>
        </row>
        <row r="1566">
          <cell r="A1566" t="str">
            <v>A1PSBPREAR1410</v>
          </cell>
          <cell r="B1566" t="str">
            <v>In Progress</v>
          </cell>
          <cell r="C1566">
            <v>1</v>
          </cell>
          <cell r="D1566">
            <v>0</v>
          </cell>
        </row>
        <row r="1567">
          <cell r="A1567" t="str">
            <v>A1PSBPREAR1420</v>
          </cell>
          <cell r="B1567" t="str">
            <v>Not Started</v>
          </cell>
          <cell r="C1567">
            <v>0</v>
          </cell>
          <cell r="D1567">
            <v>0</v>
          </cell>
        </row>
        <row r="1568">
          <cell r="A1568" t="str">
            <v>A1PSBPREAR1430</v>
          </cell>
          <cell r="B1568" t="str">
            <v>Not Started</v>
          </cell>
          <cell r="C1568">
            <v>0</v>
          </cell>
          <cell r="D1568">
            <v>0</v>
          </cell>
        </row>
        <row r="1569">
          <cell r="A1569" t="str">
            <v>A1PSBPREAR1440</v>
          </cell>
          <cell r="B1569" t="str">
            <v>Not Started</v>
          </cell>
          <cell r="C1569">
            <v>0</v>
          </cell>
          <cell r="D1569">
            <v>0</v>
          </cell>
        </row>
        <row r="1570">
          <cell r="A1570" t="str">
            <v>A1PSBPRELE1980</v>
          </cell>
          <cell r="B1570" t="str">
            <v>Completed</v>
          </cell>
          <cell r="C1570">
            <v>1</v>
          </cell>
          <cell r="D1570">
            <v>1</v>
          </cell>
        </row>
        <row r="1571">
          <cell r="A1571" t="str">
            <v>A1PSBPRELE1990</v>
          </cell>
          <cell r="B1571" t="str">
            <v>Completed</v>
          </cell>
          <cell r="C1571">
            <v>1</v>
          </cell>
          <cell r="D1571">
            <v>1</v>
          </cell>
        </row>
        <row r="1572">
          <cell r="A1572" t="str">
            <v>A1PSBPRELE2000</v>
          </cell>
          <cell r="B1572" t="str">
            <v>Not Started</v>
          </cell>
          <cell r="C1572">
            <v>0</v>
          </cell>
          <cell r="D1572">
            <v>0</v>
          </cell>
        </row>
        <row r="1573">
          <cell r="A1573" t="str">
            <v>A1PSBPRELE2010</v>
          </cell>
          <cell r="B1573" t="str">
            <v>Not Started</v>
          </cell>
          <cell r="C1573">
            <v>0</v>
          </cell>
          <cell r="D1573">
            <v>0</v>
          </cell>
        </row>
        <row r="1574">
          <cell r="A1574" t="str">
            <v>A1PSBPRELE2020</v>
          </cell>
          <cell r="B1574" t="str">
            <v>Not Started</v>
          </cell>
          <cell r="C1574">
            <v>0</v>
          </cell>
          <cell r="D1574">
            <v>0</v>
          </cell>
        </row>
        <row r="1575">
          <cell r="A1575" t="str">
            <v>A1PSBPRELE2030</v>
          </cell>
          <cell r="B1575" t="str">
            <v>Not Started</v>
          </cell>
          <cell r="C1575">
            <v>0</v>
          </cell>
          <cell r="D1575">
            <v>0</v>
          </cell>
        </row>
        <row r="1576">
          <cell r="A1576" t="str">
            <v>A1PSBPRELE2040</v>
          </cell>
          <cell r="B1576" t="str">
            <v>Not Started</v>
          </cell>
          <cell r="C1576">
            <v>0</v>
          </cell>
          <cell r="D1576">
            <v>0</v>
          </cell>
        </row>
        <row r="1577">
          <cell r="A1577" t="str">
            <v>A1PSBPRELE2050</v>
          </cell>
          <cell r="B1577" t="str">
            <v>Completed</v>
          </cell>
          <cell r="C1577">
            <v>1</v>
          </cell>
          <cell r="D1577">
            <v>1</v>
          </cell>
        </row>
        <row r="1578">
          <cell r="A1578" t="str">
            <v>A1PSBPRELE2060</v>
          </cell>
          <cell r="B1578" t="str">
            <v>Completed</v>
          </cell>
          <cell r="C1578">
            <v>1</v>
          </cell>
          <cell r="D1578">
            <v>1</v>
          </cell>
        </row>
        <row r="1579">
          <cell r="A1579" t="str">
            <v>A1PSBPRELE2070</v>
          </cell>
          <cell r="B1579" t="str">
            <v>Not Started</v>
          </cell>
          <cell r="C1579">
            <v>0</v>
          </cell>
          <cell r="D1579">
            <v>0</v>
          </cell>
        </row>
        <row r="1580">
          <cell r="A1580" t="str">
            <v>A1PSBPRELE2080</v>
          </cell>
          <cell r="B1580" t="str">
            <v>Not Started</v>
          </cell>
          <cell r="C1580">
            <v>0</v>
          </cell>
          <cell r="D1580">
            <v>0</v>
          </cell>
        </row>
        <row r="1581">
          <cell r="A1581" t="str">
            <v>A1PSBPRELE2090</v>
          </cell>
          <cell r="B1581" t="str">
            <v>Not Started</v>
          </cell>
          <cell r="C1581">
            <v>0</v>
          </cell>
          <cell r="D1581">
            <v>0</v>
          </cell>
        </row>
        <row r="1582">
          <cell r="A1582" t="str">
            <v>A1PSBPRELE2100</v>
          </cell>
          <cell r="B1582" t="str">
            <v>Not Started</v>
          </cell>
          <cell r="C1582">
            <v>0</v>
          </cell>
          <cell r="D1582">
            <v>0</v>
          </cell>
        </row>
        <row r="1583">
          <cell r="A1583" t="str">
            <v>A1PSBPRELE2110</v>
          </cell>
          <cell r="B1583" t="str">
            <v>Not Started</v>
          </cell>
          <cell r="C1583">
            <v>0</v>
          </cell>
          <cell r="D1583">
            <v>0</v>
          </cell>
        </row>
        <row r="1584">
          <cell r="A1584" t="str">
            <v>A1PSBPRELE2120</v>
          </cell>
          <cell r="B1584" t="str">
            <v>Completed</v>
          </cell>
          <cell r="C1584">
            <v>1</v>
          </cell>
          <cell r="D1584">
            <v>1</v>
          </cell>
        </row>
        <row r="1585">
          <cell r="A1585" t="str">
            <v>A1PSBPRELE2130</v>
          </cell>
          <cell r="B1585" t="str">
            <v>Completed</v>
          </cell>
          <cell r="C1585">
            <v>1</v>
          </cell>
          <cell r="D1585">
            <v>1</v>
          </cell>
        </row>
        <row r="1586">
          <cell r="A1586" t="str">
            <v>A1PSBPRELE2140</v>
          </cell>
          <cell r="B1586" t="str">
            <v>In Progress</v>
          </cell>
          <cell r="C1586">
            <v>1</v>
          </cell>
          <cell r="D1586">
            <v>0.15</v>
          </cell>
        </row>
        <row r="1587">
          <cell r="A1587" t="str">
            <v>A1PSBPRELE2150</v>
          </cell>
          <cell r="B1587" t="str">
            <v>In Progress</v>
          </cell>
          <cell r="C1587">
            <v>0.21</v>
          </cell>
          <cell r="D1587">
            <v>0.15</v>
          </cell>
        </row>
        <row r="1588">
          <cell r="A1588" t="str">
            <v>A1PSBPRELE2160</v>
          </cell>
          <cell r="B1588" t="str">
            <v>In Progress</v>
          </cell>
          <cell r="C1588">
            <v>0</v>
          </cell>
          <cell r="D1588">
            <v>0.15</v>
          </cell>
        </row>
        <row r="1589">
          <cell r="A1589" t="str">
            <v>A1PSBPRELE2170</v>
          </cell>
          <cell r="B1589" t="str">
            <v>Not Started</v>
          </cell>
          <cell r="C1589">
            <v>0</v>
          </cell>
          <cell r="D1589">
            <v>0</v>
          </cell>
        </row>
        <row r="1590">
          <cell r="A1590" t="str">
            <v>A1PSBPRELE2180</v>
          </cell>
          <cell r="B1590" t="str">
            <v>Not Started</v>
          </cell>
          <cell r="C1590">
            <v>0</v>
          </cell>
          <cell r="D1590">
            <v>0</v>
          </cell>
        </row>
        <row r="1591">
          <cell r="A1591" t="str">
            <v>A1PSBPRELE2190</v>
          </cell>
          <cell r="B1591" t="str">
            <v>Completed</v>
          </cell>
          <cell r="C1591">
            <v>1</v>
          </cell>
          <cell r="D1591">
            <v>1</v>
          </cell>
        </row>
        <row r="1592">
          <cell r="A1592" t="str">
            <v>A1PSBPRELE2200</v>
          </cell>
          <cell r="B1592" t="str">
            <v>In Progress</v>
          </cell>
          <cell r="C1592">
            <v>1</v>
          </cell>
          <cell r="D1592">
            <v>0</v>
          </cell>
        </row>
        <row r="1593">
          <cell r="A1593" t="str">
            <v>A1PSBPRELE2210</v>
          </cell>
          <cell r="B1593" t="str">
            <v>Not Started</v>
          </cell>
          <cell r="C1593">
            <v>0</v>
          </cell>
          <cell r="D1593">
            <v>0</v>
          </cell>
        </row>
        <row r="1594">
          <cell r="A1594" t="str">
            <v>A1PSBPRELE2220</v>
          </cell>
          <cell r="B1594" t="str">
            <v>Not Started</v>
          </cell>
          <cell r="C1594">
            <v>0</v>
          </cell>
          <cell r="D1594">
            <v>0</v>
          </cell>
        </row>
        <row r="1595">
          <cell r="A1595" t="str">
            <v>A1PSBPRELE2230</v>
          </cell>
          <cell r="B1595" t="str">
            <v>Not Started</v>
          </cell>
          <cell r="C1595">
            <v>0</v>
          </cell>
          <cell r="D1595">
            <v>0</v>
          </cell>
        </row>
        <row r="1596">
          <cell r="A1596" t="str">
            <v>A1PSBPRELE2240</v>
          </cell>
          <cell r="B1596" t="str">
            <v>Not Started</v>
          </cell>
          <cell r="C1596">
            <v>0</v>
          </cell>
          <cell r="D1596">
            <v>0</v>
          </cell>
        </row>
        <row r="1597">
          <cell r="A1597" t="str">
            <v>A1PSBPRELE2250</v>
          </cell>
          <cell r="B1597" t="str">
            <v>Not Started</v>
          </cell>
          <cell r="C1597">
            <v>0</v>
          </cell>
          <cell r="D1597">
            <v>0</v>
          </cell>
        </row>
        <row r="1598">
          <cell r="A1598" t="str">
            <v>A1PSBPRELE2260</v>
          </cell>
          <cell r="B1598" t="str">
            <v>Completed</v>
          </cell>
          <cell r="C1598">
            <v>1</v>
          </cell>
          <cell r="D1598">
            <v>1</v>
          </cell>
        </row>
        <row r="1599">
          <cell r="A1599" t="str">
            <v>A1PSBPRELE2270</v>
          </cell>
          <cell r="B1599" t="str">
            <v>In Progress</v>
          </cell>
          <cell r="C1599">
            <v>1</v>
          </cell>
          <cell r="D1599">
            <v>0.45</v>
          </cell>
        </row>
        <row r="1600">
          <cell r="A1600" t="str">
            <v>A1PSBPRELE2280</v>
          </cell>
          <cell r="B1600" t="str">
            <v>Not Started</v>
          </cell>
          <cell r="C1600">
            <v>0</v>
          </cell>
          <cell r="D1600">
            <v>0</v>
          </cell>
        </row>
        <row r="1601">
          <cell r="A1601" t="str">
            <v>A1PSBPRELE2290</v>
          </cell>
          <cell r="B1601" t="str">
            <v>Not Started</v>
          </cell>
          <cell r="C1601">
            <v>0</v>
          </cell>
          <cell r="D1601">
            <v>0</v>
          </cell>
        </row>
        <row r="1602">
          <cell r="A1602" t="str">
            <v>A1PSBPRELE2300</v>
          </cell>
          <cell r="B1602" t="str">
            <v>Not Started</v>
          </cell>
          <cell r="C1602">
            <v>0</v>
          </cell>
          <cell r="D1602">
            <v>0</v>
          </cell>
        </row>
        <row r="1603">
          <cell r="A1603" t="str">
            <v>A1PSBPRELE2310</v>
          </cell>
          <cell r="B1603" t="str">
            <v>Not Started</v>
          </cell>
          <cell r="C1603">
            <v>0</v>
          </cell>
          <cell r="D1603">
            <v>0</v>
          </cell>
        </row>
        <row r="1604">
          <cell r="A1604" t="str">
            <v>A1PSBPRELE2320</v>
          </cell>
          <cell r="B1604" t="str">
            <v>Not Started</v>
          </cell>
          <cell r="C1604">
            <v>0</v>
          </cell>
          <cell r="D1604">
            <v>0</v>
          </cell>
        </row>
        <row r="1605">
          <cell r="A1605" t="str">
            <v>A1PSBPRELE2330</v>
          </cell>
          <cell r="B1605" t="str">
            <v>Completed</v>
          </cell>
          <cell r="C1605">
            <v>1</v>
          </cell>
          <cell r="D1605">
            <v>1</v>
          </cell>
        </row>
        <row r="1606">
          <cell r="A1606" t="str">
            <v>A1PSBPRELE2340</v>
          </cell>
          <cell r="B1606" t="str">
            <v>In Progress</v>
          </cell>
          <cell r="C1606">
            <v>1</v>
          </cell>
          <cell r="D1606">
            <v>0.5</v>
          </cell>
        </row>
        <row r="1607">
          <cell r="A1607" t="str">
            <v>A1PSBPRELE2350</v>
          </cell>
          <cell r="B1607" t="str">
            <v>Not Started</v>
          </cell>
          <cell r="C1607">
            <v>0.375</v>
          </cell>
          <cell r="D1607">
            <v>0</v>
          </cell>
        </row>
        <row r="1608">
          <cell r="A1608" t="str">
            <v>A1PSBPRELE2360</v>
          </cell>
          <cell r="B1608" t="str">
            <v>Not Started</v>
          </cell>
          <cell r="C1608">
            <v>0</v>
          </cell>
          <cell r="D1608">
            <v>0</v>
          </cell>
        </row>
        <row r="1609">
          <cell r="A1609" t="str">
            <v>A1PSBPRELE2370</v>
          </cell>
          <cell r="B1609" t="str">
            <v>Not Started</v>
          </cell>
          <cell r="C1609">
            <v>0</v>
          </cell>
          <cell r="D1609">
            <v>0</v>
          </cell>
        </row>
        <row r="1610">
          <cell r="A1610" t="str">
            <v>A1PSBPRELE2380</v>
          </cell>
          <cell r="B1610" t="str">
            <v>Not Started</v>
          </cell>
          <cell r="C1610">
            <v>0</v>
          </cell>
          <cell r="D1610">
            <v>0</v>
          </cell>
        </row>
        <row r="1611">
          <cell r="A1611" t="str">
            <v>A1PSBPRELE2390</v>
          </cell>
          <cell r="B1611" t="str">
            <v>Not Started</v>
          </cell>
          <cell r="C1611">
            <v>0</v>
          </cell>
          <cell r="D1611">
            <v>0</v>
          </cell>
        </row>
        <row r="1612">
          <cell r="A1612" t="str">
            <v>A1PSBPRELE2400</v>
          </cell>
          <cell r="B1612" t="str">
            <v>Completed</v>
          </cell>
          <cell r="C1612">
            <v>1</v>
          </cell>
          <cell r="D1612">
            <v>1</v>
          </cell>
        </row>
        <row r="1613">
          <cell r="A1613" t="str">
            <v>A1PSBPRELE2410</v>
          </cell>
          <cell r="B1613" t="str">
            <v>In Progress</v>
          </cell>
          <cell r="C1613">
            <v>1</v>
          </cell>
          <cell r="D1613">
            <v>0.8</v>
          </cell>
        </row>
        <row r="1614">
          <cell r="A1614" t="str">
            <v>A1PSBPRELE2420</v>
          </cell>
          <cell r="B1614" t="str">
            <v>Not Started</v>
          </cell>
          <cell r="C1614">
            <v>0.55310000000000004</v>
          </cell>
          <cell r="D1614">
            <v>0</v>
          </cell>
        </row>
        <row r="1615">
          <cell r="A1615" t="str">
            <v>A1PSBPRELE2430</v>
          </cell>
          <cell r="B1615" t="str">
            <v>Not Started</v>
          </cell>
          <cell r="C1615">
            <v>0</v>
          </cell>
          <cell r="D1615">
            <v>0</v>
          </cell>
        </row>
        <row r="1616">
          <cell r="A1616" t="str">
            <v>A1PSBPRELE2440</v>
          </cell>
          <cell r="B1616" t="str">
            <v>Not Started</v>
          </cell>
          <cell r="C1616">
            <v>0</v>
          </cell>
          <cell r="D1616">
            <v>0</v>
          </cell>
        </row>
        <row r="1617">
          <cell r="A1617" t="str">
            <v>A1PSBPRELE2450</v>
          </cell>
          <cell r="B1617" t="str">
            <v>Not Started</v>
          </cell>
          <cell r="C1617">
            <v>0</v>
          </cell>
          <cell r="D1617">
            <v>0</v>
          </cell>
        </row>
        <row r="1618">
          <cell r="A1618" t="str">
            <v>A1PSBPRELE2460</v>
          </cell>
          <cell r="B1618" t="str">
            <v>Not Started</v>
          </cell>
          <cell r="C1618">
            <v>0</v>
          </cell>
          <cell r="D1618">
            <v>0</v>
          </cell>
        </row>
        <row r="1619">
          <cell r="A1619" t="str">
            <v>A1PSBPRELE2470</v>
          </cell>
          <cell r="B1619" t="str">
            <v>Completed</v>
          </cell>
          <cell r="C1619">
            <v>1</v>
          </cell>
          <cell r="D1619">
            <v>1</v>
          </cell>
        </row>
        <row r="1620">
          <cell r="A1620" t="str">
            <v>A1PSBPRELE2480</v>
          </cell>
          <cell r="B1620" t="str">
            <v>Completed</v>
          </cell>
          <cell r="C1620">
            <v>1</v>
          </cell>
          <cell r="D1620">
            <v>1</v>
          </cell>
        </row>
        <row r="1621">
          <cell r="A1621" t="str">
            <v>A1PSBPRELE2490</v>
          </cell>
          <cell r="B1621" t="str">
            <v>Not Started</v>
          </cell>
          <cell r="C1621">
            <v>1</v>
          </cell>
          <cell r="D1621">
            <v>0</v>
          </cell>
        </row>
        <row r="1622">
          <cell r="A1622" t="str">
            <v>A1PSBPRELE2500</v>
          </cell>
          <cell r="B1622" t="str">
            <v>Not Started</v>
          </cell>
          <cell r="C1622">
            <v>0.5</v>
          </cell>
          <cell r="D1622">
            <v>0</v>
          </cell>
        </row>
        <row r="1623">
          <cell r="A1623" t="str">
            <v>A1PSBPRELE2510</v>
          </cell>
          <cell r="B1623" t="str">
            <v>Not Started</v>
          </cell>
          <cell r="C1623">
            <v>0</v>
          </cell>
          <cell r="D1623">
            <v>0</v>
          </cell>
        </row>
        <row r="1624">
          <cell r="A1624" t="str">
            <v>A1PSBPRELE2520</v>
          </cell>
          <cell r="B1624" t="str">
            <v>Not Started</v>
          </cell>
          <cell r="C1624">
            <v>0</v>
          </cell>
          <cell r="D1624">
            <v>0</v>
          </cell>
        </row>
        <row r="1625">
          <cell r="A1625" t="str">
            <v>A1PSBPRELE2530</v>
          </cell>
          <cell r="B1625" t="str">
            <v>Not Started</v>
          </cell>
          <cell r="C1625">
            <v>0</v>
          </cell>
          <cell r="D1625">
            <v>0</v>
          </cell>
        </row>
        <row r="1626">
          <cell r="A1626" t="str">
            <v>A1PSBPRELE2540</v>
          </cell>
          <cell r="B1626" t="str">
            <v>Completed</v>
          </cell>
          <cell r="C1626">
            <v>1</v>
          </cell>
          <cell r="D1626">
            <v>1</v>
          </cell>
        </row>
        <row r="1627">
          <cell r="A1627" t="str">
            <v>A1PSBPRELE2550</v>
          </cell>
          <cell r="B1627" t="str">
            <v>Completed</v>
          </cell>
          <cell r="C1627">
            <v>1</v>
          </cell>
          <cell r="D1627">
            <v>1</v>
          </cell>
        </row>
        <row r="1628">
          <cell r="A1628" t="str">
            <v>A1PSBPRELE2560</v>
          </cell>
          <cell r="B1628" t="str">
            <v>Not Started</v>
          </cell>
          <cell r="C1628">
            <v>0</v>
          </cell>
          <cell r="D1628">
            <v>0</v>
          </cell>
        </row>
        <row r="1629">
          <cell r="A1629" t="str">
            <v>A1PSBPRELE2570</v>
          </cell>
          <cell r="B1629" t="str">
            <v>Not Started</v>
          </cell>
          <cell r="C1629">
            <v>0</v>
          </cell>
          <cell r="D1629">
            <v>0</v>
          </cell>
        </row>
        <row r="1630">
          <cell r="A1630" t="str">
            <v>A1PSBPRELE2580</v>
          </cell>
          <cell r="B1630" t="str">
            <v>Not Started</v>
          </cell>
          <cell r="C1630">
            <v>0</v>
          </cell>
          <cell r="D1630">
            <v>0</v>
          </cell>
        </row>
        <row r="1631">
          <cell r="A1631" t="str">
            <v>A1PSBPRELE2590</v>
          </cell>
          <cell r="B1631" t="str">
            <v>Not Started</v>
          </cell>
          <cell r="C1631">
            <v>0</v>
          </cell>
          <cell r="D1631">
            <v>0</v>
          </cell>
        </row>
        <row r="1632">
          <cell r="A1632" t="str">
            <v>A1PSBPRELE2600</v>
          </cell>
          <cell r="B1632" t="str">
            <v>Not Started</v>
          </cell>
          <cell r="C1632">
            <v>0</v>
          </cell>
          <cell r="D1632">
            <v>0</v>
          </cell>
        </row>
        <row r="1633">
          <cell r="A1633" t="str">
            <v>A1PSBPRELE2610</v>
          </cell>
          <cell r="B1633" t="str">
            <v>Completed</v>
          </cell>
          <cell r="C1633">
            <v>1</v>
          </cell>
          <cell r="D1633">
            <v>1</v>
          </cell>
        </row>
        <row r="1634">
          <cell r="A1634" t="str">
            <v>A1PSBPRELE2620</v>
          </cell>
          <cell r="B1634" t="str">
            <v>In Progress</v>
          </cell>
          <cell r="C1634">
            <v>1</v>
          </cell>
          <cell r="D1634">
            <v>0</v>
          </cell>
        </row>
        <row r="1635">
          <cell r="A1635" t="str">
            <v>A1PSBPRELE2630</v>
          </cell>
          <cell r="B1635" t="str">
            <v>Not Started</v>
          </cell>
          <cell r="C1635">
            <v>0</v>
          </cell>
          <cell r="D1635">
            <v>0</v>
          </cell>
        </row>
        <row r="1636">
          <cell r="A1636" t="str">
            <v>A1PSBPRELE2640</v>
          </cell>
          <cell r="B1636" t="str">
            <v>Not Started</v>
          </cell>
          <cell r="C1636">
            <v>0</v>
          </cell>
          <cell r="D1636">
            <v>0</v>
          </cell>
        </row>
        <row r="1637">
          <cell r="A1637" t="str">
            <v>A1PSBPRELE2650</v>
          </cell>
          <cell r="B1637" t="str">
            <v>Not Started</v>
          </cell>
          <cell r="C1637">
            <v>0</v>
          </cell>
          <cell r="D1637">
            <v>0</v>
          </cell>
        </row>
        <row r="1638">
          <cell r="A1638" t="str">
            <v>A1PSBPRELE2660</v>
          </cell>
          <cell r="B1638" t="str">
            <v>Not Started</v>
          </cell>
          <cell r="C1638">
            <v>0</v>
          </cell>
          <cell r="D1638">
            <v>0</v>
          </cell>
        </row>
        <row r="1639">
          <cell r="A1639" t="str">
            <v>A1PSBPRELE2670</v>
          </cell>
          <cell r="B1639" t="str">
            <v>Not Started</v>
          </cell>
          <cell r="C1639">
            <v>0</v>
          </cell>
          <cell r="D1639">
            <v>0</v>
          </cell>
        </row>
        <row r="1640">
          <cell r="A1640" t="str">
            <v>A1PSBPRELE2680</v>
          </cell>
          <cell r="B1640" t="str">
            <v>Completed</v>
          </cell>
          <cell r="C1640">
            <v>1</v>
          </cell>
          <cell r="D1640">
            <v>1</v>
          </cell>
        </row>
        <row r="1641">
          <cell r="A1641" t="str">
            <v>A1PSBPRELE2690</v>
          </cell>
          <cell r="B1641" t="str">
            <v>Completed</v>
          </cell>
          <cell r="C1641">
            <v>1</v>
          </cell>
          <cell r="D1641">
            <v>1</v>
          </cell>
        </row>
        <row r="1642">
          <cell r="A1642" t="str">
            <v>A1PSBPRELE2700</v>
          </cell>
          <cell r="B1642" t="str">
            <v>Completed</v>
          </cell>
          <cell r="C1642">
            <v>0.84379999999999999</v>
          </cell>
          <cell r="D1642">
            <v>1</v>
          </cell>
        </row>
        <row r="1643">
          <cell r="A1643" t="str">
            <v>A1PSBPRELE2710</v>
          </cell>
          <cell r="B1643" t="str">
            <v>In Progress</v>
          </cell>
          <cell r="C1643">
            <v>0.20710000000000001</v>
          </cell>
          <cell r="D1643">
            <v>0.5</v>
          </cell>
        </row>
        <row r="1644">
          <cell r="A1644" t="str">
            <v>A1PSBPRELE2720</v>
          </cell>
          <cell r="B1644" t="str">
            <v>Not Started</v>
          </cell>
          <cell r="C1644">
            <v>0</v>
          </cell>
          <cell r="D1644">
            <v>0</v>
          </cell>
        </row>
        <row r="1645">
          <cell r="A1645" t="str">
            <v>A1PSBPRELE2730</v>
          </cell>
          <cell r="B1645" t="str">
            <v>Not Started</v>
          </cell>
          <cell r="C1645">
            <v>0</v>
          </cell>
          <cell r="D1645">
            <v>0</v>
          </cell>
        </row>
        <row r="1646">
          <cell r="A1646" t="str">
            <v>A1PSBPRELE2740</v>
          </cell>
          <cell r="B1646" t="str">
            <v>Not Started</v>
          </cell>
          <cell r="C1646">
            <v>0</v>
          </cell>
          <cell r="D1646">
            <v>0</v>
          </cell>
        </row>
        <row r="1647">
          <cell r="A1647" t="str">
            <v>A1PSBPRELE2750</v>
          </cell>
          <cell r="B1647" t="str">
            <v>Completed</v>
          </cell>
          <cell r="C1647">
            <v>1</v>
          </cell>
          <cell r="D1647">
            <v>1</v>
          </cell>
        </row>
        <row r="1648">
          <cell r="A1648" t="str">
            <v>A1PSBPRELE2760</v>
          </cell>
          <cell r="B1648" t="str">
            <v>Completed</v>
          </cell>
          <cell r="C1648">
            <v>1</v>
          </cell>
          <cell r="D1648">
            <v>1</v>
          </cell>
        </row>
        <row r="1649">
          <cell r="A1649" t="str">
            <v>A1PSBPRELE2770</v>
          </cell>
          <cell r="B1649" t="str">
            <v>Completed</v>
          </cell>
          <cell r="C1649">
            <v>0.76670000000000005</v>
          </cell>
          <cell r="D1649">
            <v>1</v>
          </cell>
        </row>
        <row r="1650">
          <cell r="A1650" t="str">
            <v>A1PSBPRELE2780</v>
          </cell>
          <cell r="B1650" t="str">
            <v>In Progress</v>
          </cell>
          <cell r="C1650">
            <v>0.375</v>
          </cell>
          <cell r="D1650">
            <v>0.5</v>
          </cell>
        </row>
        <row r="1651">
          <cell r="A1651" t="str">
            <v>A1PSBPRELE2790</v>
          </cell>
          <cell r="B1651" t="str">
            <v>Not Started</v>
          </cell>
          <cell r="C1651">
            <v>0</v>
          </cell>
          <cell r="D1651">
            <v>0</v>
          </cell>
        </row>
        <row r="1652">
          <cell r="A1652" t="str">
            <v>A1PSBPRELE2800</v>
          </cell>
          <cell r="B1652" t="str">
            <v>Not Started</v>
          </cell>
          <cell r="C1652">
            <v>0</v>
          </cell>
          <cell r="D1652">
            <v>0</v>
          </cell>
        </row>
        <row r="1653">
          <cell r="A1653" t="str">
            <v>A1PSBPRELE2810</v>
          </cell>
          <cell r="B1653" t="str">
            <v>Not Started</v>
          </cell>
          <cell r="C1653">
            <v>0</v>
          </cell>
          <cell r="D1653">
            <v>0</v>
          </cell>
        </row>
        <row r="1654">
          <cell r="A1654" t="str">
            <v>A1PSBPRELE2820</v>
          </cell>
          <cell r="B1654" t="str">
            <v>In Progress</v>
          </cell>
          <cell r="C1654">
            <v>1</v>
          </cell>
          <cell r="D1654">
            <v>0</v>
          </cell>
        </row>
        <row r="1655">
          <cell r="A1655" t="str">
            <v>A1PSBPRELE2830</v>
          </cell>
          <cell r="B1655" t="str">
            <v>In Progress</v>
          </cell>
          <cell r="C1655">
            <v>1</v>
          </cell>
          <cell r="D1655">
            <v>0</v>
          </cell>
        </row>
        <row r="1656">
          <cell r="A1656" t="str">
            <v>A1PSBPRELE2840</v>
          </cell>
          <cell r="B1656" t="str">
            <v>Not Started</v>
          </cell>
          <cell r="C1656">
            <v>0</v>
          </cell>
          <cell r="D1656">
            <v>0</v>
          </cell>
        </row>
        <row r="1657">
          <cell r="A1657" t="str">
            <v>A1PSBPRELE2850</v>
          </cell>
          <cell r="B1657" t="str">
            <v>Not Started</v>
          </cell>
          <cell r="C1657">
            <v>0</v>
          </cell>
          <cell r="D1657">
            <v>0</v>
          </cell>
        </row>
        <row r="1658">
          <cell r="A1658" t="str">
            <v>A1PSBPRELE2860</v>
          </cell>
          <cell r="B1658" t="str">
            <v>Not Started</v>
          </cell>
          <cell r="C1658">
            <v>0</v>
          </cell>
          <cell r="D1658">
            <v>0</v>
          </cell>
        </row>
        <row r="1659">
          <cell r="A1659" t="str">
            <v>A1PSBPRELE2870</v>
          </cell>
          <cell r="B1659" t="str">
            <v>Not Started</v>
          </cell>
          <cell r="C1659">
            <v>0</v>
          </cell>
          <cell r="D1659">
            <v>0</v>
          </cell>
        </row>
        <row r="1660">
          <cell r="A1660" t="str">
            <v>A1PSBPRELE2880</v>
          </cell>
          <cell r="B1660" t="str">
            <v>Not Started</v>
          </cell>
          <cell r="C1660">
            <v>0</v>
          </cell>
          <cell r="D1660">
            <v>0</v>
          </cell>
        </row>
        <row r="1661">
          <cell r="A1661" t="str">
            <v>A1PSBPRELE2890</v>
          </cell>
          <cell r="B1661" t="str">
            <v>In Progress</v>
          </cell>
          <cell r="C1661">
            <v>1</v>
          </cell>
          <cell r="D1661">
            <v>0</v>
          </cell>
        </row>
        <row r="1662">
          <cell r="A1662" t="str">
            <v>A1PSBPRELE2900</v>
          </cell>
          <cell r="B1662" t="str">
            <v>In Progress</v>
          </cell>
          <cell r="C1662">
            <v>1</v>
          </cell>
          <cell r="D1662">
            <v>0</v>
          </cell>
        </row>
        <row r="1663">
          <cell r="A1663" t="str">
            <v>A1PSBPRELE2910</v>
          </cell>
          <cell r="B1663" t="str">
            <v>Not Started</v>
          </cell>
          <cell r="C1663">
            <v>0</v>
          </cell>
          <cell r="D1663">
            <v>0</v>
          </cell>
        </row>
        <row r="1664">
          <cell r="A1664" t="str">
            <v>A1PSBPRELE2920</v>
          </cell>
          <cell r="B1664" t="str">
            <v>Not Started</v>
          </cell>
          <cell r="C1664">
            <v>0</v>
          </cell>
          <cell r="D1664">
            <v>0</v>
          </cell>
        </row>
        <row r="1665">
          <cell r="A1665" t="str">
            <v>A1PSBPRELE2930</v>
          </cell>
          <cell r="B1665" t="str">
            <v>Not Started</v>
          </cell>
          <cell r="C1665">
            <v>0</v>
          </cell>
          <cell r="D1665">
            <v>0</v>
          </cell>
        </row>
        <row r="1666">
          <cell r="A1666" t="str">
            <v>A1PSBPRELE2940</v>
          </cell>
          <cell r="B1666" t="str">
            <v>Not Started</v>
          </cell>
          <cell r="C1666">
            <v>0</v>
          </cell>
          <cell r="D1666">
            <v>0</v>
          </cell>
        </row>
        <row r="1667">
          <cell r="A1667" t="str">
            <v>A1PSBPRELE2950</v>
          </cell>
          <cell r="B1667" t="str">
            <v>Not Started</v>
          </cell>
          <cell r="C1667">
            <v>0</v>
          </cell>
          <cell r="D1667">
            <v>0</v>
          </cell>
        </row>
        <row r="1668">
          <cell r="A1668" t="str">
            <v>A1PSBPRELE2960</v>
          </cell>
          <cell r="B1668" t="str">
            <v>In Progress</v>
          </cell>
          <cell r="C1668">
            <v>1</v>
          </cell>
          <cell r="D1668">
            <v>0</v>
          </cell>
        </row>
        <row r="1669">
          <cell r="A1669" t="str">
            <v>A1PSBPRELE2970</v>
          </cell>
          <cell r="B1669" t="str">
            <v>In Progress</v>
          </cell>
          <cell r="C1669">
            <v>1</v>
          </cell>
          <cell r="D1669">
            <v>0</v>
          </cell>
        </row>
        <row r="1670">
          <cell r="A1670" t="str">
            <v>A1PSBPRELE2980</v>
          </cell>
          <cell r="B1670" t="str">
            <v>Not Started</v>
          </cell>
          <cell r="C1670">
            <v>0</v>
          </cell>
          <cell r="D1670">
            <v>0</v>
          </cell>
        </row>
        <row r="1671">
          <cell r="A1671" t="str">
            <v>A1PSBPRELE2990</v>
          </cell>
          <cell r="B1671" t="str">
            <v>Not Started</v>
          </cell>
          <cell r="C1671">
            <v>0</v>
          </cell>
          <cell r="D1671">
            <v>0</v>
          </cell>
        </row>
        <row r="1672">
          <cell r="A1672" t="str">
            <v>A1PSBPRELE3000</v>
          </cell>
          <cell r="B1672" t="str">
            <v>Not Started</v>
          </cell>
          <cell r="C1672">
            <v>0</v>
          </cell>
          <cell r="D1672">
            <v>0</v>
          </cell>
        </row>
        <row r="1673">
          <cell r="A1673" t="str">
            <v>A1PSBPRELE3010</v>
          </cell>
          <cell r="B1673" t="str">
            <v>Not Started</v>
          </cell>
          <cell r="C1673">
            <v>0</v>
          </cell>
          <cell r="D1673">
            <v>0</v>
          </cell>
        </row>
        <row r="1674">
          <cell r="A1674" t="str">
            <v>A1PSBPRELE3020</v>
          </cell>
          <cell r="B1674" t="str">
            <v>Not Started</v>
          </cell>
          <cell r="C1674">
            <v>0</v>
          </cell>
          <cell r="D1674">
            <v>0</v>
          </cell>
        </row>
        <row r="1675">
          <cell r="A1675" t="str">
            <v>A1PSBPRELE3030</v>
          </cell>
          <cell r="B1675" t="str">
            <v>In Progress</v>
          </cell>
          <cell r="C1675">
            <v>1</v>
          </cell>
          <cell r="D1675">
            <v>0</v>
          </cell>
        </row>
        <row r="1676">
          <cell r="A1676" t="str">
            <v>A1PSBPRELE3040</v>
          </cell>
          <cell r="B1676" t="str">
            <v>In Progress</v>
          </cell>
          <cell r="C1676">
            <v>1</v>
          </cell>
          <cell r="D1676">
            <v>0</v>
          </cell>
        </row>
        <row r="1677">
          <cell r="A1677" t="str">
            <v>A1PSBPRELE3050</v>
          </cell>
          <cell r="B1677" t="str">
            <v>Not Started</v>
          </cell>
          <cell r="C1677">
            <v>0</v>
          </cell>
          <cell r="D1677">
            <v>0</v>
          </cell>
        </row>
        <row r="1678">
          <cell r="A1678" t="str">
            <v>A1PSBPRELE3060</v>
          </cell>
          <cell r="B1678" t="str">
            <v>Not Started</v>
          </cell>
          <cell r="C1678">
            <v>0</v>
          </cell>
          <cell r="D1678">
            <v>0</v>
          </cell>
        </row>
        <row r="1679">
          <cell r="A1679" t="str">
            <v>A1PSBPRELE3070</v>
          </cell>
          <cell r="B1679" t="str">
            <v>Not Started</v>
          </cell>
          <cell r="C1679">
            <v>0</v>
          </cell>
          <cell r="D1679">
            <v>0</v>
          </cell>
        </row>
        <row r="1680">
          <cell r="A1680" t="str">
            <v>A1PSBPRELE3080</v>
          </cell>
          <cell r="B1680" t="str">
            <v>Not Started</v>
          </cell>
          <cell r="C1680">
            <v>0</v>
          </cell>
          <cell r="D1680">
            <v>0</v>
          </cell>
        </row>
        <row r="1681">
          <cell r="A1681" t="str">
            <v>A1PSBPRELE3090</v>
          </cell>
          <cell r="B1681" t="str">
            <v>Not Started</v>
          </cell>
          <cell r="C1681">
            <v>0</v>
          </cell>
          <cell r="D1681">
            <v>0</v>
          </cell>
        </row>
        <row r="1682">
          <cell r="A1682" t="str">
            <v>A1PSBPRINS1281</v>
          </cell>
          <cell r="B1682" t="str">
            <v>In Progress</v>
          </cell>
          <cell r="C1682">
            <v>1</v>
          </cell>
          <cell r="D1682">
            <v>0</v>
          </cell>
        </row>
        <row r="1683">
          <cell r="A1683" t="str">
            <v>A1PSBPRINS1291</v>
          </cell>
          <cell r="B1683" t="str">
            <v>In Progress</v>
          </cell>
          <cell r="C1683">
            <v>1</v>
          </cell>
          <cell r="D1683">
            <v>0</v>
          </cell>
        </row>
        <row r="1684">
          <cell r="A1684" t="str">
            <v>A1PSBPRINS1301</v>
          </cell>
          <cell r="B1684" t="str">
            <v>Not Started</v>
          </cell>
          <cell r="C1684">
            <v>0</v>
          </cell>
          <cell r="D1684">
            <v>0</v>
          </cell>
        </row>
        <row r="1685">
          <cell r="A1685" t="str">
            <v>A1PSBPRINS1311</v>
          </cell>
          <cell r="B1685" t="str">
            <v>Not Started</v>
          </cell>
          <cell r="C1685">
            <v>0</v>
          </cell>
          <cell r="D1685">
            <v>0</v>
          </cell>
        </row>
        <row r="1686">
          <cell r="A1686" t="str">
            <v>A1PSBPRINS1321</v>
          </cell>
          <cell r="B1686" t="str">
            <v>Not Started</v>
          </cell>
          <cell r="C1686">
            <v>0</v>
          </cell>
          <cell r="D1686">
            <v>0</v>
          </cell>
        </row>
        <row r="1687">
          <cell r="A1687" t="str">
            <v>A1PSBPRINS1331</v>
          </cell>
          <cell r="B1687" t="str">
            <v>Not Started</v>
          </cell>
          <cell r="C1687">
            <v>0</v>
          </cell>
          <cell r="D1687">
            <v>0</v>
          </cell>
        </row>
        <row r="1688">
          <cell r="A1688" t="str">
            <v>A1PSBPRINS1341</v>
          </cell>
          <cell r="B1688" t="str">
            <v>Not Started</v>
          </cell>
          <cell r="C1688">
            <v>0</v>
          </cell>
          <cell r="D1688">
            <v>0</v>
          </cell>
        </row>
        <row r="1689">
          <cell r="A1689" t="str">
            <v>A1PSBPRINS1560</v>
          </cell>
          <cell r="B1689" t="str">
            <v>In Progress</v>
          </cell>
          <cell r="C1689">
            <v>1</v>
          </cell>
          <cell r="D1689">
            <v>0</v>
          </cell>
        </row>
        <row r="1690">
          <cell r="A1690" t="str">
            <v>A1PSBPRINS1570</v>
          </cell>
          <cell r="B1690" t="str">
            <v>In Progress</v>
          </cell>
          <cell r="C1690">
            <v>1</v>
          </cell>
          <cell r="D1690">
            <v>0</v>
          </cell>
        </row>
        <row r="1691">
          <cell r="A1691" t="str">
            <v>A1PSBPRINS1580</v>
          </cell>
          <cell r="B1691" t="str">
            <v>Not Started</v>
          </cell>
          <cell r="C1691">
            <v>0</v>
          </cell>
          <cell r="D1691">
            <v>0</v>
          </cell>
        </row>
        <row r="1692">
          <cell r="A1692" t="str">
            <v>A1PSBPRINS1590</v>
          </cell>
          <cell r="B1692" t="str">
            <v>Not Started</v>
          </cell>
          <cell r="C1692">
            <v>0</v>
          </cell>
          <cell r="D1692">
            <v>0</v>
          </cell>
        </row>
        <row r="1693">
          <cell r="A1693" t="str">
            <v>A1PSBPRINS1600</v>
          </cell>
          <cell r="B1693" t="str">
            <v>Not Started</v>
          </cell>
          <cell r="C1693">
            <v>0</v>
          </cell>
          <cell r="D1693">
            <v>0</v>
          </cell>
        </row>
        <row r="1694">
          <cell r="A1694" t="str">
            <v>A1PSBPRINS1610</v>
          </cell>
          <cell r="B1694" t="str">
            <v>Not Started</v>
          </cell>
          <cell r="C1694">
            <v>0</v>
          </cell>
          <cell r="D1694">
            <v>0</v>
          </cell>
        </row>
        <row r="1695">
          <cell r="A1695" t="str">
            <v>A1PSBPRINS1620</v>
          </cell>
          <cell r="B1695" t="str">
            <v>Not Started</v>
          </cell>
          <cell r="C1695">
            <v>0</v>
          </cell>
          <cell r="D1695">
            <v>0</v>
          </cell>
        </row>
        <row r="1696">
          <cell r="A1696" t="str">
            <v>A1PSBPRINS1700</v>
          </cell>
          <cell r="B1696" t="str">
            <v>In Progress</v>
          </cell>
          <cell r="C1696">
            <v>1</v>
          </cell>
          <cell r="D1696">
            <v>0</v>
          </cell>
        </row>
        <row r="1697">
          <cell r="A1697" t="str">
            <v>A1PSBPRINS1710</v>
          </cell>
          <cell r="B1697" t="str">
            <v>In Progress</v>
          </cell>
          <cell r="C1697">
            <v>1</v>
          </cell>
          <cell r="D1697">
            <v>0</v>
          </cell>
        </row>
        <row r="1698">
          <cell r="A1698" t="str">
            <v>A1PSBPRINS1720</v>
          </cell>
          <cell r="B1698" t="str">
            <v>Not Started</v>
          </cell>
          <cell r="C1698">
            <v>0.2571</v>
          </cell>
          <cell r="D1698">
            <v>0</v>
          </cell>
        </row>
        <row r="1699">
          <cell r="A1699" t="str">
            <v>A1PSBPRINS1730</v>
          </cell>
          <cell r="B1699" t="str">
            <v>Not Started</v>
          </cell>
          <cell r="C1699">
            <v>0</v>
          </cell>
          <cell r="D1699">
            <v>0</v>
          </cell>
        </row>
        <row r="1700">
          <cell r="A1700" t="str">
            <v>A1PSBPRINS1740</v>
          </cell>
          <cell r="B1700" t="str">
            <v>Not Started</v>
          </cell>
          <cell r="C1700">
            <v>0</v>
          </cell>
          <cell r="D1700">
            <v>0</v>
          </cell>
        </row>
        <row r="1701">
          <cell r="A1701" t="str">
            <v>A1PSBPRINS1750</v>
          </cell>
          <cell r="B1701" t="str">
            <v>Not Started</v>
          </cell>
          <cell r="C1701">
            <v>0</v>
          </cell>
          <cell r="D1701">
            <v>0</v>
          </cell>
        </row>
        <row r="1702">
          <cell r="A1702" t="str">
            <v>A1PSBPRINS1760</v>
          </cell>
          <cell r="B1702" t="str">
            <v>Not Started</v>
          </cell>
          <cell r="C1702">
            <v>0</v>
          </cell>
          <cell r="D1702">
            <v>0</v>
          </cell>
        </row>
        <row r="1703">
          <cell r="A1703" t="str">
            <v>A1PSBPRINS1770</v>
          </cell>
          <cell r="B1703" t="str">
            <v>In Progress</v>
          </cell>
          <cell r="C1703">
            <v>1</v>
          </cell>
          <cell r="D1703">
            <v>0</v>
          </cell>
        </row>
        <row r="1704">
          <cell r="A1704" t="str">
            <v>A1PSBPRINS1780</v>
          </cell>
          <cell r="B1704" t="str">
            <v>In Progress</v>
          </cell>
          <cell r="C1704">
            <v>1</v>
          </cell>
          <cell r="D1704">
            <v>0</v>
          </cell>
        </row>
        <row r="1705">
          <cell r="A1705" t="str">
            <v>A1PSBPRINS1790</v>
          </cell>
          <cell r="B1705" t="str">
            <v>Not Started</v>
          </cell>
          <cell r="C1705">
            <v>0</v>
          </cell>
          <cell r="D1705">
            <v>0</v>
          </cell>
        </row>
        <row r="1706">
          <cell r="A1706" t="str">
            <v>A1PSBPRINS1800</v>
          </cell>
          <cell r="B1706" t="str">
            <v>Not Started</v>
          </cell>
          <cell r="C1706">
            <v>0</v>
          </cell>
          <cell r="D1706">
            <v>0</v>
          </cell>
        </row>
        <row r="1707">
          <cell r="A1707" t="str">
            <v>A1PSBPRINS1810</v>
          </cell>
          <cell r="B1707" t="str">
            <v>Not Started</v>
          </cell>
          <cell r="C1707">
            <v>0</v>
          </cell>
          <cell r="D1707">
            <v>0</v>
          </cell>
        </row>
        <row r="1708">
          <cell r="A1708" t="str">
            <v>A1PSBPRINS1820</v>
          </cell>
          <cell r="B1708" t="str">
            <v>Not Started</v>
          </cell>
          <cell r="C1708">
            <v>0</v>
          </cell>
          <cell r="D1708">
            <v>0</v>
          </cell>
        </row>
        <row r="1709">
          <cell r="A1709" t="str">
            <v>A1PSBPRINS1830</v>
          </cell>
          <cell r="B1709" t="str">
            <v>Not Started</v>
          </cell>
          <cell r="C1709">
            <v>0</v>
          </cell>
          <cell r="D1709">
            <v>0</v>
          </cell>
        </row>
        <row r="1710">
          <cell r="A1710" t="str">
            <v>A1PSBPRINS1840</v>
          </cell>
          <cell r="B1710" t="str">
            <v>In Progress</v>
          </cell>
          <cell r="C1710">
            <v>1</v>
          </cell>
          <cell r="D1710">
            <v>0</v>
          </cell>
        </row>
        <row r="1711">
          <cell r="A1711" t="str">
            <v>A1PSBPRINS1850</v>
          </cell>
          <cell r="B1711" t="str">
            <v>In Progress</v>
          </cell>
          <cell r="C1711">
            <v>1</v>
          </cell>
          <cell r="D1711">
            <v>0</v>
          </cell>
        </row>
        <row r="1712">
          <cell r="A1712" t="str">
            <v>A1PSBPRINS1860</v>
          </cell>
          <cell r="B1712" t="str">
            <v>Not Started</v>
          </cell>
          <cell r="C1712">
            <v>0</v>
          </cell>
          <cell r="D1712">
            <v>0</v>
          </cell>
        </row>
        <row r="1713">
          <cell r="A1713" t="str">
            <v>A1PSBPRINS1870</v>
          </cell>
          <cell r="B1713" t="str">
            <v>Not Started</v>
          </cell>
          <cell r="C1713">
            <v>0</v>
          </cell>
          <cell r="D1713">
            <v>0</v>
          </cell>
        </row>
        <row r="1714">
          <cell r="A1714" t="str">
            <v>A1PSBPRINS1880</v>
          </cell>
          <cell r="B1714" t="str">
            <v>Not Started</v>
          </cell>
          <cell r="C1714">
            <v>0</v>
          </cell>
          <cell r="D1714">
            <v>0</v>
          </cell>
        </row>
        <row r="1715">
          <cell r="A1715" t="str">
            <v>A1PSBPRINS1890</v>
          </cell>
          <cell r="B1715" t="str">
            <v>Not Started</v>
          </cell>
          <cell r="C1715">
            <v>0</v>
          </cell>
          <cell r="D1715">
            <v>0</v>
          </cell>
        </row>
        <row r="1716">
          <cell r="A1716" t="str">
            <v>A1PSBPRINS1900</v>
          </cell>
          <cell r="B1716" t="str">
            <v>Not Started</v>
          </cell>
          <cell r="C1716">
            <v>0</v>
          </cell>
          <cell r="D1716">
            <v>0</v>
          </cell>
        </row>
        <row r="1717">
          <cell r="A1717" t="str">
            <v>A1PSBPRINS1910</v>
          </cell>
          <cell r="B1717" t="str">
            <v>In Progress</v>
          </cell>
          <cell r="C1717">
            <v>1</v>
          </cell>
          <cell r="D1717">
            <v>0</v>
          </cell>
        </row>
        <row r="1718">
          <cell r="A1718" t="str">
            <v>A1PSBPRINS1920</v>
          </cell>
          <cell r="B1718" t="str">
            <v>In Progress</v>
          </cell>
          <cell r="C1718">
            <v>0.8125</v>
          </cell>
          <cell r="D1718">
            <v>0</v>
          </cell>
        </row>
        <row r="1719">
          <cell r="A1719" t="str">
            <v>A1PSBPRINS1930</v>
          </cell>
          <cell r="B1719" t="str">
            <v>Not Started</v>
          </cell>
          <cell r="C1719">
            <v>0</v>
          </cell>
          <cell r="D1719">
            <v>0</v>
          </cell>
        </row>
        <row r="1720">
          <cell r="A1720" t="str">
            <v>A1PSBPRINS1940</v>
          </cell>
          <cell r="B1720" t="str">
            <v>Not Started</v>
          </cell>
          <cell r="C1720">
            <v>0</v>
          </cell>
          <cell r="D1720">
            <v>0</v>
          </cell>
        </row>
        <row r="1721">
          <cell r="A1721" t="str">
            <v>A1PSBPRINS1950</v>
          </cell>
          <cell r="B1721" t="str">
            <v>Not Started</v>
          </cell>
          <cell r="C1721">
            <v>0</v>
          </cell>
          <cell r="D1721">
            <v>0</v>
          </cell>
        </row>
        <row r="1722">
          <cell r="A1722" t="str">
            <v>A1PSBPRINS1960</v>
          </cell>
          <cell r="B1722" t="str">
            <v>Not Started</v>
          </cell>
          <cell r="C1722">
            <v>0</v>
          </cell>
          <cell r="D1722">
            <v>0</v>
          </cell>
        </row>
        <row r="1723">
          <cell r="A1723" t="str">
            <v>A1PSBPRINS1970</v>
          </cell>
          <cell r="B1723" t="str">
            <v>Not Started</v>
          </cell>
          <cell r="C1723">
            <v>0</v>
          </cell>
          <cell r="D1723">
            <v>0</v>
          </cell>
        </row>
        <row r="1724">
          <cell r="A1724" t="str">
            <v>A1PSBPRINS1980</v>
          </cell>
          <cell r="B1724" t="str">
            <v>In Progress</v>
          </cell>
          <cell r="C1724">
            <v>1</v>
          </cell>
          <cell r="D1724">
            <v>0</v>
          </cell>
        </row>
        <row r="1725">
          <cell r="A1725" t="str">
            <v>A1PSBPRINS1990</v>
          </cell>
          <cell r="B1725" t="str">
            <v>In Progress</v>
          </cell>
          <cell r="C1725">
            <v>1</v>
          </cell>
          <cell r="D1725">
            <v>0</v>
          </cell>
        </row>
        <row r="1726">
          <cell r="A1726" t="str">
            <v>A1PSBPRINS2000</v>
          </cell>
          <cell r="B1726" t="str">
            <v>Not Started</v>
          </cell>
          <cell r="C1726">
            <v>0</v>
          </cell>
          <cell r="D1726">
            <v>0</v>
          </cell>
        </row>
        <row r="1727">
          <cell r="A1727" t="str">
            <v>A1PSBPRINS2010</v>
          </cell>
          <cell r="B1727" t="str">
            <v>Not Started</v>
          </cell>
          <cell r="C1727">
            <v>0</v>
          </cell>
          <cell r="D1727">
            <v>0</v>
          </cell>
        </row>
        <row r="1728">
          <cell r="A1728" t="str">
            <v>A1PSBPRINS2020</v>
          </cell>
          <cell r="B1728" t="str">
            <v>Not Started</v>
          </cell>
          <cell r="C1728">
            <v>0</v>
          </cell>
          <cell r="D1728">
            <v>0</v>
          </cell>
        </row>
        <row r="1729">
          <cell r="A1729" t="str">
            <v>A1PSBPRINS2030</v>
          </cell>
          <cell r="B1729" t="str">
            <v>Not Started</v>
          </cell>
          <cell r="C1729">
            <v>0</v>
          </cell>
          <cell r="D1729">
            <v>0</v>
          </cell>
        </row>
        <row r="1730">
          <cell r="A1730" t="str">
            <v>A1PSBPRINS2040</v>
          </cell>
          <cell r="B1730" t="str">
            <v>Not Started</v>
          </cell>
          <cell r="C1730">
            <v>0</v>
          </cell>
          <cell r="D1730">
            <v>0</v>
          </cell>
        </row>
        <row r="1731">
          <cell r="A1731" t="str">
            <v>A1PSBPRINS2050</v>
          </cell>
          <cell r="B1731" t="str">
            <v>In Progress</v>
          </cell>
          <cell r="C1731">
            <v>1</v>
          </cell>
          <cell r="D1731">
            <v>0</v>
          </cell>
        </row>
        <row r="1732">
          <cell r="A1732" t="str">
            <v>A1PSBPRINS2060</v>
          </cell>
          <cell r="B1732" t="str">
            <v>In Progress</v>
          </cell>
          <cell r="C1732">
            <v>1</v>
          </cell>
          <cell r="D1732">
            <v>0</v>
          </cell>
        </row>
        <row r="1733">
          <cell r="A1733" t="str">
            <v>A1PSBPRINS2070</v>
          </cell>
          <cell r="B1733" t="str">
            <v>Not Started</v>
          </cell>
          <cell r="C1733">
            <v>0</v>
          </cell>
          <cell r="D1733">
            <v>0</v>
          </cell>
        </row>
        <row r="1734">
          <cell r="A1734" t="str">
            <v>A1PSBPRINS2080</v>
          </cell>
          <cell r="B1734" t="str">
            <v>Not Started</v>
          </cell>
          <cell r="C1734">
            <v>0</v>
          </cell>
          <cell r="D1734">
            <v>0</v>
          </cell>
        </row>
        <row r="1735">
          <cell r="A1735" t="str">
            <v>A1PSBPRINS2090</v>
          </cell>
          <cell r="B1735" t="str">
            <v>Not Started</v>
          </cell>
          <cell r="C1735">
            <v>0</v>
          </cell>
          <cell r="D1735">
            <v>0</v>
          </cell>
        </row>
        <row r="1736">
          <cell r="A1736" t="str">
            <v>A1PSBPRINS2100</v>
          </cell>
          <cell r="B1736" t="str">
            <v>Not Started</v>
          </cell>
          <cell r="C1736">
            <v>0</v>
          </cell>
          <cell r="D1736">
            <v>0</v>
          </cell>
        </row>
        <row r="1737">
          <cell r="A1737" t="str">
            <v>A1PSBPRINS2110</v>
          </cell>
          <cell r="B1737" t="str">
            <v>Not Started</v>
          </cell>
          <cell r="C1737">
            <v>0</v>
          </cell>
          <cell r="D1737">
            <v>0</v>
          </cell>
        </row>
        <row r="1738">
          <cell r="A1738" t="str">
            <v>A1PSBPRLAN1800</v>
          </cell>
          <cell r="B1738" t="str">
            <v>In Progress</v>
          </cell>
          <cell r="C1738">
            <v>1</v>
          </cell>
          <cell r="D1738">
            <v>0</v>
          </cell>
        </row>
        <row r="1739">
          <cell r="A1739" t="str">
            <v>A1PSBPRLAN1810</v>
          </cell>
          <cell r="B1739" t="str">
            <v>In Progress</v>
          </cell>
          <cell r="C1739">
            <v>1</v>
          </cell>
          <cell r="D1739">
            <v>0</v>
          </cell>
        </row>
        <row r="1740">
          <cell r="A1740" t="str">
            <v>A1PSBPRLAN1820</v>
          </cell>
          <cell r="B1740" t="str">
            <v>Not Started</v>
          </cell>
          <cell r="C1740">
            <v>0</v>
          </cell>
          <cell r="D1740">
            <v>0</v>
          </cell>
        </row>
        <row r="1741">
          <cell r="A1741" t="str">
            <v>A1PSBPRLAN1830</v>
          </cell>
          <cell r="B1741" t="str">
            <v>Not Started</v>
          </cell>
          <cell r="C1741">
            <v>0</v>
          </cell>
          <cell r="D1741">
            <v>0</v>
          </cell>
        </row>
        <row r="1742">
          <cell r="A1742" t="str">
            <v>A1PSBPRLAN1840</v>
          </cell>
          <cell r="B1742" t="str">
            <v>Not Started</v>
          </cell>
          <cell r="C1742">
            <v>0</v>
          </cell>
          <cell r="D1742">
            <v>0</v>
          </cell>
        </row>
        <row r="1743">
          <cell r="A1743" t="str">
            <v>A1PSBPRLAN1850</v>
          </cell>
          <cell r="B1743" t="str">
            <v>In Progress</v>
          </cell>
          <cell r="C1743">
            <v>1</v>
          </cell>
          <cell r="D1743">
            <v>0</v>
          </cell>
        </row>
        <row r="1744">
          <cell r="A1744" t="str">
            <v>A1PSBPRLAN1860</v>
          </cell>
          <cell r="B1744" t="str">
            <v>In Progress</v>
          </cell>
          <cell r="C1744">
            <v>1</v>
          </cell>
          <cell r="D1744">
            <v>0</v>
          </cell>
        </row>
        <row r="1745">
          <cell r="A1745" t="str">
            <v>A1PSBPRLAN1870</v>
          </cell>
          <cell r="B1745" t="str">
            <v>Not Started</v>
          </cell>
          <cell r="C1745">
            <v>0</v>
          </cell>
          <cell r="D1745">
            <v>0</v>
          </cell>
        </row>
        <row r="1746">
          <cell r="A1746" t="str">
            <v>A1PSBPRLAN1880</v>
          </cell>
          <cell r="B1746" t="str">
            <v>Not Started</v>
          </cell>
          <cell r="C1746">
            <v>0</v>
          </cell>
          <cell r="D1746">
            <v>0</v>
          </cell>
        </row>
        <row r="1747">
          <cell r="A1747" t="str">
            <v>A1PSBPRLAN1890</v>
          </cell>
          <cell r="B1747" t="str">
            <v>Not Started</v>
          </cell>
          <cell r="C1747">
            <v>0</v>
          </cell>
          <cell r="D1747">
            <v>0</v>
          </cell>
        </row>
        <row r="1748">
          <cell r="A1748" t="str">
            <v>A1PSBPRLAN1900</v>
          </cell>
          <cell r="B1748" t="str">
            <v>In Progress</v>
          </cell>
          <cell r="C1748">
            <v>1</v>
          </cell>
          <cell r="D1748">
            <v>0</v>
          </cell>
        </row>
        <row r="1749">
          <cell r="A1749" t="str">
            <v>A1PSBPRLAN1910</v>
          </cell>
          <cell r="B1749" t="str">
            <v>In Progress</v>
          </cell>
          <cell r="C1749">
            <v>1</v>
          </cell>
          <cell r="D1749">
            <v>0</v>
          </cell>
        </row>
        <row r="1750">
          <cell r="A1750" t="str">
            <v>A1PSBPRLAN1920</v>
          </cell>
          <cell r="B1750" t="str">
            <v>Not Started</v>
          </cell>
          <cell r="C1750">
            <v>0</v>
          </cell>
          <cell r="D1750">
            <v>0</v>
          </cell>
        </row>
        <row r="1751">
          <cell r="A1751" t="str">
            <v>A1PSBPRLAN1930</v>
          </cell>
          <cell r="B1751" t="str">
            <v>Not Started</v>
          </cell>
          <cell r="C1751">
            <v>0</v>
          </cell>
          <cell r="D1751">
            <v>0</v>
          </cell>
        </row>
        <row r="1752">
          <cell r="A1752" t="str">
            <v>A1PSBPRLAN1940</v>
          </cell>
          <cell r="B1752" t="str">
            <v>Not Started</v>
          </cell>
          <cell r="C1752">
            <v>0</v>
          </cell>
          <cell r="D1752">
            <v>0</v>
          </cell>
        </row>
        <row r="1753">
          <cell r="A1753" t="str">
            <v>A1PSBPRLAN1950</v>
          </cell>
          <cell r="B1753" t="str">
            <v>In Progress</v>
          </cell>
          <cell r="C1753">
            <v>1</v>
          </cell>
          <cell r="D1753">
            <v>0</v>
          </cell>
        </row>
        <row r="1754">
          <cell r="A1754" t="str">
            <v>A1PSBPRLAN1960</v>
          </cell>
          <cell r="B1754" t="str">
            <v>In Progress</v>
          </cell>
          <cell r="C1754">
            <v>0.89580000000000004</v>
          </cell>
          <cell r="D1754">
            <v>0</v>
          </cell>
        </row>
        <row r="1755">
          <cell r="A1755" t="str">
            <v>A1PSBPRLAN1970</v>
          </cell>
          <cell r="B1755" t="str">
            <v>Not Started</v>
          </cell>
          <cell r="C1755">
            <v>0</v>
          </cell>
          <cell r="D1755">
            <v>0</v>
          </cell>
        </row>
        <row r="1756">
          <cell r="A1756" t="str">
            <v>A1PSBPRLAN1980</v>
          </cell>
          <cell r="B1756" t="str">
            <v>Not Started</v>
          </cell>
          <cell r="C1756">
            <v>0</v>
          </cell>
          <cell r="D1756">
            <v>0</v>
          </cell>
        </row>
        <row r="1757">
          <cell r="A1757" t="str">
            <v>A1PSBPRLAN1990</v>
          </cell>
          <cell r="B1757" t="str">
            <v>Not Started</v>
          </cell>
          <cell r="C1757">
            <v>0</v>
          </cell>
          <cell r="D1757">
            <v>0</v>
          </cell>
        </row>
        <row r="1758">
          <cell r="A1758" t="str">
            <v>A1PSBPRLAN2000</v>
          </cell>
          <cell r="B1758" t="str">
            <v>In Progress</v>
          </cell>
          <cell r="C1758">
            <v>1</v>
          </cell>
          <cell r="D1758">
            <v>0</v>
          </cell>
        </row>
        <row r="1759">
          <cell r="A1759" t="str">
            <v>A1PSBPRLAN2010</v>
          </cell>
          <cell r="B1759" t="str">
            <v>In Progress</v>
          </cell>
          <cell r="C1759">
            <v>1</v>
          </cell>
          <cell r="D1759">
            <v>0</v>
          </cell>
        </row>
        <row r="1760">
          <cell r="A1760" t="str">
            <v>A1PSBPRLAN2020</v>
          </cell>
          <cell r="B1760" t="str">
            <v>Not Started</v>
          </cell>
          <cell r="C1760">
            <v>0</v>
          </cell>
          <cell r="D1760">
            <v>0</v>
          </cell>
        </row>
        <row r="1761">
          <cell r="A1761" t="str">
            <v>A1PSBPRLAN2030</v>
          </cell>
          <cell r="B1761" t="str">
            <v>Not Started</v>
          </cell>
          <cell r="C1761">
            <v>0</v>
          </cell>
          <cell r="D1761">
            <v>0</v>
          </cell>
        </row>
        <row r="1762">
          <cell r="A1762" t="str">
            <v>A1PSBPRLAN2040</v>
          </cell>
          <cell r="B1762" t="str">
            <v>Not Started</v>
          </cell>
          <cell r="C1762">
            <v>0</v>
          </cell>
          <cell r="D1762">
            <v>0</v>
          </cell>
        </row>
        <row r="1763">
          <cell r="A1763" t="str">
            <v>A1PSBPRLAN2050</v>
          </cell>
          <cell r="B1763" t="str">
            <v>In Progress</v>
          </cell>
          <cell r="C1763">
            <v>1</v>
          </cell>
          <cell r="D1763">
            <v>0</v>
          </cell>
        </row>
        <row r="1764">
          <cell r="A1764" t="str">
            <v>A1PSBPRLAN2060</v>
          </cell>
          <cell r="B1764" t="str">
            <v>In Progress</v>
          </cell>
          <cell r="C1764">
            <v>1</v>
          </cell>
          <cell r="D1764">
            <v>0</v>
          </cell>
        </row>
        <row r="1765">
          <cell r="A1765" t="str">
            <v>A1PSBPRLAN2070</v>
          </cell>
          <cell r="B1765" t="str">
            <v>Not Started</v>
          </cell>
          <cell r="C1765">
            <v>0</v>
          </cell>
          <cell r="D1765">
            <v>0</v>
          </cell>
        </row>
        <row r="1766">
          <cell r="A1766" t="str">
            <v>A1PSBPRLAN2080</v>
          </cell>
          <cell r="B1766" t="str">
            <v>Not Started</v>
          </cell>
          <cell r="C1766">
            <v>0</v>
          </cell>
          <cell r="D1766">
            <v>0</v>
          </cell>
        </row>
        <row r="1767">
          <cell r="A1767" t="str">
            <v>A1PSBPRLAN2090</v>
          </cell>
          <cell r="B1767" t="str">
            <v>Not Started</v>
          </cell>
          <cell r="C1767">
            <v>0</v>
          </cell>
          <cell r="D1767">
            <v>0</v>
          </cell>
        </row>
        <row r="1768">
          <cell r="A1768" t="str">
            <v>A1PSBPRLAN2100</v>
          </cell>
          <cell r="B1768" t="str">
            <v>In Progress</v>
          </cell>
          <cell r="C1768">
            <v>1</v>
          </cell>
          <cell r="D1768">
            <v>0</v>
          </cell>
        </row>
        <row r="1769">
          <cell r="A1769" t="str">
            <v>A1PSBPRLAN2110</v>
          </cell>
          <cell r="B1769" t="str">
            <v>In Progress</v>
          </cell>
          <cell r="C1769">
            <v>1</v>
          </cell>
          <cell r="D1769">
            <v>0</v>
          </cell>
        </row>
        <row r="1770">
          <cell r="A1770" t="str">
            <v>A1PSBPRLAN2120</v>
          </cell>
          <cell r="B1770" t="str">
            <v>Not Started</v>
          </cell>
          <cell r="C1770">
            <v>0</v>
          </cell>
          <cell r="D1770">
            <v>0</v>
          </cell>
        </row>
        <row r="1771">
          <cell r="A1771" t="str">
            <v>A1PSBPRLAN2130</v>
          </cell>
          <cell r="B1771" t="str">
            <v>Not Started</v>
          </cell>
          <cell r="C1771">
            <v>0</v>
          </cell>
          <cell r="D1771">
            <v>0</v>
          </cell>
        </row>
        <row r="1772">
          <cell r="A1772" t="str">
            <v>A1PSBPRLAN2140</v>
          </cell>
          <cell r="B1772" t="str">
            <v>Not Started</v>
          </cell>
          <cell r="C1772">
            <v>0</v>
          </cell>
          <cell r="D1772">
            <v>0</v>
          </cell>
        </row>
        <row r="1773">
          <cell r="A1773" t="str">
            <v>A1PSBPRLAN2150</v>
          </cell>
          <cell r="B1773" t="str">
            <v>In Progress</v>
          </cell>
          <cell r="C1773">
            <v>1</v>
          </cell>
          <cell r="D1773">
            <v>0</v>
          </cell>
        </row>
        <row r="1774">
          <cell r="A1774" t="str">
            <v>A1PSBPRLAN2160</v>
          </cell>
          <cell r="B1774" t="str">
            <v>In Progress</v>
          </cell>
          <cell r="C1774">
            <v>1</v>
          </cell>
          <cell r="D1774">
            <v>0</v>
          </cell>
        </row>
        <row r="1775">
          <cell r="A1775" t="str">
            <v>A1PSBPRLAN2170</v>
          </cell>
          <cell r="B1775" t="str">
            <v>Not Started</v>
          </cell>
          <cell r="C1775">
            <v>0</v>
          </cell>
          <cell r="D1775">
            <v>0</v>
          </cell>
        </row>
        <row r="1776">
          <cell r="A1776" t="str">
            <v>A1PSBPRLAN2180</v>
          </cell>
          <cell r="B1776" t="str">
            <v>Not Started</v>
          </cell>
          <cell r="C1776">
            <v>0</v>
          </cell>
          <cell r="D1776">
            <v>0</v>
          </cell>
        </row>
        <row r="1777">
          <cell r="A1777" t="str">
            <v>A1PSBPRLAN2190</v>
          </cell>
          <cell r="B1777" t="str">
            <v>Not Started</v>
          </cell>
          <cell r="C1777">
            <v>0</v>
          </cell>
          <cell r="D1777">
            <v>0</v>
          </cell>
        </row>
        <row r="1778">
          <cell r="A1778" t="str">
            <v>A1PSBPRMEC4000</v>
          </cell>
          <cell r="B1778" t="str">
            <v>In Progress</v>
          </cell>
          <cell r="C1778">
            <v>1</v>
          </cell>
          <cell r="D1778">
            <v>0</v>
          </cell>
        </row>
        <row r="1779">
          <cell r="A1779" t="str">
            <v>A1PSBPRMEC4020</v>
          </cell>
          <cell r="B1779" t="str">
            <v>Completed</v>
          </cell>
          <cell r="C1779">
            <v>1</v>
          </cell>
          <cell r="D1779">
            <v>1</v>
          </cell>
        </row>
        <row r="1780">
          <cell r="A1780" t="str">
            <v>A1PSBPRMEC4040</v>
          </cell>
          <cell r="B1780" t="str">
            <v>In Progress</v>
          </cell>
          <cell r="C1780">
            <v>1</v>
          </cell>
          <cell r="D1780">
            <v>0</v>
          </cell>
        </row>
        <row r="1781">
          <cell r="A1781" t="str">
            <v>A1PSBPRMEC4060</v>
          </cell>
          <cell r="B1781" t="str">
            <v>In Progress</v>
          </cell>
          <cell r="C1781">
            <v>1</v>
          </cell>
          <cell r="D1781">
            <v>0</v>
          </cell>
        </row>
        <row r="1782">
          <cell r="A1782" t="str">
            <v>A1PSBPRMEC4080</v>
          </cell>
          <cell r="B1782" t="str">
            <v>In Progress</v>
          </cell>
          <cell r="C1782">
            <v>1</v>
          </cell>
          <cell r="D1782">
            <v>0</v>
          </cell>
        </row>
        <row r="1783">
          <cell r="A1783" t="str">
            <v>A1PSBPRMEC4100</v>
          </cell>
          <cell r="B1783" t="str">
            <v>In Progress</v>
          </cell>
          <cell r="C1783">
            <v>1</v>
          </cell>
          <cell r="D1783">
            <v>0</v>
          </cell>
        </row>
        <row r="1784">
          <cell r="A1784" t="str">
            <v>A1PSBPRMEC4120</v>
          </cell>
          <cell r="B1784" t="str">
            <v>In Progress</v>
          </cell>
          <cell r="C1784">
            <v>1</v>
          </cell>
          <cell r="D1784">
            <v>0</v>
          </cell>
        </row>
        <row r="1785">
          <cell r="A1785" t="str">
            <v>A1PSBPRMEC4140</v>
          </cell>
          <cell r="B1785" t="str">
            <v>In Progress</v>
          </cell>
          <cell r="C1785">
            <v>1</v>
          </cell>
          <cell r="D1785">
            <v>0</v>
          </cell>
        </row>
        <row r="1786">
          <cell r="A1786" t="str">
            <v>A1PSBPRMEC4160</v>
          </cell>
          <cell r="B1786" t="str">
            <v>In Progress</v>
          </cell>
          <cell r="C1786">
            <v>1</v>
          </cell>
          <cell r="D1786">
            <v>0</v>
          </cell>
        </row>
        <row r="1787">
          <cell r="A1787" t="str">
            <v>A1PSBPRMEC4180</v>
          </cell>
          <cell r="B1787" t="str">
            <v>In Progress</v>
          </cell>
          <cell r="C1787">
            <v>1</v>
          </cell>
          <cell r="D1787">
            <v>0</v>
          </cell>
        </row>
        <row r="1788">
          <cell r="A1788" t="str">
            <v>A1PSBPRMEC4200</v>
          </cell>
          <cell r="B1788" t="str">
            <v>In Progress</v>
          </cell>
          <cell r="C1788">
            <v>1</v>
          </cell>
          <cell r="D1788">
            <v>0</v>
          </cell>
        </row>
        <row r="1789">
          <cell r="A1789" t="str">
            <v>A1PSBPRMEC4220</v>
          </cell>
          <cell r="B1789" t="str">
            <v>In Progress</v>
          </cell>
          <cell r="C1789">
            <v>1</v>
          </cell>
          <cell r="D1789">
            <v>0</v>
          </cell>
        </row>
        <row r="1790">
          <cell r="A1790" t="str">
            <v>A1PSBPRMEC4240</v>
          </cell>
          <cell r="B1790" t="str">
            <v>In Progress</v>
          </cell>
          <cell r="C1790">
            <v>1</v>
          </cell>
          <cell r="D1790">
            <v>0</v>
          </cell>
        </row>
        <row r="1791">
          <cell r="A1791" t="str">
            <v>A1PSBPRMEC4260</v>
          </cell>
          <cell r="B1791" t="str">
            <v>In Progress</v>
          </cell>
          <cell r="C1791">
            <v>1</v>
          </cell>
          <cell r="D1791">
            <v>0</v>
          </cell>
        </row>
        <row r="1792">
          <cell r="A1792" t="str">
            <v>A1PSBPRMEC4280</v>
          </cell>
          <cell r="B1792" t="str">
            <v>In Progress</v>
          </cell>
          <cell r="C1792">
            <v>1</v>
          </cell>
          <cell r="D1792">
            <v>0</v>
          </cell>
        </row>
        <row r="1793">
          <cell r="A1793" t="str">
            <v>A1PSBPRMEC4300</v>
          </cell>
          <cell r="B1793" t="str">
            <v>In Progress</v>
          </cell>
          <cell r="C1793">
            <v>1</v>
          </cell>
          <cell r="D1793">
            <v>0</v>
          </cell>
        </row>
        <row r="1794">
          <cell r="A1794" t="str">
            <v>A1PSBPRMEC4320</v>
          </cell>
          <cell r="B1794" t="str">
            <v>In Progress</v>
          </cell>
          <cell r="C1794">
            <v>1</v>
          </cell>
          <cell r="D1794">
            <v>0</v>
          </cell>
        </row>
        <row r="1795">
          <cell r="A1795" t="str">
            <v>A1PSBPRMEC4340</v>
          </cell>
          <cell r="B1795" t="str">
            <v>In Progress</v>
          </cell>
          <cell r="C1795">
            <v>1</v>
          </cell>
          <cell r="D1795">
            <v>0</v>
          </cell>
        </row>
        <row r="1796">
          <cell r="A1796" t="str">
            <v>A1PSBPRMEC4360</v>
          </cell>
          <cell r="B1796" t="str">
            <v>In Progress</v>
          </cell>
          <cell r="C1796">
            <v>1</v>
          </cell>
          <cell r="D1796">
            <v>0</v>
          </cell>
        </row>
        <row r="1797">
          <cell r="A1797" t="str">
            <v>A1PSBPRMEC4380</v>
          </cell>
          <cell r="B1797" t="str">
            <v>Completed</v>
          </cell>
          <cell r="C1797">
            <v>1</v>
          </cell>
          <cell r="D1797">
            <v>1</v>
          </cell>
        </row>
        <row r="1798">
          <cell r="A1798" t="str">
            <v>A1PSBPRMEC4400</v>
          </cell>
          <cell r="B1798" t="str">
            <v>Completed</v>
          </cell>
          <cell r="C1798">
            <v>1</v>
          </cell>
          <cell r="D1798">
            <v>1</v>
          </cell>
        </row>
        <row r="1799">
          <cell r="A1799" t="str">
            <v>A1PSBPRMEC4420</v>
          </cell>
          <cell r="B1799" t="str">
            <v>Completed</v>
          </cell>
          <cell r="C1799">
            <v>1</v>
          </cell>
          <cell r="D1799">
            <v>1</v>
          </cell>
        </row>
        <row r="1800">
          <cell r="A1800" t="str">
            <v>A1PSBPRMEC4440</v>
          </cell>
          <cell r="B1800" t="str">
            <v>Completed</v>
          </cell>
          <cell r="C1800">
            <v>1</v>
          </cell>
          <cell r="D1800">
            <v>1</v>
          </cell>
        </row>
        <row r="1801">
          <cell r="A1801" t="str">
            <v>A1PSBPRMEC4460</v>
          </cell>
          <cell r="B1801" t="str">
            <v>In Progress</v>
          </cell>
          <cell r="C1801">
            <v>1</v>
          </cell>
          <cell r="D1801">
            <v>0</v>
          </cell>
        </row>
        <row r="1802">
          <cell r="A1802" t="str">
            <v>A1PSBPRMEC4480</v>
          </cell>
          <cell r="B1802" t="str">
            <v>Completed</v>
          </cell>
          <cell r="C1802">
            <v>1</v>
          </cell>
          <cell r="D1802">
            <v>1</v>
          </cell>
        </row>
        <row r="1803">
          <cell r="A1803" t="str">
            <v>A1PSBPRMEC4500</v>
          </cell>
          <cell r="B1803" t="str">
            <v>In Progress</v>
          </cell>
          <cell r="C1803">
            <v>1</v>
          </cell>
          <cell r="D1803">
            <v>0</v>
          </cell>
        </row>
        <row r="1804">
          <cell r="A1804" t="str">
            <v>A1PSBPRMEC4520</v>
          </cell>
          <cell r="B1804" t="str">
            <v>Completed</v>
          </cell>
          <cell r="C1804">
            <v>1</v>
          </cell>
          <cell r="D1804">
            <v>1</v>
          </cell>
        </row>
        <row r="1805">
          <cell r="A1805" t="str">
            <v>A1PSBPRMEC4540</v>
          </cell>
          <cell r="B1805" t="str">
            <v>Completed</v>
          </cell>
          <cell r="C1805">
            <v>1</v>
          </cell>
          <cell r="D1805">
            <v>1</v>
          </cell>
        </row>
        <row r="1806">
          <cell r="A1806" t="str">
            <v>A1PSBPRMEC4560</v>
          </cell>
          <cell r="B1806" t="str">
            <v>In Progress</v>
          </cell>
          <cell r="C1806">
            <v>1</v>
          </cell>
          <cell r="D1806">
            <v>0</v>
          </cell>
        </row>
        <row r="1807">
          <cell r="A1807" t="str">
            <v>A1PSBPRMEC4580</v>
          </cell>
          <cell r="B1807" t="str">
            <v>In Progress</v>
          </cell>
          <cell r="C1807">
            <v>1</v>
          </cell>
          <cell r="D1807">
            <v>0</v>
          </cell>
        </row>
        <row r="1808">
          <cell r="A1808" t="str">
            <v>A1PSBPRMEC4600</v>
          </cell>
          <cell r="B1808" t="str">
            <v>In Progress</v>
          </cell>
          <cell r="C1808">
            <v>1</v>
          </cell>
          <cell r="D1808">
            <v>0</v>
          </cell>
        </row>
        <row r="1809">
          <cell r="A1809" t="str">
            <v>A1PSBPRMEC4620</v>
          </cell>
          <cell r="B1809" t="str">
            <v>In Progress</v>
          </cell>
          <cell r="C1809">
            <v>1</v>
          </cell>
          <cell r="D1809">
            <v>0</v>
          </cell>
        </row>
        <row r="1810">
          <cell r="A1810" t="str">
            <v>A1PSBPRMEC4640</v>
          </cell>
          <cell r="B1810" t="str">
            <v>In Progress</v>
          </cell>
          <cell r="C1810">
            <v>1</v>
          </cell>
          <cell r="D1810">
            <v>0</v>
          </cell>
        </row>
        <row r="1811">
          <cell r="A1811" t="str">
            <v>A1PSBPRMEC4660</v>
          </cell>
          <cell r="B1811" t="str">
            <v>Completed</v>
          </cell>
          <cell r="C1811">
            <v>1</v>
          </cell>
          <cell r="D1811">
            <v>1</v>
          </cell>
        </row>
        <row r="1812">
          <cell r="A1812" t="str">
            <v>A1PSBPRMEC4680</v>
          </cell>
          <cell r="B1812" t="str">
            <v>Completed</v>
          </cell>
          <cell r="C1812">
            <v>1</v>
          </cell>
          <cell r="D1812">
            <v>1</v>
          </cell>
        </row>
        <row r="1813">
          <cell r="A1813" t="str">
            <v>A1PSBPRMEC4700</v>
          </cell>
          <cell r="B1813" t="str">
            <v>In Progress</v>
          </cell>
          <cell r="C1813">
            <v>1</v>
          </cell>
          <cell r="D1813">
            <v>0</v>
          </cell>
        </row>
        <row r="1814">
          <cell r="A1814" t="str">
            <v>A1PSBPRMEC4720</v>
          </cell>
          <cell r="B1814" t="str">
            <v>In Progress</v>
          </cell>
          <cell r="C1814">
            <v>1</v>
          </cell>
          <cell r="D1814">
            <v>0</v>
          </cell>
        </row>
        <row r="1815">
          <cell r="A1815" t="str">
            <v>A1PSBPRMEC4740</v>
          </cell>
          <cell r="B1815" t="str">
            <v>In Progress</v>
          </cell>
          <cell r="C1815">
            <v>1</v>
          </cell>
          <cell r="D1815">
            <v>0</v>
          </cell>
        </row>
        <row r="1816">
          <cell r="A1816" t="str">
            <v>A1PSBPRMEC4760</v>
          </cell>
          <cell r="B1816" t="str">
            <v>In Progress</v>
          </cell>
          <cell r="C1816">
            <v>1</v>
          </cell>
          <cell r="D1816">
            <v>0</v>
          </cell>
        </row>
        <row r="1817">
          <cell r="A1817" t="str">
            <v>A1PSBPRMEC4780</v>
          </cell>
          <cell r="B1817" t="str">
            <v>In Progress</v>
          </cell>
          <cell r="C1817">
            <v>1</v>
          </cell>
          <cell r="D1817">
            <v>0</v>
          </cell>
        </row>
        <row r="1818">
          <cell r="A1818" t="str">
            <v>A1PSBPRMEC4800</v>
          </cell>
          <cell r="B1818" t="str">
            <v>In Progress</v>
          </cell>
          <cell r="C1818">
            <v>1</v>
          </cell>
          <cell r="D1818">
            <v>0</v>
          </cell>
        </row>
        <row r="1819">
          <cell r="A1819" t="str">
            <v>A1PSBPRMEC4820</v>
          </cell>
          <cell r="B1819" t="str">
            <v>In Progress</v>
          </cell>
          <cell r="C1819">
            <v>1</v>
          </cell>
          <cell r="D1819">
            <v>0</v>
          </cell>
        </row>
        <row r="1820">
          <cell r="A1820" t="str">
            <v>A1PSBPRMEC4840</v>
          </cell>
          <cell r="B1820" t="str">
            <v>In Progress</v>
          </cell>
          <cell r="C1820">
            <v>1</v>
          </cell>
          <cell r="D1820">
            <v>0</v>
          </cell>
        </row>
        <row r="1821">
          <cell r="A1821" t="str">
            <v>A1PSBPRMEC4860</v>
          </cell>
          <cell r="B1821" t="str">
            <v>In Progress</v>
          </cell>
          <cell r="C1821">
            <v>1</v>
          </cell>
          <cell r="D1821">
            <v>0</v>
          </cell>
        </row>
        <row r="1822">
          <cell r="A1822" t="str">
            <v>A1PSBPRMEC4880</v>
          </cell>
          <cell r="B1822" t="str">
            <v>In Progress</v>
          </cell>
          <cell r="C1822">
            <v>1</v>
          </cell>
          <cell r="D1822">
            <v>0</v>
          </cell>
        </row>
        <row r="1823">
          <cell r="A1823" t="str">
            <v>A1PSBPRMEC4900</v>
          </cell>
          <cell r="B1823" t="str">
            <v>In Progress</v>
          </cell>
          <cell r="C1823">
            <v>1</v>
          </cell>
          <cell r="D1823">
            <v>0</v>
          </cell>
        </row>
        <row r="1824">
          <cell r="A1824" t="str">
            <v>A1PSBPRMEC4920</v>
          </cell>
          <cell r="B1824" t="str">
            <v>In Progress</v>
          </cell>
          <cell r="C1824">
            <v>1</v>
          </cell>
          <cell r="D1824">
            <v>0</v>
          </cell>
        </row>
        <row r="1825">
          <cell r="A1825" t="str">
            <v>A1PSBPRMEC4940</v>
          </cell>
          <cell r="B1825" t="str">
            <v>In Progress</v>
          </cell>
          <cell r="C1825">
            <v>1</v>
          </cell>
          <cell r="D1825">
            <v>0</v>
          </cell>
        </row>
        <row r="1826">
          <cell r="A1826" t="str">
            <v>A1PSBPRMEC4960</v>
          </cell>
          <cell r="B1826" t="str">
            <v>In Progress</v>
          </cell>
          <cell r="C1826">
            <v>1</v>
          </cell>
          <cell r="D1826">
            <v>0</v>
          </cell>
        </row>
        <row r="1827">
          <cell r="A1827" t="str">
            <v>A1PSBPRMEC4980</v>
          </cell>
          <cell r="B1827" t="str">
            <v>In Progress</v>
          </cell>
          <cell r="C1827">
            <v>1</v>
          </cell>
          <cell r="D1827">
            <v>0</v>
          </cell>
        </row>
        <row r="1828">
          <cell r="A1828" t="str">
            <v>A1PSBPRMEC5000</v>
          </cell>
          <cell r="B1828" t="str">
            <v>In Progress</v>
          </cell>
          <cell r="C1828">
            <v>1</v>
          </cell>
          <cell r="D1828">
            <v>0</v>
          </cell>
        </row>
        <row r="1829">
          <cell r="A1829" t="str">
            <v>A1PSBPRMEC5020</v>
          </cell>
          <cell r="B1829" t="str">
            <v>In Progress</v>
          </cell>
          <cell r="C1829">
            <v>1</v>
          </cell>
          <cell r="D1829">
            <v>0</v>
          </cell>
        </row>
        <row r="1830">
          <cell r="A1830" t="str">
            <v>A1PSBPRMEC5040</v>
          </cell>
          <cell r="B1830" t="str">
            <v>In Progress</v>
          </cell>
          <cell r="C1830">
            <v>1</v>
          </cell>
          <cell r="D1830">
            <v>0</v>
          </cell>
        </row>
        <row r="1831">
          <cell r="A1831" t="str">
            <v>A1PSBPRMEC5060</v>
          </cell>
          <cell r="B1831" t="str">
            <v>In Progress</v>
          </cell>
          <cell r="C1831">
            <v>1</v>
          </cell>
          <cell r="D1831">
            <v>0</v>
          </cell>
        </row>
        <row r="1832">
          <cell r="A1832" t="str">
            <v>A1PSBPRMEC5080</v>
          </cell>
          <cell r="B1832" t="str">
            <v>In Progress</v>
          </cell>
          <cell r="C1832">
            <v>1</v>
          </cell>
          <cell r="D1832">
            <v>0</v>
          </cell>
        </row>
        <row r="1833">
          <cell r="A1833" t="str">
            <v>A1PSBPRMEC5100</v>
          </cell>
          <cell r="B1833" t="str">
            <v>In Progress</v>
          </cell>
          <cell r="C1833">
            <v>1</v>
          </cell>
          <cell r="D1833">
            <v>0</v>
          </cell>
        </row>
        <row r="1834">
          <cell r="A1834" t="str">
            <v>A1PSBPRMEC5120</v>
          </cell>
          <cell r="B1834" t="str">
            <v>In Progress</v>
          </cell>
          <cell r="C1834">
            <v>1</v>
          </cell>
          <cell r="D1834">
            <v>0</v>
          </cell>
        </row>
        <row r="1835">
          <cell r="A1835" t="str">
            <v>A1PSBPRMEC5140</v>
          </cell>
          <cell r="B1835" t="str">
            <v>Completed</v>
          </cell>
          <cell r="C1835">
            <v>1</v>
          </cell>
          <cell r="D1835">
            <v>1</v>
          </cell>
        </row>
        <row r="1836">
          <cell r="A1836" t="str">
            <v>A1PSBPRMEC5160</v>
          </cell>
          <cell r="B1836" t="str">
            <v>In Progress</v>
          </cell>
          <cell r="C1836">
            <v>1</v>
          </cell>
          <cell r="D1836">
            <v>0</v>
          </cell>
        </row>
        <row r="1837">
          <cell r="A1837" t="str">
            <v>A1PSBPRMEC5180</v>
          </cell>
          <cell r="B1837" t="str">
            <v>Completed</v>
          </cell>
          <cell r="C1837">
            <v>1</v>
          </cell>
          <cell r="D1837">
            <v>1</v>
          </cell>
        </row>
        <row r="1838">
          <cell r="A1838" t="str">
            <v>A1PSBPRMEC5200</v>
          </cell>
          <cell r="B1838" t="str">
            <v>Completed</v>
          </cell>
          <cell r="C1838">
            <v>1</v>
          </cell>
          <cell r="D1838">
            <v>1</v>
          </cell>
        </row>
        <row r="1839">
          <cell r="A1839" t="str">
            <v>A1PSBPRMEC5220</v>
          </cell>
          <cell r="B1839" t="str">
            <v>In Progress</v>
          </cell>
          <cell r="C1839">
            <v>1</v>
          </cell>
          <cell r="D1839">
            <v>0</v>
          </cell>
        </row>
        <row r="1840">
          <cell r="A1840" t="str">
            <v>A1PSBPRMEC5240</v>
          </cell>
          <cell r="B1840" t="str">
            <v>In Progress</v>
          </cell>
          <cell r="C1840">
            <v>1</v>
          </cell>
          <cell r="D1840">
            <v>0</v>
          </cell>
        </row>
        <row r="1841">
          <cell r="A1841" t="str">
            <v>A1PSBPRMEC5260</v>
          </cell>
          <cell r="B1841" t="str">
            <v>In Progress</v>
          </cell>
          <cell r="C1841">
            <v>1</v>
          </cell>
          <cell r="D1841">
            <v>0</v>
          </cell>
        </row>
        <row r="1842">
          <cell r="A1842" t="str">
            <v>A1PSBPRMEC5280</v>
          </cell>
          <cell r="B1842" t="str">
            <v>In Progress</v>
          </cell>
          <cell r="C1842">
            <v>1</v>
          </cell>
          <cell r="D1842">
            <v>0</v>
          </cell>
        </row>
        <row r="1843">
          <cell r="A1843" t="str">
            <v>A1PSBPRMEC5300</v>
          </cell>
          <cell r="B1843" t="str">
            <v>In Progress</v>
          </cell>
          <cell r="C1843">
            <v>1</v>
          </cell>
          <cell r="D1843">
            <v>0</v>
          </cell>
        </row>
        <row r="1844">
          <cell r="A1844" t="str">
            <v>A1PSBPRMEC5320</v>
          </cell>
          <cell r="B1844" t="str">
            <v>Not Started</v>
          </cell>
          <cell r="C1844">
            <v>0.52500000000000002</v>
          </cell>
          <cell r="D1844">
            <v>0</v>
          </cell>
        </row>
        <row r="1845">
          <cell r="A1845" t="str">
            <v>A1PSBPRMEC5340</v>
          </cell>
          <cell r="B1845" t="str">
            <v>Completed</v>
          </cell>
          <cell r="C1845">
            <v>0.25</v>
          </cell>
          <cell r="D1845">
            <v>1</v>
          </cell>
        </row>
        <row r="1846">
          <cell r="A1846" t="str">
            <v>A1PSBPRMEC5360</v>
          </cell>
          <cell r="B1846" t="str">
            <v>Not Started</v>
          </cell>
          <cell r="C1846">
            <v>0.46879999999999999</v>
          </cell>
          <cell r="D1846">
            <v>0</v>
          </cell>
        </row>
        <row r="1847">
          <cell r="A1847" t="str">
            <v>A1PSBPRMEC5380</v>
          </cell>
          <cell r="B1847" t="str">
            <v>Not Started</v>
          </cell>
          <cell r="C1847">
            <v>0</v>
          </cell>
          <cell r="D1847">
            <v>0</v>
          </cell>
        </row>
        <row r="1848">
          <cell r="A1848" t="str">
            <v>A1PSBPRMEC5400</v>
          </cell>
          <cell r="B1848" t="str">
            <v>Not Started</v>
          </cell>
          <cell r="C1848">
            <v>0</v>
          </cell>
          <cell r="D1848">
            <v>0</v>
          </cell>
        </row>
        <row r="1849">
          <cell r="A1849" t="str">
            <v>A1PSBPRMEC5420</v>
          </cell>
          <cell r="B1849" t="str">
            <v>Not Started</v>
          </cell>
          <cell r="C1849">
            <v>0.1429</v>
          </cell>
          <cell r="D1849">
            <v>0</v>
          </cell>
        </row>
        <row r="1850">
          <cell r="A1850" t="str">
            <v>A1PSBPRMEC5440</v>
          </cell>
          <cell r="B1850" t="str">
            <v>Not Started</v>
          </cell>
          <cell r="C1850">
            <v>0</v>
          </cell>
          <cell r="D1850">
            <v>0</v>
          </cell>
        </row>
        <row r="1851">
          <cell r="A1851" t="str">
            <v>A1PSBPRMEC5460</v>
          </cell>
          <cell r="B1851" t="str">
            <v>Not Started</v>
          </cell>
          <cell r="C1851">
            <v>0.58330000000000004</v>
          </cell>
          <cell r="D1851">
            <v>0</v>
          </cell>
        </row>
        <row r="1852">
          <cell r="A1852" t="str">
            <v>A1PSBPRMEC5480</v>
          </cell>
          <cell r="B1852" t="str">
            <v>Not Started</v>
          </cell>
          <cell r="C1852">
            <v>0</v>
          </cell>
          <cell r="D1852">
            <v>0</v>
          </cell>
        </row>
        <row r="1853">
          <cell r="A1853" t="str">
            <v>A1PSBPRMEC5500</v>
          </cell>
          <cell r="B1853" t="str">
            <v>Not Started</v>
          </cell>
          <cell r="C1853">
            <v>0.1111</v>
          </cell>
          <cell r="D1853">
            <v>0</v>
          </cell>
        </row>
        <row r="1854">
          <cell r="A1854" t="str">
            <v>A1PSBPRMEC5520</v>
          </cell>
          <cell r="B1854" t="str">
            <v>Not Started</v>
          </cell>
          <cell r="C1854">
            <v>0</v>
          </cell>
          <cell r="D1854">
            <v>0</v>
          </cell>
        </row>
        <row r="1855">
          <cell r="A1855" t="str">
            <v>A1PSBPRMEC5540</v>
          </cell>
          <cell r="B1855" t="str">
            <v>Not Started</v>
          </cell>
          <cell r="C1855">
            <v>0</v>
          </cell>
          <cell r="D1855">
            <v>0</v>
          </cell>
        </row>
        <row r="1856">
          <cell r="A1856" t="str">
            <v>A1PSBPRMEC5560</v>
          </cell>
          <cell r="B1856" t="str">
            <v>Not Started</v>
          </cell>
          <cell r="C1856">
            <v>0</v>
          </cell>
          <cell r="D1856">
            <v>0</v>
          </cell>
        </row>
        <row r="1857">
          <cell r="A1857" t="str">
            <v>A1PSBPRMEC5580</v>
          </cell>
          <cell r="B1857" t="str">
            <v>Not Started</v>
          </cell>
          <cell r="C1857">
            <v>0</v>
          </cell>
          <cell r="D1857">
            <v>0</v>
          </cell>
        </row>
        <row r="1858">
          <cell r="A1858" t="str">
            <v>A1PSBPRMEC5600</v>
          </cell>
          <cell r="B1858" t="str">
            <v>Not Started</v>
          </cell>
          <cell r="C1858">
            <v>0</v>
          </cell>
          <cell r="D1858">
            <v>0</v>
          </cell>
        </row>
        <row r="1859">
          <cell r="A1859" t="str">
            <v>A1PSBPRMEC5620</v>
          </cell>
          <cell r="B1859" t="str">
            <v>Not Started</v>
          </cell>
          <cell r="C1859">
            <v>0</v>
          </cell>
          <cell r="D1859">
            <v>0</v>
          </cell>
        </row>
        <row r="1860">
          <cell r="A1860" t="str">
            <v>A1PSBPRMEC5640</v>
          </cell>
          <cell r="B1860" t="str">
            <v>Not Started</v>
          </cell>
          <cell r="C1860">
            <v>0</v>
          </cell>
          <cell r="D1860">
            <v>0</v>
          </cell>
        </row>
        <row r="1861">
          <cell r="A1861" t="str">
            <v>A1PSBPRMEC5660</v>
          </cell>
          <cell r="B1861" t="str">
            <v>Not Started</v>
          </cell>
          <cell r="C1861">
            <v>0</v>
          </cell>
          <cell r="D1861">
            <v>0</v>
          </cell>
        </row>
        <row r="1862">
          <cell r="A1862" t="str">
            <v>A1PSBPRMEC5680</v>
          </cell>
          <cell r="B1862" t="str">
            <v>Not Started</v>
          </cell>
          <cell r="C1862">
            <v>0</v>
          </cell>
          <cell r="D1862">
            <v>0</v>
          </cell>
        </row>
        <row r="1863">
          <cell r="A1863" t="str">
            <v>A1PSBPRMEC5700</v>
          </cell>
          <cell r="B1863" t="str">
            <v>Not Started</v>
          </cell>
          <cell r="C1863">
            <v>0</v>
          </cell>
          <cell r="D1863">
            <v>0</v>
          </cell>
        </row>
        <row r="1864">
          <cell r="A1864" t="str">
            <v>A1PSBPRMEC5720</v>
          </cell>
          <cell r="B1864" t="str">
            <v>Not Started</v>
          </cell>
          <cell r="C1864">
            <v>0</v>
          </cell>
          <cell r="D1864">
            <v>0</v>
          </cell>
        </row>
        <row r="1865">
          <cell r="A1865" t="str">
            <v>A1PSBPRMEC5740</v>
          </cell>
          <cell r="B1865" t="str">
            <v>Not Started</v>
          </cell>
          <cell r="C1865">
            <v>0</v>
          </cell>
          <cell r="D1865">
            <v>0</v>
          </cell>
        </row>
        <row r="1866">
          <cell r="A1866" t="str">
            <v>A1PSBPRMEC5760</v>
          </cell>
          <cell r="B1866" t="str">
            <v>Not Started</v>
          </cell>
          <cell r="C1866">
            <v>0.125</v>
          </cell>
          <cell r="D1866">
            <v>0</v>
          </cell>
        </row>
        <row r="1867">
          <cell r="A1867" t="str">
            <v>A1PSBPRMEC5780</v>
          </cell>
          <cell r="B1867" t="str">
            <v>Not Started</v>
          </cell>
          <cell r="C1867">
            <v>0</v>
          </cell>
          <cell r="D1867">
            <v>0</v>
          </cell>
        </row>
        <row r="1868">
          <cell r="A1868" t="str">
            <v>A1PSBPRMEC5800</v>
          </cell>
          <cell r="B1868" t="str">
            <v>In Progress</v>
          </cell>
          <cell r="C1868">
            <v>1</v>
          </cell>
          <cell r="D1868">
            <v>0.25</v>
          </cell>
        </row>
        <row r="1869">
          <cell r="A1869" t="str">
            <v>A1PSBPRMEC5820</v>
          </cell>
          <cell r="B1869" t="str">
            <v>Not Started</v>
          </cell>
          <cell r="C1869">
            <v>0.27079999999999999</v>
          </cell>
          <cell r="D1869">
            <v>0</v>
          </cell>
        </row>
        <row r="1870">
          <cell r="A1870" t="str">
            <v>A1PSBPRMEC5840</v>
          </cell>
          <cell r="B1870" t="str">
            <v>Not Started</v>
          </cell>
          <cell r="C1870">
            <v>0</v>
          </cell>
          <cell r="D1870">
            <v>0</v>
          </cell>
        </row>
        <row r="1871">
          <cell r="A1871" t="str">
            <v>A1PSBPRMEC5860</v>
          </cell>
          <cell r="B1871" t="str">
            <v>Completed</v>
          </cell>
          <cell r="C1871">
            <v>1</v>
          </cell>
          <cell r="D1871">
            <v>1</v>
          </cell>
        </row>
        <row r="1872">
          <cell r="A1872" t="str">
            <v>A1PSBPRMEC5880</v>
          </cell>
          <cell r="B1872" t="str">
            <v>Not Started</v>
          </cell>
          <cell r="C1872">
            <v>0</v>
          </cell>
          <cell r="D1872">
            <v>0</v>
          </cell>
        </row>
        <row r="1873">
          <cell r="A1873" t="str">
            <v>A1PSBPRMEC5900</v>
          </cell>
          <cell r="B1873" t="str">
            <v>Not Started</v>
          </cell>
          <cell r="C1873">
            <v>0</v>
          </cell>
          <cell r="D1873">
            <v>0</v>
          </cell>
        </row>
        <row r="1874">
          <cell r="A1874" t="str">
            <v>A1PSBPRMEC5920</v>
          </cell>
          <cell r="B1874" t="str">
            <v>Not Started</v>
          </cell>
          <cell r="C1874">
            <v>0</v>
          </cell>
          <cell r="D1874">
            <v>0</v>
          </cell>
        </row>
        <row r="1875">
          <cell r="A1875" t="str">
            <v>A1PSBPRMEC5940</v>
          </cell>
          <cell r="B1875" t="str">
            <v>Not Started</v>
          </cell>
          <cell r="C1875">
            <v>2.86E-2</v>
          </cell>
          <cell r="D1875">
            <v>0</v>
          </cell>
        </row>
        <row r="1876">
          <cell r="A1876" t="str">
            <v>A1PSBPRMEC5960</v>
          </cell>
          <cell r="B1876" t="str">
            <v>Not Started</v>
          </cell>
          <cell r="C1876">
            <v>0.27779999999999999</v>
          </cell>
          <cell r="D1876">
            <v>0</v>
          </cell>
        </row>
        <row r="1877">
          <cell r="A1877" t="str">
            <v>A1PSBPRMEC5980</v>
          </cell>
          <cell r="B1877" t="str">
            <v>Not Started</v>
          </cell>
          <cell r="C1877">
            <v>0</v>
          </cell>
          <cell r="D1877">
            <v>0</v>
          </cell>
        </row>
        <row r="1878">
          <cell r="A1878" t="str">
            <v>A1PSBPRMEC6000</v>
          </cell>
          <cell r="B1878" t="str">
            <v>Not Started</v>
          </cell>
          <cell r="C1878">
            <v>0</v>
          </cell>
          <cell r="D1878">
            <v>0</v>
          </cell>
        </row>
        <row r="1879">
          <cell r="A1879" t="str">
            <v>A1PSBPRMEC6020</v>
          </cell>
          <cell r="B1879" t="str">
            <v>Not Started</v>
          </cell>
          <cell r="C1879">
            <v>0</v>
          </cell>
          <cell r="D1879">
            <v>0</v>
          </cell>
        </row>
        <row r="1880">
          <cell r="A1880" t="str">
            <v>A1PSBPRMEC6040</v>
          </cell>
          <cell r="B1880" t="str">
            <v>Not Started</v>
          </cell>
          <cell r="C1880">
            <v>0</v>
          </cell>
          <cell r="D1880">
            <v>0</v>
          </cell>
        </row>
        <row r="1881">
          <cell r="A1881" t="str">
            <v>A1PSBPRMEC6060</v>
          </cell>
          <cell r="B1881" t="str">
            <v>Not Started</v>
          </cell>
          <cell r="C1881">
            <v>0</v>
          </cell>
          <cell r="D1881">
            <v>0</v>
          </cell>
        </row>
        <row r="1882">
          <cell r="A1882" t="str">
            <v>A1PSBPRMEC6080</v>
          </cell>
          <cell r="B1882" t="str">
            <v>Not Started</v>
          </cell>
          <cell r="C1882">
            <v>0</v>
          </cell>
          <cell r="D1882">
            <v>0</v>
          </cell>
        </row>
        <row r="1883">
          <cell r="A1883" t="str">
            <v>A1PSBPRMEC6100</v>
          </cell>
          <cell r="B1883" t="str">
            <v>Not Started</v>
          </cell>
          <cell r="C1883">
            <v>0</v>
          </cell>
          <cell r="D1883">
            <v>0</v>
          </cell>
        </row>
        <row r="1884">
          <cell r="A1884" t="str">
            <v>A1PSBPRMEC6120</v>
          </cell>
          <cell r="B1884" t="str">
            <v>Not Started</v>
          </cell>
          <cell r="C1884">
            <v>0</v>
          </cell>
          <cell r="D1884">
            <v>0</v>
          </cell>
        </row>
        <row r="1885">
          <cell r="A1885" t="str">
            <v>A1PSBPRMEC6140</v>
          </cell>
          <cell r="B1885" t="str">
            <v>Not Started</v>
          </cell>
          <cell r="C1885">
            <v>0</v>
          </cell>
          <cell r="D1885">
            <v>0</v>
          </cell>
        </row>
        <row r="1886">
          <cell r="A1886" t="str">
            <v>A1PSBPRMEC6160</v>
          </cell>
          <cell r="B1886" t="str">
            <v>Not Started</v>
          </cell>
          <cell r="C1886">
            <v>0</v>
          </cell>
          <cell r="D1886">
            <v>0</v>
          </cell>
        </row>
        <row r="1887">
          <cell r="A1887" t="str">
            <v>A1PSBPRMEC6180</v>
          </cell>
          <cell r="B1887" t="str">
            <v>Not Started</v>
          </cell>
          <cell r="C1887">
            <v>0</v>
          </cell>
          <cell r="D1887">
            <v>0</v>
          </cell>
        </row>
        <row r="1888">
          <cell r="A1888" t="str">
            <v>A1PSBPRMEC6200</v>
          </cell>
          <cell r="B1888" t="str">
            <v>Not Started</v>
          </cell>
          <cell r="C1888">
            <v>0</v>
          </cell>
          <cell r="D1888">
            <v>0</v>
          </cell>
        </row>
        <row r="1889">
          <cell r="A1889" t="str">
            <v>A1PSBPRMEC6220</v>
          </cell>
          <cell r="B1889" t="str">
            <v>Not Started</v>
          </cell>
          <cell r="C1889">
            <v>0</v>
          </cell>
          <cell r="D1889">
            <v>0</v>
          </cell>
        </row>
        <row r="1890">
          <cell r="A1890" t="str">
            <v>A1PSBPRMEC6240</v>
          </cell>
          <cell r="B1890" t="str">
            <v>Not Started</v>
          </cell>
          <cell r="C1890">
            <v>0</v>
          </cell>
          <cell r="D1890">
            <v>0</v>
          </cell>
        </row>
        <row r="1891">
          <cell r="A1891" t="str">
            <v>A1PSBPRMEC6260</v>
          </cell>
          <cell r="B1891" t="str">
            <v>Not Started</v>
          </cell>
          <cell r="C1891">
            <v>0</v>
          </cell>
          <cell r="D1891">
            <v>0</v>
          </cell>
        </row>
        <row r="1892">
          <cell r="A1892" t="str">
            <v>A1PSBPRMEC6280</v>
          </cell>
          <cell r="B1892" t="str">
            <v>Not Started</v>
          </cell>
          <cell r="C1892">
            <v>0</v>
          </cell>
          <cell r="D1892">
            <v>0</v>
          </cell>
        </row>
        <row r="1893">
          <cell r="A1893" t="str">
            <v>A1PSBPRMEC6300</v>
          </cell>
          <cell r="B1893" t="str">
            <v>Not Started</v>
          </cell>
          <cell r="C1893">
            <v>0</v>
          </cell>
          <cell r="D1893">
            <v>0</v>
          </cell>
        </row>
        <row r="1894">
          <cell r="A1894" t="str">
            <v>A1PSBPRMEC6320</v>
          </cell>
          <cell r="B1894" t="str">
            <v>Not Started</v>
          </cell>
          <cell r="C1894">
            <v>0</v>
          </cell>
          <cell r="D1894">
            <v>0</v>
          </cell>
        </row>
        <row r="1895">
          <cell r="A1895" t="str">
            <v>A1PSBPRMEC6340</v>
          </cell>
          <cell r="B1895" t="str">
            <v>Not Started</v>
          </cell>
          <cell r="C1895">
            <v>0</v>
          </cell>
          <cell r="D1895">
            <v>0</v>
          </cell>
        </row>
        <row r="1896">
          <cell r="A1896" t="str">
            <v>A1PSBPRMEC6360</v>
          </cell>
          <cell r="B1896" t="str">
            <v>Not Started</v>
          </cell>
          <cell r="C1896">
            <v>0</v>
          </cell>
          <cell r="D1896">
            <v>0</v>
          </cell>
        </row>
        <row r="1897">
          <cell r="A1897" t="str">
            <v>A1PSBPRMEC6380</v>
          </cell>
          <cell r="B1897" t="str">
            <v>In Progress</v>
          </cell>
          <cell r="C1897">
            <v>0.17330000000000001</v>
          </cell>
          <cell r="D1897">
            <v>0.17269999999999999</v>
          </cell>
        </row>
        <row r="1898">
          <cell r="A1898" t="str">
            <v>A1PSBPRMEC6400</v>
          </cell>
          <cell r="B1898" t="str">
            <v>Not Started</v>
          </cell>
          <cell r="C1898">
            <v>0</v>
          </cell>
          <cell r="D1898">
            <v>0</v>
          </cell>
        </row>
        <row r="1899">
          <cell r="A1899" t="str">
            <v>A1PSBPRMEC6420</v>
          </cell>
          <cell r="B1899" t="str">
            <v>Not Started</v>
          </cell>
          <cell r="C1899">
            <v>0</v>
          </cell>
          <cell r="D1899">
            <v>0</v>
          </cell>
        </row>
        <row r="1900">
          <cell r="A1900" t="str">
            <v>A1PSBPRMEC6440</v>
          </cell>
          <cell r="B1900" t="str">
            <v>Not Started</v>
          </cell>
          <cell r="C1900">
            <v>0.1406</v>
          </cell>
          <cell r="D1900">
            <v>0</v>
          </cell>
        </row>
        <row r="1901">
          <cell r="A1901" t="str">
            <v>A1PSBPRMEC6460</v>
          </cell>
          <cell r="B1901" t="str">
            <v>Not Started</v>
          </cell>
          <cell r="C1901">
            <v>0</v>
          </cell>
          <cell r="D1901">
            <v>0</v>
          </cell>
        </row>
        <row r="1902">
          <cell r="A1902" t="str">
            <v>A1PSBPRMEC6480</v>
          </cell>
          <cell r="B1902" t="str">
            <v>Not Started</v>
          </cell>
          <cell r="C1902">
            <v>0</v>
          </cell>
          <cell r="D1902">
            <v>0</v>
          </cell>
        </row>
        <row r="1903">
          <cell r="A1903" t="str">
            <v>A1PSBPRMEC6500</v>
          </cell>
          <cell r="B1903" t="str">
            <v>Not Started</v>
          </cell>
          <cell r="C1903">
            <v>0</v>
          </cell>
          <cell r="D1903">
            <v>0</v>
          </cell>
        </row>
        <row r="1904">
          <cell r="A1904" t="str">
            <v>A1PSBPRMEC6520</v>
          </cell>
          <cell r="B1904" t="str">
            <v>Not Started</v>
          </cell>
          <cell r="C1904">
            <v>0</v>
          </cell>
          <cell r="D1904">
            <v>0</v>
          </cell>
        </row>
        <row r="1905">
          <cell r="A1905" t="str">
            <v>A1PSBPRMEC6540</v>
          </cell>
          <cell r="B1905" t="str">
            <v>Not Started</v>
          </cell>
          <cell r="C1905">
            <v>0</v>
          </cell>
          <cell r="D1905">
            <v>0</v>
          </cell>
        </row>
        <row r="1906">
          <cell r="A1906" t="str">
            <v>A1PSBPRMEC6560</v>
          </cell>
          <cell r="B1906" t="str">
            <v>Completed</v>
          </cell>
          <cell r="C1906">
            <v>0</v>
          </cell>
          <cell r="D1906">
            <v>1</v>
          </cell>
        </row>
        <row r="1907">
          <cell r="A1907" t="str">
            <v>A1PSBPRMEC6580</v>
          </cell>
          <cell r="B1907" t="str">
            <v>Not Started</v>
          </cell>
          <cell r="C1907">
            <v>0</v>
          </cell>
          <cell r="D1907">
            <v>0</v>
          </cell>
        </row>
        <row r="1908">
          <cell r="A1908" t="str">
            <v>A1PSBPRMEC6600</v>
          </cell>
          <cell r="B1908" t="str">
            <v>Not Started</v>
          </cell>
          <cell r="C1908">
            <v>0</v>
          </cell>
          <cell r="D1908">
            <v>0</v>
          </cell>
        </row>
        <row r="1909">
          <cell r="A1909" t="str">
            <v>A1PSBPRMEC6620</v>
          </cell>
          <cell r="B1909" t="str">
            <v>Not Started</v>
          </cell>
          <cell r="C1909">
            <v>0</v>
          </cell>
          <cell r="D1909">
            <v>0</v>
          </cell>
        </row>
        <row r="1910">
          <cell r="A1910" t="str">
            <v>A1PSBPRMEC6640</v>
          </cell>
          <cell r="B1910" t="str">
            <v>Not Started</v>
          </cell>
          <cell r="C1910">
            <v>0</v>
          </cell>
          <cell r="D1910">
            <v>0</v>
          </cell>
        </row>
        <row r="1911">
          <cell r="A1911" t="str">
            <v>A1PSBPRMEC6660</v>
          </cell>
          <cell r="B1911" t="str">
            <v>Not Started</v>
          </cell>
          <cell r="C1911">
            <v>0</v>
          </cell>
          <cell r="D1911">
            <v>0</v>
          </cell>
        </row>
        <row r="1912">
          <cell r="A1912" t="str">
            <v>A1PSBPRMEC6680</v>
          </cell>
          <cell r="B1912" t="str">
            <v>Not Started</v>
          </cell>
          <cell r="C1912">
            <v>0</v>
          </cell>
          <cell r="D1912">
            <v>0</v>
          </cell>
        </row>
        <row r="1913">
          <cell r="A1913" t="str">
            <v>A1PSBPRMEC6700</v>
          </cell>
          <cell r="B1913" t="str">
            <v>Not Started</v>
          </cell>
          <cell r="C1913">
            <v>0</v>
          </cell>
          <cell r="D1913">
            <v>0</v>
          </cell>
        </row>
        <row r="1914">
          <cell r="A1914" t="str">
            <v>A1PSBPRMEC6720</v>
          </cell>
          <cell r="B1914" t="str">
            <v>Not Started</v>
          </cell>
          <cell r="C1914">
            <v>0</v>
          </cell>
          <cell r="D1914">
            <v>0</v>
          </cell>
        </row>
        <row r="1915">
          <cell r="A1915" t="str">
            <v>A1PSBPRMEC6740</v>
          </cell>
          <cell r="B1915" t="str">
            <v>Not Started</v>
          </cell>
          <cell r="C1915">
            <v>0</v>
          </cell>
          <cell r="D1915">
            <v>0</v>
          </cell>
        </row>
        <row r="1916">
          <cell r="A1916" t="str">
            <v>A1PSBPRMEC6760</v>
          </cell>
          <cell r="B1916" t="str">
            <v>Not Started</v>
          </cell>
          <cell r="C1916">
            <v>0</v>
          </cell>
          <cell r="D1916">
            <v>0</v>
          </cell>
        </row>
        <row r="1917">
          <cell r="A1917" t="str">
            <v>A1PSBPRMEC6780</v>
          </cell>
          <cell r="B1917" t="str">
            <v>Not Started</v>
          </cell>
          <cell r="C1917">
            <v>0</v>
          </cell>
          <cell r="D1917">
            <v>0</v>
          </cell>
        </row>
        <row r="1918">
          <cell r="A1918" t="str">
            <v>A1PSBPRMEC6800</v>
          </cell>
          <cell r="B1918" t="str">
            <v>Not Started</v>
          </cell>
          <cell r="C1918">
            <v>0</v>
          </cell>
          <cell r="D1918">
            <v>0</v>
          </cell>
        </row>
        <row r="1919">
          <cell r="A1919" t="str">
            <v>A1PSBPRMEC6820</v>
          </cell>
          <cell r="B1919" t="str">
            <v>Not Started</v>
          </cell>
          <cell r="C1919">
            <v>0</v>
          </cell>
          <cell r="D1919">
            <v>0</v>
          </cell>
        </row>
        <row r="1920">
          <cell r="A1920" t="str">
            <v>A1PSBPRMEC6840</v>
          </cell>
          <cell r="B1920" t="str">
            <v>Not Started</v>
          </cell>
          <cell r="C1920">
            <v>0</v>
          </cell>
          <cell r="D1920">
            <v>0</v>
          </cell>
        </row>
        <row r="1921">
          <cell r="A1921" t="str">
            <v>A1PSBPRMEC6860</v>
          </cell>
          <cell r="B1921" t="str">
            <v>Not Started</v>
          </cell>
          <cell r="C1921">
            <v>0</v>
          </cell>
          <cell r="D1921">
            <v>0</v>
          </cell>
        </row>
        <row r="1922">
          <cell r="A1922" t="str">
            <v>A1PSBPRMEC6880</v>
          </cell>
          <cell r="B1922" t="str">
            <v>Not Started</v>
          </cell>
          <cell r="C1922">
            <v>0</v>
          </cell>
          <cell r="D1922">
            <v>0</v>
          </cell>
        </row>
        <row r="1923">
          <cell r="A1923" t="str">
            <v>A1PSBPRMEC6900</v>
          </cell>
          <cell r="B1923" t="str">
            <v>Not Started</v>
          </cell>
          <cell r="C1923">
            <v>0</v>
          </cell>
          <cell r="D1923">
            <v>0</v>
          </cell>
        </row>
        <row r="1924">
          <cell r="A1924" t="str">
            <v>A1PSBPRMEC6920</v>
          </cell>
          <cell r="B1924" t="str">
            <v>Not Started</v>
          </cell>
          <cell r="C1924">
            <v>0</v>
          </cell>
          <cell r="D1924">
            <v>0</v>
          </cell>
        </row>
        <row r="1925">
          <cell r="A1925" t="str">
            <v>A1PSBPRMEC6940</v>
          </cell>
          <cell r="B1925" t="str">
            <v>Not Started</v>
          </cell>
          <cell r="C1925">
            <v>0</v>
          </cell>
          <cell r="D1925">
            <v>0</v>
          </cell>
        </row>
        <row r="1926">
          <cell r="A1926" t="str">
            <v>A1PSBPRMEC6960</v>
          </cell>
          <cell r="B1926" t="str">
            <v>Not Started</v>
          </cell>
          <cell r="C1926">
            <v>0</v>
          </cell>
          <cell r="D1926">
            <v>0</v>
          </cell>
        </row>
        <row r="1927">
          <cell r="A1927" t="str">
            <v>A1PSBPRMEC6980</v>
          </cell>
          <cell r="B1927" t="str">
            <v>Not Started</v>
          </cell>
          <cell r="C1927">
            <v>0</v>
          </cell>
          <cell r="D1927">
            <v>0</v>
          </cell>
        </row>
        <row r="1928">
          <cell r="A1928" t="str">
            <v>A1PSBPRMEC7000</v>
          </cell>
          <cell r="B1928" t="str">
            <v>Not Started</v>
          </cell>
          <cell r="C1928">
            <v>0</v>
          </cell>
          <cell r="D1928">
            <v>0</v>
          </cell>
        </row>
        <row r="1929">
          <cell r="A1929" t="str">
            <v>A1PSBPRMEC7020</v>
          </cell>
          <cell r="B1929" t="str">
            <v>Not Started</v>
          </cell>
          <cell r="C1929">
            <v>0</v>
          </cell>
          <cell r="D1929">
            <v>0</v>
          </cell>
        </row>
        <row r="1930">
          <cell r="A1930" t="str">
            <v>A1PSBPRMEC7040</v>
          </cell>
          <cell r="B1930" t="str">
            <v>Not Started</v>
          </cell>
          <cell r="C1930">
            <v>0</v>
          </cell>
          <cell r="D1930">
            <v>0</v>
          </cell>
        </row>
        <row r="1931">
          <cell r="A1931" t="str">
            <v>A1PSBPRMEC7060</v>
          </cell>
          <cell r="B1931" t="str">
            <v>Not Started</v>
          </cell>
          <cell r="C1931">
            <v>0</v>
          </cell>
          <cell r="D1931">
            <v>0</v>
          </cell>
        </row>
        <row r="1932">
          <cell r="A1932" t="str">
            <v>A1PSBPRMEC7080</v>
          </cell>
          <cell r="B1932" t="str">
            <v>Not Started</v>
          </cell>
          <cell r="C1932">
            <v>0</v>
          </cell>
          <cell r="D1932">
            <v>0</v>
          </cell>
        </row>
        <row r="1933">
          <cell r="A1933" t="str">
            <v>A1PSBPRMEC7100</v>
          </cell>
          <cell r="B1933" t="str">
            <v>Not Started</v>
          </cell>
          <cell r="C1933">
            <v>0</v>
          </cell>
          <cell r="D1933">
            <v>0</v>
          </cell>
        </row>
        <row r="1934">
          <cell r="A1934" t="str">
            <v>A1PSBPRMEC7120</v>
          </cell>
          <cell r="B1934" t="str">
            <v>Not Started</v>
          </cell>
          <cell r="C1934">
            <v>0</v>
          </cell>
          <cell r="D1934">
            <v>0</v>
          </cell>
        </row>
        <row r="1935">
          <cell r="A1935" t="str">
            <v>A1PSBPRMEC7140</v>
          </cell>
          <cell r="B1935" t="str">
            <v>Not Started</v>
          </cell>
          <cell r="C1935">
            <v>0</v>
          </cell>
          <cell r="D1935">
            <v>0</v>
          </cell>
        </row>
        <row r="1936">
          <cell r="A1936" t="str">
            <v>A1PSBPRMEC7160</v>
          </cell>
          <cell r="B1936" t="str">
            <v>Not Started</v>
          </cell>
          <cell r="C1936">
            <v>0</v>
          </cell>
          <cell r="D1936">
            <v>0</v>
          </cell>
        </row>
        <row r="1937">
          <cell r="A1937" t="str">
            <v>A1PSBPRMEC7180</v>
          </cell>
          <cell r="B1937" t="str">
            <v>Not Started</v>
          </cell>
          <cell r="C1937">
            <v>0</v>
          </cell>
          <cell r="D1937">
            <v>0</v>
          </cell>
        </row>
        <row r="1938">
          <cell r="A1938" t="str">
            <v>A1PSBPRMEC7200</v>
          </cell>
          <cell r="B1938" t="str">
            <v>Not Started</v>
          </cell>
          <cell r="C1938">
            <v>0</v>
          </cell>
          <cell r="D1938">
            <v>0</v>
          </cell>
        </row>
        <row r="1939">
          <cell r="A1939" t="str">
            <v>A1PSBPRMEC7220</v>
          </cell>
          <cell r="B1939" t="str">
            <v>Not Started</v>
          </cell>
          <cell r="C1939">
            <v>0</v>
          </cell>
          <cell r="D1939">
            <v>0</v>
          </cell>
        </row>
        <row r="1940">
          <cell r="A1940" t="str">
            <v>A1PSBPRMEC7240</v>
          </cell>
          <cell r="B1940" t="str">
            <v>Not Started</v>
          </cell>
          <cell r="C1940">
            <v>0</v>
          </cell>
          <cell r="D1940">
            <v>0</v>
          </cell>
        </row>
        <row r="1941">
          <cell r="A1941" t="str">
            <v>A1PSBPRMEC7260</v>
          </cell>
          <cell r="B1941" t="str">
            <v>Not Started</v>
          </cell>
          <cell r="C1941">
            <v>0</v>
          </cell>
          <cell r="D1941">
            <v>0</v>
          </cell>
        </row>
        <row r="1942">
          <cell r="A1942" t="str">
            <v>A1PSBPRMEC7280</v>
          </cell>
          <cell r="B1942" t="str">
            <v>Not Started</v>
          </cell>
          <cell r="C1942">
            <v>0</v>
          </cell>
          <cell r="D1942">
            <v>0</v>
          </cell>
        </row>
        <row r="1943">
          <cell r="A1943" t="str">
            <v>A1PSBPRMEC7300</v>
          </cell>
          <cell r="B1943" t="str">
            <v>Not Started</v>
          </cell>
          <cell r="C1943">
            <v>0</v>
          </cell>
          <cell r="D1943">
            <v>0</v>
          </cell>
        </row>
        <row r="1944">
          <cell r="A1944" t="str">
            <v>A1PSBPRMEC7320</v>
          </cell>
          <cell r="B1944" t="str">
            <v>Not Started</v>
          </cell>
          <cell r="C1944">
            <v>0</v>
          </cell>
          <cell r="D1944">
            <v>0</v>
          </cell>
        </row>
        <row r="1945">
          <cell r="A1945" t="str">
            <v>A1PSBPRMEC7340</v>
          </cell>
          <cell r="B1945" t="str">
            <v>Not Started</v>
          </cell>
          <cell r="C1945">
            <v>0</v>
          </cell>
          <cell r="D1945">
            <v>0</v>
          </cell>
        </row>
        <row r="1946">
          <cell r="A1946" t="str">
            <v>A1PSBPRMEC7360</v>
          </cell>
          <cell r="B1946" t="str">
            <v>Not Started</v>
          </cell>
          <cell r="C1946">
            <v>0</v>
          </cell>
          <cell r="D1946">
            <v>0</v>
          </cell>
        </row>
        <row r="1947">
          <cell r="A1947" t="str">
            <v>A1PSBPRMEC7380</v>
          </cell>
          <cell r="B1947" t="str">
            <v>Not Started</v>
          </cell>
          <cell r="C1947">
            <v>0</v>
          </cell>
          <cell r="D1947">
            <v>0</v>
          </cell>
        </row>
        <row r="1948">
          <cell r="A1948" t="str">
            <v>A1PSBPRMEC7400</v>
          </cell>
          <cell r="B1948" t="str">
            <v>Not Started</v>
          </cell>
          <cell r="C1948">
            <v>0</v>
          </cell>
          <cell r="D1948">
            <v>0</v>
          </cell>
        </row>
        <row r="1949">
          <cell r="A1949" t="str">
            <v>A1PSBPRMEC7420</v>
          </cell>
          <cell r="B1949" t="str">
            <v>Not Started</v>
          </cell>
          <cell r="C1949">
            <v>0</v>
          </cell>
          <cell r="D1949">
            <v>0</v>
          </cell>
        </row>
        <row r="1950">
          <cell r="A1950" t="str">
            <v>A1PSBPRMEC7440</v>
          </cell>
          <cell r="B1950" t="str">
            <v>Not Started</v>
          </cell>
          <cell r="C1950">
            <v>0</v>
          </cell>
          <cell r="D1950">
            <v>0</v>
          </cell>
        </row>
        <row r="1951">
          <cell r="A1951" t="str">
            <v>A1PSBPRMEC7460</v>
          </cell>
          <cell r="B1951" t="str">
            <v>Not Started</v>
          </cell>
          <cell r="C1951">
            <v>0</v>
          </cell>
          <cell r="D1951">
            <v>0</v>
          </cell>
        </row>
        <row r="1952">
          <cell r="A1952" t="str">
            <v>A1PSBPRMEC7480</v>
          </cell>
          <cell r="B1952" t="str">
            <v>Not Started</v>
          </cell>
          <cell r="C1952">
            <v>0</v>
          </cell>
          <cell r="D1952">
            <v>0</v>
          </cell>
        </row>
        <row r="1953">
          <cell r="A1953" t="str">
            <v>A1PSBPRMEC7500</v>
          </cell>
          <cell r="B1953" t="str">
            <v>Not Started</v>
          </cell>
          <cell r="C1953">
            <v>0</v>
          </cell>
          <cell r="D1953">
            <v>0</v>
          </cell>
        </row>
        <row r="1954">
          <cell r="A1954" t="str">
            <v>A1PSBPRMEC7520</v>
          </cell>
          <cell r="B1954" t="str">
            <v>Not Started</v>
          </cell>
          <cell r="C1954">
            <v>0</v>
          </cell>
          <cell r="D1954">
            <v>0</v>
          </cell>
        </row>
        <row r="1955">
          <cell r="A1955" t="str">
            <v>A1PSBPRMEC7540</v>
          </cell>
          <cell r="B1955" t="str">
            <v>Not Started</v>
          </cell>
          <cell r="C1955">
            <v>0</v>
          </cell>
          <cell r="D1955">
            <v>0</v>
          </cell>
        </row>
        <row r="1956">
          <cell r="A1956" t="str">
            <v>A1PSBPRMEC7560</v>
          </cell>
          <cell r="B1956" t="str">
            <v>Not Started</v>
          </cell>
          <cell r="C1956">
            <v>0</v>
          </cell>
          <cell r="D1956">
            <v>0</v>
          </cell>
        </row>
        <row r="1957">
          <cell r="A1957" t="str">
            <v>A1PSBPRMEC7580</v>
          </cell>
          <cell r="B1957" t="str">
            <v>Not Started</v>
          </cell>
          <cell r="C1957">
            <v>0</v>
          </cell>
          <cell r="D1957">
            <v>0</v>
          </cell>
        </row>
        <row r="1958">
          <cell r="A1958" t="str">
            <v>A1PSBPRMEC7600</v>
          </cell>
          <cell r="B1958" t="str">
            <v>Not Started</v>
          </cell>
          <cell r="C1958">
            <v>0</v>
          </cell>
          <cell r="D1958">
            <v>0</v>
          </cell>
        </row>
        <row r="1959">
          <cell r="A1959" t="str">
            <v>A1PSBPRMEC7620</v>
          </cell>
          <cell r="B1959" t="str">
            <v>Not Started</v>
          </cell>
          <cell r="C1959">
            <v>0</v>
          </cell>
          <cell r="D1959">
            <v>0</v>
          </cell>
        </row>
        <row r="1960">
          <cell r="A1960" t="str">
            <v>A1PSBPRMEC7640</v>
          </cell>
          <cell r="B1960" t="str">
            <v>Not Started</v>
          </cell>
          <cell r="C1960">
            <v>0</v>
          </cell>
          <cell r="D1960">
            <v>0</v>
          </cell>
        </row>
        <row r="1961">
          <cell r="A1961" t="str">
            <v>A1PSBPRMEC7660</v>
          </cell>
          <cell r="B1961" t="str">
            <v>Not Started</v>
          </cell>
          <cell r="C1961">
            <v>0</v>
          </cell>
          <cell r="D1961">
            <v>0</v>
          </cell>
        </row>
        <row r="1962">
          <cell r="A1962" t="str">
            <v>A1PSBPRMEC7680</v>
          </cell>
          <cell r="B1962" t="str">
            <v>Not Started</v>
          </cell>
          <cell r="C1962">
            <v>0</v>
          </cell>
          <cell r="D1962">
            <v>0</v>
          </cell>
        </row>
        <row r="1963">
          <cell r="A1963" t="str">
            <v>A1PSBPRMEC7700</v>
          </cell>
          <cell r="B1963" t="str">
            <v>Not Started</v>
          </cell>
          <cell r="C1963">
            <v>0</v>
          </cell>
          <cell r="D1963">
            <v>0</v>
          </cell>
        </row>
        <row r="1964">
          <cell r="A1964" t="str">
            <v>A1PSBPRMEC7720</v>
          </cell>
          <cell r="B1964" t="str">
            <v>Not Started</v>
          </cell>
          <cell r="C1964">
            <v>0</v>
          </cell>
          <cell r="D1964">
            <v>0</v>
          </cell>
        </row>
        <row r="1965">
          <cell r="A1965" t="str">
            <v>A1PSBPRMEC7740</v>
          </cell>
          <cell r="B1965" t="str">
            <v>Not Started</v>
          </cell>
          <cell r="C1965">
            <v>0</v>
          </cell>
          <cell r="D1965">
            <v>0</v>
          </cell>
        </row>
        <row r="1966">
          <cell r="A1966" t="str">
            <v>A1PSBPRMEC7760</v>
          </cell>
          <cell r="B1966" t="str">
            <v>Not Started</v>
          </cell>
          <cell r="C1966">
            <v>0</v>
          </cell>
          <cell r="D1966">
            <v>0</v>
          </cell>
        </row>
        <row r="1967">
          <cell r="A1967" t="str">
            <v>A1PSBPRMEC7780</v>
          </cell>
          <cell r="B1967" t="str">
            <v>Not Started</v>
          </cell>
          <cell r="C1967">
            <v>0</v>
          </cell>
          <cell r="D1967">
            <v>0</v>
          </cell>
        </row>
        <row r="1968">
          <cell r="A1968" t="str">
            <v>A1PSBPRMEC7800</v>
          </cell>
          <cell r="B1968" t="str">
            <v>Not Started</v>
          </cell>
          <cell r="C1968">
            <v>0</v>
          </cell>
          <cell r="D1968">
            <v>0</v>
          </cell>
        </row>
        <row r="1969">
          <cell r="A1969" t="str">
            <v>A1PSBPRMEC7820</v>
          </cell>
          <cell r="B1969" t="str">
            <v>Not Started</v>
          </cell>
          <cell r="C1969">
            <v>0</v>
          </cell>
          <cell r="D1969">
            <v>0</v>
          </cell>
        </row>
        <row r="1970">
          <cell r="A1970" t="str">
            <v>A1PSBPRMEC7840</v>
          </cell>
          <cell r="B1970" t="str">
            <v>Not Started</v>
          </cell>
          <cell r="C1970">
            <v>0</v>
          </cell>
          <cell r="D1970">
            <v>0</v>
          </cell>
        </row>
        <row r="1971">
          <cell r="A1971" t="str">
            <v>A1PSBPRMEC7860</v>
          </cell>
          <cell r="B1971" t="str">
            <v>Not Started</v>
          </cell>
          <cell r="C1971">
            <v>0</v>
          </cell>
          <cell r="D1971">
            <v>0</v>
          </cell>
        </row>
        <row r="1972">
          <cell r="A1972" t="str">
            <v>A1PSBPRMEC7880</v>
          </cell>
          <cell r="B1972" t="str">
            <v>Not Started</v>
          </cell>
          <cell r="C1972">
            <v>0</v>
          </cell>
          <cell r="D1972">
            <v>0</v>
          </cell>
        </row>
        <row r="1973">
          <cell r="A1973" t="str">
            <v>A1PSBPRMEC7900</v>
          </cell>
          <cell r="B1973" t="str">
            <v>Not Started</v>
          </cell>
          <cell r="C1973">
            <v>0</v>
          </cell>
          <cell r="D1973">
            <v>0</v>
          </cell>
        </row>
        <row r="1974">
          <cell r="A1974" t="str">
            <v>A1PSBPRMEC7920</v>
          </cell>
          <cell r="B1974" t="str">
            <v>Not Started</v>
          </cell>
          <cell r="C1974">
            <v>0</v>
          </cell>
          <cell r="D1974">
            <v>0</v>
          </cell>
        </row>
        <row r="1975">
          <cell r="A1975" t="str">
            <v>A1PSBPRMEC7940</v>
          </cell>
          <cell r="B1975" t="str">
            <v>Not Started</v>
          </cell>
          <cell r="C1975">
            <v>0</v>
          </cell>
          <cell r="D1975">
            <v>0</v>
          </cell>
        </row>
        <row r="1976">
          <cell r="A1976" t="str">
            <v>A1PSBPRMEC7960</v>
          </cell>
          <cell r="B1976" t="str">
            <v>Not Started</v>
          </cell>
          <cell r="C1976">
            <v>0</v>
          </cell>
          <cell r="D1976">
            <v>0</v>
          </cell>
        </row>
        <row r="1977">
          <cell r="A1977" t="str">
            <v>A1PSBPRMEC7980</v>
          </cell>
          <cell r="B1977" t="str">
            <v>Not Started</v>
          </cell>
          <cell r="C1977">
            <v>0</v>
          </cell>
          <cell r="D1977">
            <v>0</v>
          </cell>
        </row>
        <row r="1978">
          <cell r="A1978" t="str">
            <v>A1PSBPRMEC8000</v>
          </cell>
          <cell r="B1978" t="str">
            <v>Not Started</v>
          </cell>
          <cell r="C1978">
            <v>0</v>
          </cell>
          <cell r="D1978">
            <v>0</v>
          </cell>
        </row>
        <row r="1979">
          <cell r="A1979" t="str">
            <v>A1PSBPRMEC8020</v>
          </cell>
          <cell r="B1979" t="str">
            <v>Not Started</v>
          </cell>
          <cell r="C1979">
            <v>0</v>
          </cell>
          <cell r="D1979">
            <v>0</v>
          </cell>
        </row>
        <row r="1980">
          <cell r="A1980" t="str">
            <v>A1PSBPRMEC8040</v>
          </cell>
          <cell r="B1980" t="str">
            <v>In Progress</v>
          </cell>
          <cell r="C1980">
            <v>0</v>
          </cell>
          <cell r="D1980">
            <v>0.17269999999999999</v>
          </cell>
        </row>
        <row r="1981">
          <cell r="A1981" t="str">
            <v>A1PSBPRMEC8060</v>
          </cell>
          <cell r="B1981" t="str">
            <v>Not Started</v>
          </cell>
          <cell r="C1981">
            <v>0</v>
          </cell>
          <cell r="D1981">
            <v>0</v>
          </cell>
        </row>
        <row r="1982">
          <cell r="A1982" t="str">
            <v>A1PSBPRMEC8080</v>
          </cell>
          <cell r="B1982" t="str">
            <v>Not Started</v>
          </cell>
          <cell r="C1982">
            <v>0</v>
          </cell>
          <cell r="D1982">
            <v>0</v>
          </cell>
        </row>
        <row r="1983">
          <cell r="A1983" t="str">
            <v>A1PSBPRMEC8100</v>
          </cell>
          <cell r="B1983" t="str">
            <v>Not Started</v>
          </cell>
          <cell r="C1983">
            <v>0</v>
          </cell>
          <cell r="D1983">
            <v>0</v>
          </cell>
        </row>
        <row r="1984">
          <cell r="A1984" t="str">
            <v>A1PSBPRMEC8120</v>
          </cell>
          <cell r="B1984" t="str">
            <v>Not Started</v>
          </cell>
          <cell r="C1984">
            <v>0</v>
          </cell>
          <cell r="D1984">
            <v>0</v>
          </cell>
        </row>
        <row r="1985">
          <cell r="A1985" t="str">
            <v>A1PSBPRMEC8140</v>
          </cell>
          <cell r="B1985" t="str">
            <v>Not Started</v>
          </cell>
          <cell r="C1985">
            <v>0</v>
          </cell>
          <cell r="D1985">
            <v>0</v>
          </cell>
        </row>
        <row r="1986">
          <cell r="A1986" t="str">
            <v>A1PSBPRMEC8160</v>
          </cell>
          <cell r="B1986" t="str">
            <v>Not Started</v>
          </cell>
          <cell r="C1986">
            <v>0</v>
          </cell>
          <cell r="D1986">
            <v>0</v>
          </cell>
        </row>
        <row r="1987">
          <cell r="A1987" t="str">
            <v>A1PSBPRMEC8180</v>
          </cell>
          <cell r="B1987" t="str">
            <v>Not Started</v>
          </cell>
          <cell r="C1987">
            <v>0</v>
          </cell>
          <cell r="D1987">
            <v>0</v>
          </cell>
        </row>
        <row r="1988">
          <cell r="A1988" t="str">
            <v>A1PSBPRMEC8200</v>
          </cell>
          <cell r="B1988" t="str">
            <v>Not Started</v>
          </cell>
          <cell r="C1988">
            <v>0</v>
          </cell>
          <cell r="D1988">
            <v>0</v>
          </cell>
        </row>
        <row r="1989">
          <cell r="A1989" t="str">
            <v>A1PSBPRMEC8220</v>
          </cell>
          <cell r="B1989" t="str">
            <v>Not Started</v>
          </cell>
          <cell r="C1989">
            <v>0</v>
          </cell>
          <cell r="D1989">
            <v>0</v>
          </cell>
        </row>
        <row r="1990">
          <cell r="A1990" t="str">
            <v>A1PSBPRMEC8240</v>
          </cell>
          <cell r="B1990" t="str">
            <v>Not Started</v>
          </cell>
          <cell r="C1990">
            <v>0</v>
          </cell>
          <cell r="D1990">
            <v>0</v>
          </cell>
        </row>
        <row r="1991">
          <cell r="A1991" t="str">
            <v>A1PSBPRMEC8260</v>
          </cell>
          <cell r="B1991" t="str">
            <v>Not Started</v>
          </cell>
          <cell r="C1991">
            <v>0</v>
          </cell>
          <cell r="D1991">
            <v>0</v>
          </cell>
        </row>
        <row r="1992">
          <cell r="A1992" t="str">
            <v>A1PSBPRMEC8280</v>
          </cell>
          <cell r="B1992" t="str">
            <v>Not Started</v>
          </cell>
          <cell r="C1992">
            <v>0</v>
          </cell>
          <cell r="D1992">
            <v>0</v>
          </cell>
        </row>
        <row r="1993">
          <cell r="A1993" t="str">
            <v>A1PSBPRMEC8300</v>
          </cell>
          <cell r="B1993" t="str">
            <v>Not Started</v>
          </cell>
          <cell r="C1993">
            <v>0</v>
          </cell>
          <cell r="D1993">
            <v>0</v>
          </cell>
        </row>
        <row r="1994">
          <cell r="A1994" t="str">
            <v>A1PSBPRMEC8320</v>
          </cell>
          <cell r="B1994" t="str">
            <v>Not Started</v>
          </cell>
          <cell r="C1994">
            <v>0</v>
          </cell>
          <cell r="D1994">
            <v>0</v>
          </cell>
        </row>
        <row r="1995">
          <cell r="A1995" t="str">
            <v>A1PSBPRMEC8340</v>
          </cell>
          <cell r="B1995" t="str">
            <v>Not Started</v>
          </cell>
          <cell r="C1995">
            <v>0</v>
          </cell>
          <cell r="D1995">
            <v>0</v>
          </cell>
        </row>
        <row r="1996">
          <cell r="A1996" t="str">
            <v>A1PSBPRMEC8360</v>
          </cell>
          <cell r="B1996" t="str">
            <v>Not Started</v>
          </cell>
          <cell r="C1996">
            <v>0</v>
          </cell>
          <cell r="D1996">
            <v>0</v>
          </cell>
        </row>
        <row r="1997">
          <cell r="A1997" t="str">
            <v>A1PSBPRMEC8380</v>
          </cell>
          <cell r="B1997" t="str">
            <v>Not Started</v>
          </cell>
          <cell r="C1997">
            <v>0</v>
          </cell>
          <cell r="D1997">
            <v>0</v>
          </cell>
        </row>
        <row r="1998">
          <cell r="A1998" t="str">
            <v>A1PSBPRMEC8400</v>
          </cell>
          <cell r="B1998" t="str">
            <v>Not Started</v>
          </cell>
          <cell r="C1998">
            <v>0</v>
          </cell>
          <cell r="D1998">
            <v>0</v>
          </cell>
        </row>
        <row r="1999">
          <cell r="A1999" t="str">
            <v>A1PSBPRMEC8420</v>
          </cell>
          <cell r="B1999" t="str">
            <v>Not Started</v>
          </cell>
          <cell r="C1999">
            <v>0</v>
          </cell>
          <cell r="D1999">
            <v>0</v>
          </cell>
        </row>
        <row r="2000">
          <cell r="A2000" t="str">
            <v>A1PSBPRMEC8440</v>
          </cell>
          <cell r="B2000" t="str">
            <v>Not Started</v>
          </cell>
          <cell r="C2000">
            <v>0</v>
          </cell>
          <cell r="D2000">
            <v>0</v>
          </cell>
        </row>
        <row r="2001">
          <cell r="A2001" t="str">
            <v>A1PSBPRMEC8460</v>
          </cell>
          <cell r="B2001" t="str">
            <v>Not Started</v>
          </cell>
          <cell r="C2001">
            <v>0</v>
          </cell>
          <cell r="D2001">
            <v>0</v>
          </cell>
        </row>
        <row r="2002">
          <cell r="A2002" t="str">
            <v>A1PSBPRMEC8480</v>
          </cell>
          <cell r="B2002" t="str">
            <v>Not Started</v>
          </cell>
          <cell r="C2002">
            <v>0</v>
          </cell>
          <cell r="D2002">
            <v>0</v>
          </cell>
        </row>
        <row r="2003">
          <cell r="A2003" t="str">
            <v>A1PSBPRMEC8500</v>
          </cell>
          <cell r="B2003" t="str">
            <v>Not Started</v>
          </cell>
          <cell r="C2003">
            <v>0</v>
          </cell>
          <cell r="D2003">
            <v>0</v>
          </cell>
        </row>
        <row r="2004">
          <cell r="A2004" t="str">
            <v>A1PSBPRMEC8520</v>
          </cell>
          <cell r="B2004" t="str">
            <v>Not Started</v>
          </cell>
          <cell r="C2004">
            <v>0</v>
          </cell>
          <cell r="D2004">
            <v>0</v>
          </cell>
        </row>
        <row r="2005">
          <cell r="A2005" t="str">
            <v>A1PSBPRMEC8540</v>
          </cell>
          <cell r="B2005" t="str">
            <v>Not Started</v>
          </cell>
          <cell r="C2005">
            <v>0</v>
          </cell>
          <cell r="D2005">
            <v>0</v>
          </cell>
        </row>
        <row r="2006">
          <cell r="A2006" t="str">
            <v>A1PSBPRMEC8560</v>
          </cell>
          <cell r="B2006" t="str">
            <v>Not Started</v>
          </cell>
          <cell r="C2006">
            <v>0</v>
          </cell>
          <cell r="D2006">
            <v>0</v>
          </cell>
        </row>
        <row r="2007">
          <cell r="A2007" t="str">
            <v>A1PSBPRMEC8580</v>
          </cell>
          <cell r="B2007" t="str">
            <v>Not Started</v>
          </cell>
          <cell r="C2007">
            <v>0</v>
          </cell>
          <cell r="D2007">
            <v>0</v>
          </cell>
        </row>
        <row r="2008">
          <cell r="A2008" t="str">
            <v>A1PSBPRMEC8600</v>
          </cell>
          <cell r="B2008" t="str">
            <v>Not Started</v>
          </cell>
          <cell r="C2008">
            <v>0</v>
          </cell>
          <cell r="D2008">
            <v>0</v>
          </cell>
        </row>
        <row r="2009">
          <cell r="A2009" t="str">
            <v>A2GSFCOCIV1000</v>
          </cell>
          <cell r="B2009" t="str">
            <v>Not Started</v>
          </cell>
          <cell r="C2009">
            <v>1</v>
          </cell>
          <cell r="D2009">
            <v>0</v>
          </cell>
        </row>
        <row r="2010">
          <cell r="A2010" t="str">
            <v>A2GSFCOCIV1010</v>
          </cell>
          <cell r="B2010" t="str">
            <v>Not Started</v>
          </cell>
          <cell r="C2010">
            <v>0.48799999999999999</v>
          </cell>
          <cell r="D2010">
            <v>0</v>
          </cell>
        </row>
        <row r="2011">
          <cell r="A2011" t="str">
            <v>A2GSFCOCIV1020</v>
          </cell>
          <cell r="B2011" t="str">
            <v>Not Started</v>
          </cell>
          <cell r="C2011">
            <v>0</v>
          </cell>
          <cell r="D2011">
            <v>0</v>
          </cell>
        </row>
        <row r="2012">
          <cell r="A2012" t="str">
            <v>A2GSFCOCIV1030</v>
          </cell>
          <cell r="B2012" t="str">
            <v>Not Started</v>
          </cell>
          <cell r="C2012">
            <v>0</v>
          </cell>
          <cell r="D2012">
            <v>0</v>
          </cell>
        </row>
        <row r="2013">
          <cell r="A2013" t="str">
            <v>A2GSFCOCIV1040</v>
          </cell>
          <cell r="B2013" t="str">
            <v>Not Started</v>
          </cell>
          <cell r="C2013">
            <v>0</v>
          </cell>
          <cell r="D2013">
            <v>0</v>
          </cell>
        </row>
        <row r="2014">
          <cell r="A2014" t="str">
            <v>A2GSFCOCIV1050</v>
          </cell>
          <cell r="B2014" t="str">
            <v>Not Started</v>
          </cell>
          <cell r="C2014">
            <v>0</v>
          </cell>
          <cell r="D2014">
            <v>0</v>
          </cell>
        </row>
        <row r="2015">
          <cell r="A2015" t="str">
            <v>A2GSFCOCIV1060</v>
          </cell>
          <cell r="B2015" t="str">
            <v>Not Started</v>
          </cell>
          <cell r="C2015">
            <v>0</v>
          </cell>
          <cell r="D2015">
            <v>0</v>
          </cell>
        </row>
        <row r="2016">
          <cell r="A2016" t="str">
            <v>A2GSFCOCIV1070</v>
          </cell>
          <cell r="B2016" t="str">
            <v>Not Started</v>
          </cell>
          <cell r="C2016">
            <v>0</v>
          </cell>
          <cell r="D2016">
            <v>0</v>
          </cell>
        </row>
        <row r="2017">
          <cell r="A2017" t="str">
            <v>A2GSFCOCIV1080</v>
          </cell>
          <cell r="B2017" t="str">
            <v>Not Started</v>
          </cell>
          <cell r="C2017">
            <v>0</v>
          </cell>
          <cell r="D2017">
            <v>0</v>
          </cell>
        </row>
        <row r="2018">
          <cell r="A2018" t="str">
            <v>A2GSFCOCIV1090</v>
          </cell>
          <cell r="B2018" t="str">
            <v>Not Started</v>
          </cell>
          <cell r="C2018">
            <v>0</v>
          </cell>
          <cell r="D2018">
            <v>0</v>
          </cell>
        </row>
        <row r="2019">
          <cell r="A2019" t="str">
            <v>A2GSFCOCIV1100</v>
          </cell>
          <cell r="B2019" t="str">
            <v>Not Started</v>
          </cell>
          <cell r="C2019">
            <v>0</v>
          </cell>
          <cell r="D2019">
            <v>0</v>
          </cell>
        </row>
        <row r="2020">
          <cell r="A2020" t="str">
            <v>A2GSFCOCIV1110</v>
          </cell>
          <cell r="B2020" t="str">
            <v>Not Started</v>
          </cell>
          <cell r="C2020">
            <v>0</v>
          </cell>
          <cell r="D2020">
            <v>0</v>
          </cell>
        </row>
        <row r="2021">
          <cell r="A2021" t="str">
            <v>A2GSFCOCIV1120</v>
          </cell>
          <cell r="B2021" t="str">
            <v>Not Started</v>
          </cell>
          <cell r="C2021">
            <v>0</v>
          </cell>
          <cell r="D2021">
            <v>0</v>
          </cell>
        </row>
        <row r="2022">
          <cell r="A2022" t="str">
            <v>A2GSFCOCIV1130</v>
          </cell>
          <cell r="B2022" t="str">
            <v>Not Started</v>
          </cell>
          <cell r="C2022">
            <v>0</v>
          </cell>
          <cell r="D2022">
            <v>0</v>
          </cell>
        </row>
        <row r="2023">
          <cell r="A2023" t="str">
            <v>A2GSFCOCIV1140</v>
          </cell>
          <cell r="B2023" t="str">
            <v>Not Started</v>
          </cell>
          <cell r="C2023">
            <v>0</v>
          </cell>
          <cell r="D2023">
            <v>0</v>
          </cell>
        </row>
        <row r="2024">
          <cell r="A2024" t="str">
            <v>A2GSFCOCIV1150</v>
          </cell>
          <cell r="B2024" t="str">
            <v>Not Started</v>
          </cell>
          <cell r="C2024">
            <v>0</v>
          </cell>
          <cell r="D2024">
            <v>0</v>
          </cell>
        </row>
        <row r="2025">
          <cell r="A2025" t="str">
            <v>A2GSFCOCIV1160</v>
          </cell>
          <cell r="B2025" t="str">
            <v>Not Started</v>
          </cell>
          <cell r="C2025">
            <v>0</v>
          </cell>
          <cell r="D2025">
            <v>0</v>
          </cell>
        </row>
        <row r="2026">
          <cell r="A2026" t="str">
            <v>A2GSFCOCIV1170</v>
          </cell>
          <cell r="B2026" t="str">
            <v>Not Started</v>
          </cell>
          <cell r="C2026">
            <v>0</v>
          </cell>
          <cell r="D2026">
            <v>0</v>
          </cell>
        </row>
        <row r="2027">
          <cell r="A2027" t="str">
            <v>A2GSFCOCIV1180</v>
          </cell>
          <cell r="B2027" t="str">
            <v>Not Started</v>
          </cell>
          <cell r="C2027">
            <v>0</v>
          </cell>
          <cell r="D2027">
            <v>0</v>
          </cell>
        </row>
        <row r="2028">
          <cell r="A2028" t="str">
            <v>A2GSFCOCIV1190</v>
          </cell>
          <cell r="B2028" t="str">
            <v>Not Started</v>
          </cell>
          <cell r="C2028">
            <v>0</v>
          </cell>
          <cell r="D2028">
            <v>0</v>
          </cell>
        </row>
        <row r="2029">
          <cell r="A2029" t="str">
            <v>A2GSFCOCIV1200</v>
          </cell>
          <cell r="B2029" t="str">
            <v>Completed</v>
          </cell>
          <cell r="C2029">
            <v>1</v>
          </cell>
          <cell r="D2029">
            <v>1</v>
          </cell>
        </row>
        <row r="2030">
          <cell r="A2030" t="str">
            <v>A2GSFCOCIV1210</v>
          </cell>
          <cell r="B2030" t="str">
            <v>Completed</v>
          </cell>
          <cell r="C2030">
            <v>1</v>
          </cell>
          <cell r="D2030">
            <v>1</v>
          </cell>
        </row>
        <row r="2031">
          <cell r="A2031" t="str">
            <v>A2GSFCOCIV1220</v>
          </cell>
          <cell r="B2031" t="str">
            <v>Not Started</v>
          </cell>
          <cell r="C2031">
            <v>0</v>
          </cell>
          <cell r="D2031">
            <v>0</v>
          </cell>
        </row>
        <row r="2032">
          <cell r="A2032" t="str">
            <v>A2GSFCOCIV1230</v>
          </cell>
          <cell r="B2032" t="str">
            <v>Not Started</v>
          </cell>
          <cell r="C2032">
            <v>1</v>
          </cell>
          <cell r="D2032">
            <v>0</v>
          </cell>
        </row>
        <row r="2033">
          <cell r="A2033" t="str">
            <v>A2GSFCOCIV1240</v>
          </cell>
          <cell r="B2033" t="str">
            <v>Completed</v>
          </cell>
          <cell r="C2033">
            <v>1</v>
          </cell>
          <cell r="D2033">
            <v>1</v>
          </cell>
        </row>
        <row r="2034">
          <cell r="A2034" t="str">
            <v>A2GSFCOCIV1250</v>
          </cell>
          <cell r="B2034" t="str">
            <v>Not Started</v>
          </cell>
          <cell r="C2034">
            <v>0</v>
          </cell>
          <cell r="D2034">
            <v>0</v>
          </cell>
        </row>
        <row r="2035">
          <cell r="A2035" t="str">
            <v>A2GSFCOCIV1260</v>
          </cell>
          <cell r="B2035" t="str">
            <v>Not Started</v>
          </cell>
          <cell r="C2035">
            <v>0</v>
          </cell>
          <cell r="D2035">
            <v>0</v>
          </cell>
        </row>
        <row r="2036">
          <cell r="A2036" t="str">
            <v>A2GSFCOCIV1270</v>
          </cell>
          <cell r="B2036" t="str">
            <v>In Progress</v>
          </cell>
          <cell r="C2036">
            <v>1</v>
          </cell>
          <cell r="D2036">
            <v>0.8</v>
          </cell>
        </row>
        <row r="2037">
          <cell r="A2037" t="str">
            <v>A2GSFCOCIV1280</v>
          </cell>
          <cell r="B2037" t="str">
            <v>Not Started</v>
          </cell>
          <cell r="C2037">
            <v>0</v>
          </cell>
          <cell r="D2037">
            <v>0</v>
          </cell>
        </row>
        <row r="2038">
          <cell r="A2038" t="str">
            <v>A2GSFCOCIV1290</v>
          </cell>
          <cell r="B2038" t="str">
            <v>Not Started</v>
          </cell>
          <cell r="C2038">
            <v>1</v>
          </cell>
          <cell r="D2038">
            <v>0</v>
          </cell>
        </row>
        <row r="2039">
          <cell r="A2039" t="str">
            <v>A2GSFCOCIV1300</v>
          </cell>
          <cell r="B2039" t="str">
            <v>Not Started</v>
          </cell>
          <cell r="C2039">
            <v>0</v>
          </cell>
          <cell r="D2039">
            <v>0</v>
          </cell>
        </row>
        <row r="2040">
          <cell r="A2040" t="str">
            <v>A2GSFCOCIV1310</v>
          </cell>
          <cell r="B2040" t="str">
            <v>Not Started</v>
          </cell>
          <cell r="C2040">
            <v>0.85</v>
          </cell>
          <cell r="D2040">
            <v>0</v>
          </cell>
        </row>
        <row r="2041">
          <cell r="A2041" t="str">
            <v>A2GSFCOCIV1320</v>
          </cell>
          <cell r="B2041" t="str">
            <v>Not Started</v>
          </cell>
          <cell r="C2041">
            <v>0</v>
          </cell>
          <cell r="D2041">
            <v>0</v>
          </cell>
        </row>
        <row r="2042">
          <cell r="A2042" t="str">
            <v>A2GSFCOCIV1330</v>
          </cell>
          <cell r="B2042" t="str">
            <v>Not Started</v>
          </cell>
          <cell r="C2042">
            <v>0</v>
          </cell>
          <cell r="D2042">
            <v>0</v>
          </cell>
        </row>
        <row r="2043">
          <cell r="A2043" t="str">
            <v>A2GSFCOCIV1340</v>
          </cell>
          <cell r="B2043" t="str">
            <v>Not Started</v>
          </cell>
          <cell r="C2043">
            <v>0.33329999999999999</v>
          </cell>
          <cell r="D2043">
            <v>0</v>
          </cell>
        </row>
        <row r="2044">
          <cell r="A2044" t="str">
            <v>A2GSFCOCIV1350</v>
          </cell>
          <cell r="B2044" t="str">
            <v>Not Started</v>
          </cell>
          <cell r="C2044">
            <v>0</v>
          </cell>
          <cell r="D2044">
            <v>0</v>
          </cell>
        </row>
        <row r="2045">
          <cell r="A2045" t="str">
            <v>A2GSFCOCIV1360</v>
          </cell>
          <cell r="B2045" t="str">
            <v>Not Started</v>
          </cell>
          <cell r="C2045">
            <v>0</v>
          </cell>
          <cell r="D2045">
            <v>0</v>
          </cell>
        </row>
        <row r="2046">
          <cell r="A2046" t="str">
            <v>A2GSFCOCIV1370</v>
          </cell>
          <cell r="B2046" t="str">
            <v>Not Started</v>
          </cell>
          <cell r="C2046">
            <v>0</v>
          </cell>
          <cell r="D2046">
            <v>0</v>
          </cell>
        </row>
        <row r="2047">
          <cell r="A2047" t="str">
            <v>A2GSFCOCIV1380</v>
          </cell>
          <cell r="B2047" t="str">
            <v>Not Started</v>
          </cell>
          <cell r="C2047">
            <v>0</v>
          </cell>
          <cell r="D2047">
            <v>0</v>
          </cell>
        </row>
        <row r="2048">
          <cell r="A2048" t="str">
            <v>A2GSFCOCIV1390</v>
          </cell>
          <cell r="B2048" t="str">
            <v>Not Started</v>
          </cell>
          <cell r="C2048">
            <v>0</v>
          </cell>
          <cell r="D2048">
            <v>0</v>
          </cell>
        </row>
        <row r="2049">
          <cell r="A2049" t="str">
            <v>A2GSFCOCIV1400</v>
          </cell>
          <cell r="B2049" t="str">
            <v>Not Started</v>
          </cell>
          <cell r="C2049">
            <v>0</v>
          </cell>
          <cell r="D2049">
            <v>0</v>
          </cell>
        </row>
        <row r="2050">
          <cell r="A2050" t="str">
            <v>A2GSFCOCIV1410</v>
          </cell>
          <cell r="B2050" t="str">
            <v>Not Started</v>
          </cell>
          <cell r="C2050">
            <v>0</v>
          </cell>
          <cell r="D2050">
            <v>0</v>
          </cell>
        </row>
        <row r="2051">
          <cell r="A2051" t="str">
            <v>A2GSFCOCIV1420</v>
          </cell>
          <cell r="B2051" t="str">
            <v>Not Started</v>
          </cell>
          <cell r="C2051">
            <v>0</v>
          </cell>
          <cell r="D2051">
            <v>0</v>
          </cell>
        </row>
        <row r="2052">
          <cell r="A2052" t="str">
            <v>A2GSFCOCIV1430</v>
          </cell>
          <cell r="B2052" t="str">
            <v>Not Started</v>
          </cell>
          <cell r="C2052">
            <v>0</v>
          </cell>
          <cell r="D2052">
            <v>0</v>
          </cell>
        </row>
        <row r="2053">
          <cell r="A2053" t="str">
            <v>A2GSFCOCIV1440</v>
          </cell>
          <cell r="B2053" t="str">
            <v>Not Started</v>
          </cell>
          <cell r="C2053">
            <v>0</v>
          </cell>
          <cell r="D2053">
            <v>0</v>
          </cell>
        </row>
        <row r="2054">
          <cell r="A2054" t="str">
            <v>A2GSFCOCIV1450</v>
          </cell>
          <cell r="B2054" t="str">
            <v>Not Started</v>
          </cell>
          <cell r="C2054">
            <v>0</v>
          </cell>
          <cell r="D2054">
            <v>0</v>
          </cell>
        </row>
        <row r="2055">
          <cell r="A2055" t="str">
            <v>A2GSFCOCIV1460</v>
          </cell>
          <cell r="B2055" t="str">
            <v>Not Started</v>
          </cell>
          <cell r="C2055">
            <v>0</v>
          </cell>
          <cell r="D2055">
            <v>0</v>
          </cell>
        </row>
        <row r="2056">
          <cell r="A2056" t="str">
            <v>A2GSFCOCIV1470</v>
          </cell>
          <cell r="B2056" t="str">
            <v>Not Started</v>
          </cell>
          <cell r="C2056">
            <v>0</v>
          </cell>
          <cell r="D2056">
            <v>0</v>
          </cell>
        </row>
        <row r="2057">
          <cell r="A2057" t="str">
            <v>A2GSFCOCIV1480</v>
          </cell>
          <cell r="B2057" t="str">
            <v>Not Started</v>
          </cell>
          <cell r="C2057">
            <v>0</v>
          </cell>
          <cell r="D2057">
            <v>0</v>
          </cell>
        </row>
        <row r="2058">
          <cell r="A2058" t="str">
            <v>A2GSFCOCIV1490</v>
          </cell>
          <cell r="B2058" t="str">
            <v>Not Started</v>
          </cell>
          <cell r="C2058">
            <v>0</v>
          </cell>
          <cell r="D2058">
            <v>0</v>
          </cell>
        </row>
        <row r="2059">
          <cell r="A2059" t="str">
            <v>A2GSFCOCIV1500</v>
          </cell>
          <cell r="B2059" t="str">
            <v>Not Started</v>
          </cell>
          <cell r="C2059">
            <v>0</v>
          </cell>
          <cell r="D2059">
            <v>0</v>
          </cell>
        </row>
        <row r="2060">
          <cell r="A2060" t="str">
            <v>A2GSFCOCIV1510</v>
          </cell>
          <cell r="B2060" t="str">
            <v>Not Started</v>
          </cell>
          <cell r="C2060">
            <v>0.32800000000000001</v>
          </cell>
          <cell r="D2060">
            <v>0</v>
          </cell>
        </row>
        <row r="2061">
          <cell r="A2061" t="str">
            <v>A2GSFCOCIV1520</v>
          </cell>
          <cell r="B2061" t="str">
            <v>Not Started</v>
          </cell>
          <cell r="C2061">
            <v>0</v>
          </cell>
          <cell r="D2061">
            <v>0</v>
          </cell>
        </row>
        <row r="2062">
          <cell r="A2062" t="str">
            <v>A2GSFCOCIV1530</v>
          </cell>
          <cell r="B2062" t="str">
            <v>Not Started</v>
          </cell>
          <cell r="C2062">
            <v>0</v>
          </cell>
          <cell r="D2062">
            <v>0</v>
          </cell>
        </row>
        <row r="2063">
          <cell r="A2063" t="str">
            <v>A2GSFCOCIV1540</v>
          </cell>
          <cell r="B2063" t="str">
            <v>Not Started</v>
          </cell>
          <cell r="C2063">
            <v>0</v>
          </cell>
          <cell r="D2063">
            <v>0</v>
          </cell>
        </row>
        <row r="2064">
          <cell r="A2064" t="str">
            <v>A2GSFCOCIV1550</v>
          </cell>
          <cell r="B2064" t="str">
            <v>Not Started</v>
          </cell>
          <cell r="C2064">
            <v>0</v>
          </cell>
          <cell r="D2064">
            <v>0</v>
          </cell>
        </row>
        <row r="2065">
          <cell r="A2065" t="str">
            <v>A2GSFCOCIV1560</v>
          </cell>
          <cell r="B2065" t="str">
            <v>Not Started</v>
          </cell>
          <cell r="C2065">
            <v>0</v>
          </cell>
          <cell r="D2065">
            <v>0</v>
          </cell>
        </row>
        <row r="2066">
          <cell r="A2066" t="str">
            <v>A2GSFCOCIV1570</v>
          </cell>
          <cell r="B2066" t="str">
            <v>Not Started</v>
          </cell>
          <cell r="C2066">
            <v>0</v>
          </cell>
          <cell r="D2066">
            <v>0</v>
          </cell>
        </row>
        <row r="2067">
          <cell r="A2067" t="str">
            <v>A2GSFCOCIV1580</v>
          </cell>
          <cell r="B2067" t="str">
            <v>Not Started</v>
          </cell>
          <cell r="C2067">
            <v>0</v>
          </cell>
          <cell r="D2067">
            <v>0</v>
          </cell>
        </row>
        <row r="2068">
          <cell r="A2068" t="str">
            <v>A2GSFCOCIV1590</v>
          </cell>
          <cell r="B2068" t="str">
            <v>Not Started</v>
          </cell>
          <cell r="C2068">
            <v>0</v>
          </cell>
          <cell r="D2068">
            <v>0</v>
          </cell>
        </row>
        <row r="2069">
          <cell r="A2069" t="str">
            <v>A2GSFCOCIV1600</v>
          </cell>
          <cell r="B2069" t="str">
            <v>Not Started</v>
          </cell>
          <cell r="C2069">
            <v>0</v>
          </cell>
          <cell r="D2069">
            <v>0</v>
          </cell>
        </row>
        <row r="2070">
          <cell r="A2070" t="str">
            <v>A2GSFCOCIV1610</v>
          </cell>
          <cell r="B2070" t="str">
            <v>Not Started</v>
          </cell>
          <cell r="C2070">
            <v>0</v>
          </cell>
          <cell r="D2070">
            <v>0</v>
          </cell>
        </row>
        <row r="2071">
          <cell r="A2071" t="str">
            <v>A2GSFCOCIV1620</v>
          </cell>
          <cell r="B2071" t="str">
            <v>Not Started</v>
          </cell>
          <cell r="C2071">
            <v>0</v>
          </cell>
          <cell r="D2071">
            <v>0</v>
          </cell>
        </row>
        <row r="2072">
          <cell r="A2072" t="str">
            <v>A2GSFCOCIV1630</v>
          </cell>
          <cell r="B2072" t="str">
            <v>Not Started</v>
          </cell>
          <cell r="C2072">
            <v>0</v>
          </cell>
          <cell r="D2072">
            <v>0</v>
          </cell>
        </row>
        <row r="2073">
          <cell r="A2073" t="str">
            <v>A2GSFCOCIV1640</v>
          </cell>
          <cell r="B2073" t="str">
            <v>Not Started</v>
          </cell>
          <cell r="C2073">
            <v>0</v>
          </cell>
          <cell r="D2073">
            <v>0</v>
          </cell>
        </row>
        <row r="2074">
          <cell r="A2074" t="str">
            <v>A2GSFCOCIV1644</v>
          </cell>
          <cell r="B2074" t="str">
            <v>Not Started</v>
          </cell>
          <cell r="C2074">
            <v>0</v>
          </cell>
          <cell r="D2074">
            <v>0</v>
          </cell>
        </row>
        <row r="2075">
          <cell r="A2075" t="str">
            <v>A2GSFCOCIV1648</v>
          </cell>
          <cell r="B2075" t="str">
            <v>Not Started</v>
          </cell>
          <cell r="C2075">
            <v>0</v>
          </cell>
          <cell r="D2075">
            <v>0</v>
          </cell>
        </row>
        <row r="2076">
          <cell r="A2076" t="str">
            <v>A2GSFCOCIV1649</v>
          </cell>
          <cell r="B2076" t="str">
            <v>Not Started</v>
          </cell>
          <cell r="C2076">
            <v>0</v>
          </cell>
          <cell r="D2076">
            <v>0</v>
          </cell>
        </row>
        <row r="2077">
          <cell r="A2077" t="str">
            <v>A2GSFCOCIV2270</v>
          </cell>
          <cell r="B2077" t="str">
            <v>Not Started</v>
          </cell>
          <cell r="C2077">
            <v>0</v>
          </cell>
          <cell r="D2077">
            <v>0</v>
          </cell>
        </row>
        <row r="2078">
          <cell r="A2078" t="str">
            <v>A2GSFCOCIV2280</v>
          </cell>
          <cell r="B2078" t="str">
            <v>Not Started</v>
          </cell>
          <cell r="C2078">
            <v>0</v>
          </cell>
          <cell r="D2078">
            <v>0</v>
          </cell>
        </row>
        <row r="2079">
          <cell r="A2079" t="str">
            <v>A2GSFCOCIV2290</v>
          </cell>
          <cell r="B2079" t="str">
            <v>Not Started</v>
          </cell>
          <cell r="C2079">
            <v>0</v>
          </cell>
          <cell r="D2079">
            <v>0</v>
          </cell>
        </row>
        <row r="2080">
          <cell r="A2080" t="str">
            <v>A2GSFCOCIV2300</v>
          </cell>
          <cell r="B2080" t="str">
            <v>Not Started</v>
          </cell>
          <cell r="C2080">
            <v>0</v>
          </cell>
          <cell r="D2080">
            <v>0</v>
          </cell>
        </row>
        <row r="2081">
          <cell r="A2081" t="str">
            <v>A2GSFCOCIV2310</v>
          </cell>
          <cell r="B2081" t="str">
            <v>Not Started</v>
          </cell>
          <cell r="C2081">
            <v>0</v>
          </cell>
          <cell r="D2081">
            <v>0</v>
          </cell>
        </row>
        <row r="2082">
          <cell r="A2082" t="str">
            <v>A2GSFCOCOM1000</v>
          </cell>
          <cell r="B2082" t="str">
            <v>Not Started</v>
          </cell>
          <cell r="C2082">
            <v>0</v>
          </cell>
          <cell r="D2082">
            <v>0</v>
          </cell>
        </row>
        <row r="2083">
          <cell r="A2083" t="str">
            <v>A2GSFCOCOM1010</v>
          </cell>
          <cell r="B2083" t="str">
            <v>Not Started</v>
          </cell>
          <cell r="C2083">
            <v>0</v>
          </cell>
          <cell r="D2083">
            <v>0</v>
          </cell>
        </row>
        <row r="2084">
          <cell r="A2084" t="str">
            <v>A2GSFCOCOM1020</v>
          </cell>
          <cell r="B2084" t="str">
            <v>Not Started</v>
          </cell>
          <cell r="C2084">
            <v>0</v>
          </cell>
          <cell r="D2084">
            <v>0</v>
          </cell>
        </row>
        <row r="2085">
          <cell r="A2085" t="str">
            <v>A2GSFCOCOM1030</v>
          </cell>
          <cell r="B2085" t="str">
            <v>Not Started</v>
          </cell>
          <cell r="C2085">
            <v>0</v>
          </cell>
          <cell r="D2085">
            <v>0</v>
          </cell>
        </row>
        <row r="2086">
          <cell r="A2086" t="str">
            <v>A2GSFCOCOM1040</v>
          </cell>
          <cell r="B2086" t="str">
            <v>Not Started</v>
          </cell>
          <cell r="C2086">
            <v>0</v>
          </cell>
          <cell r="D2086">
            <v>0</v>
          </cell>
        </row>
        <row r="2087">
          <cell r="A2087" t="str">
            <v>A2GSFCOCOM1050</v>
          </cell>
          <cell r="B2087" t="str">
            <v>Not Started</v>
          </cell>
          <cell r="C2087">
            <v>0</v>
          </cell>
          <cell r="D2087">
            <v>0</v>
          </cell>
        </row>
        <row r="2088">
          <cell r="A2088" t="str">
            <v>A2GSFCOEAR1000</v>
          </cell>
          <cell r="B2088" t="str">
            <v>Completed</v>
          </cell>
          <cell r="C2088">
            <v>1</v>
          </cell>
          <cell r="D2088">
            <v>1</v>
          </cell>
        </row>
        <row r="2089">
          <cell r="A2089" t="str">
            <v>A2GSFCOEAR1010</v>
          </cell>
          <cell r="B2089" t="str">
            <v>Completed</v>
          </cell>
          <cell r="C2089">
            <v>1</v>
          </cell>
          <cell r="D2089">
            <v>1</v>
          </cell>
        </row>
        <row r="2090">
          <cell r="A2090" t="str">
            <v>A2GSFCOEAR1020</v>
          </cell>
          <cell r="B2090" t="str">
            <v>Completed</v>
          </cell>
          <cell r="C2090">
            <v>1</v>
          </cell>
          <cell r="D2090">
            <v>1</v>
          </cell>
        </row>
        <row r="2091">
          <cell r="A2091" t="str">
            <v>A2GSFCOEAR1030</v>
          </cell>
          <cell r="B2091" t="str">
            <v>Not Started</v>
          </cell>
          <cell r="C2091">
            <v>0</v>
          </cell>
          <cell r="D2091">
            <v>0</v>
          </cell>
        </row>
        <row r="2092">
          <cell r="A2092" t="str">
            <v>A2GSFCOEAR1040</v>
          </cell>
          <cell r="B2092" t="str">
            <v>Not Started</v>
          </cell>
          <cell r="C2092">
            <v>0</v>
          </cell>
          <cell r="D2092">
            <v>0</v>
          </cell>
        </row>
        <row r="2093">
          <cell r="A2093" t="str">
            <v>A2GSFCOEAR1050</v>
          </cell>
          <cell r="B2093" t="str">
            <v>Not Started</v>
          </cell>
          <cell r="C2093">
            <v>0</v>
          </cell>
          <cell r="D2093">
            <v>0</v>
          </cell>
        </row>
        <row r="2094">
          <cell r="A2094" t="str">
            <v>A2GSFCOEAR1060</v>
          </cell>
          <cell r="B2094" t="str">
            <v>Not Started</v>
          </cell>
          <cell r="C2094">
            <v>0</v>
          </cell>
          <cell r="D2094">
            <v>0</v>
          </cell>
        </row>
        <row r="2095">
          <cell r="A2095" t="str">
            <v>A2GSFCOEAR1070</v>
          </cell>
          <cell r="B2095" t="str">
            <v>Not Started</v>
          </cell>
          <cell r="C2095">
            <v>0</v>
          </cell>
          <cell r="D2095">
            <v>0</v>
          </cell>
        </row>
        <row r="2096">
          <cell r="A2096" t="str">
            <v>A2GSFCOEAR1080</v>
          </cell>
          <cell r="B2096" t="str">
            <v>Not Started</v>
          </cell>
          <cell r="C2096">
            <v>0</v>
          </cell>
          <cell r="D2096">
            <v>0</v>
          </cell>
        </row>
        <row r="2097">
          <cell r="A2097" t="str">
            <v>A2GSFCOEAR1090</v>
          </cell>
          <cell r="B2097" t="str">
            <v>Not Started</v>
          </cell>
          <cell r="C2097">
            <v>0</v>
          </cell>
          <cell r="D2097">
            <v>0</v>
          </cell>
        </row>
        <row r="2098">
          <cell r="A2098" t="str">
            <v>A2GSFCOEAR1100</v>
          </cell>
          <cell r="B2098" t="str">
            <v>Completed</v>
          </cell>
          <cell r="C2098">
            <v>1</v>
          </cell>
          <cell r="D2098">
            <v>1</v>
          </cell>
        </row>
        <row r="2099">
          <cell r="A2099" t="str">
            <v>A2GSFCOEAR1110</v>
          </cell>
          <cell r="B2099" t="str">
            <v>Not Started</v>
          </cell>
          <cell r="C2099">
            <v>0</v>
          </cell>
          <cell r="D2099">
            <v>0</v>
          </cell>
        </row>
        <row r="2100">
          <cell r="A2100" t="str">
            <v>A2GSFCOEAR1120</v>
          </cell>
          <cell r="B2100" t="str">
            <v>Not Started</v>
          </cell>
          <cell r="C2100">
            <v>0</v>
          </cell>
          <cell r="D2100">
            <v>0</v>
          </cell>
        </row>
        <row r="2101">
          <cell r="A2101" t="str">
            <v>A2GSFCOEAR1130</v>
          </cell>
          <cell r="B2101" t="str">
            <v>In Progress</v>
          </cell>
          <cell r="C2101">
            <v>1</v>
          </cell>
          <cell r="D2101">
            <v>0.8</v>
          </cell>
        </row>
        <row r="2102">
          <cell r="A2102" t="str">
            <v>A2GSFCOEAR1200</v>
          </cell>
          <cell r="B2102" t="str">
            <v>Not Started</v>
          </cell>
          <cell r="C2102">
            <v>0.15</v>
          </cell>
          <cell r="D2102">
            <v>0</v>
          </cell>
        </row>
        <row r="2103">
          <cell r="A2103" t="str">
            <v>A2GSFCOELE1000</v>
          </cell>
          <cell r="B2103" t="str">
            <v>Not Started</v>
          </cell>
          <cell r="C2103">
            <v>0</v>
          </cell>
          <cell r="D2103">
            <v>0</v>
          </cell>
        </row>
        <row r="2104">
          <cell r="A2104" t="str">
            <v>A2GSFCOELE1010</v>
          </cell>
          <cell r="B2104" t="str">
            <v>Not Started</v>
          </cell>
          <cell r="C2104">
            <v>0</v>
          </cell>
          <cell r="D2104">
            <v>0</v>
          </cell>
        </row>
        <row r="2105">
          <cell r="A2105" t="str">
            <v>A2GSFCOELE1020</v>
          </cell>
          <cell r="B2105" t="str">
            <v>Not Started</v>
          </cell>
          <cell r="C2105">
            <v>0</v>
          </cell>
          <cell r="D2105">
            <v>0</v>
          </cell>
        </row>
        <row r="2106">
          <cell r="A2106" t="str">
            <v>A2GSFCOELE1030</v>
          </cell>
          <cell r="B2106" t="str">
            <v>Not Started</v>
          </cell>
          <cell r="C2106">
            <v>0</v>
          </cell>
          <cell r="D2106">
            <v>0</v>
          </cell>
        </row>
        <row r="2107">
          <cell r="A2107" t="str">
            <v>A2GSFCOELE1040</v>
          </cell>
          <cell r="B2107" t="str">
            <v>Not Started</v>
          </cell>
          <cell r="C2107">
            <v>0</v>
          </cell>
          <cell r="D2107">
            <v>0</v>
          </cell>
        </row>
        <row r="2108">
          <cell r="A2108" t="str">
            <v>A2GSFCOELE1050</v>
          </cell>
          <cell r="B2108" t="str">
            <v>Not Started</v>
          </cell>
          <cell r="C2108">
            <v>0</v>
          </cell>
          <cell r="D2108">
            <v>0</v>
          </cell>
        </row>
        <row r="2109">
          <cell r="A2109" t="str">
            <v>A2GSFCOELE1060</v>
          </cell>
          <cell r="B2109" t="str">
            <v>Not Started</v>
          </cell>
          <cell r="C2109">
            <v>0</v>
          </cell>
          <cell r="D2109">
            <v>0</v>
          </cell>
        </row>
        <row r="2110">
          <cell r="A2110" t="str">
            <v>A2GSFCOELE1070</v>
          </cell>
          <cell r="B2110" t="str">
            <v>Not Started</v>
          </cell>
          <cell r="C2110">
            <v>0</v>
          </cell>
          <cell r="D2110">
            <v>0</v>
          </cell>
        </row>
        <row r="2111">
          <cell r="A2111" t="str">
            <v>A2GSFCOELE1080</v>
          </cell>
          <cell r="B2111" t="str">
            <v>Not Started</v>
          </cell>
          <cell r="C2111">
            <v>0</v>
          </cell>
          <cell r="D2111">
            <v>0</v>
          </cell>
        </row>
        <row r="2112">
          <cell r="A2112" t="str">
            <v>A2GSFCOELE1090</v>
          </cell>
          <cell r="B2112" t="str">
            <v>Not Started</v>
          </cell>
          <cell r="C2112">
            <v>0</v>
          </cell>
          <cell r="D2112">
            <v>0</v>
          </cell>
        </row>
        <row r="2113">
          <cell r="A2113" t="str">
            <v>A2GSFCOELE1100</v>
          </cell>
          <cell r="B2113" t="str">
            <v>Not Started</v>
          </cell>
          <cell r="C2113">
            <v>0</v>
          </cell>
          <cell r="D2113">
            <v>0</v>
          </cell>
        </row>
        <row r="2114">
          <cell r="A2114" t="str">
            <v>A2GSFCOELE1110</v>
          </cell>
          <cell r="B2114" t="str">
            <v>Not Started</v>
          </cell>
          <cell r="C2114">
            <v>0</v>
          </cell>
          <cell r="D2114">
            <v>0</v>
          </cell>
        </row>
        <row r="2115">
          <cell r="A2115" t="str">
            <v>A2GSFCOELE1120</v>
          </cell>
          <cell r="B2115" t="str">
            <v>Not Started</v>
          </cell>
          <cell r="C2115">
            <v>0</v>
          </cell>
          <cell r="D2115">
            <v>0</v>
          </cell>
        </row>
        <row r="2116">
          <cell r="A2116" t="str">
            <v>A2GSFCOELE1130</v>
          </cell>
          <cell r="B2116" t="str">
            <v>Not Started</v>
          </cell>
          <cell r="C2116">
            <v>0</v>
          </cell>
          <cell r="D2116">
            <v>0</v>
          </cell>
        </row>
        <row r="2117">
          <cell r="A2117" t="str">
            <v>A2GSFCOELE1140</v>
          </cell>
          <cell r="B2117" t="str">
            <v>Not Started</v>
          </cell>
          <cell r="C2117">
            <v>0</v>
          </cell>
          <cell r="D2117">
            <v>0</v>
          </cell>
        </row>
        <row r="2118">
          <cell r="A2118" t="str">
            <v>A2GSFCOELE1150</v>
          </cell>
          <cell r="B2118" t="str">
            <v>Not Started</v>
          </cell>
          <cell r="C2118">
            <v>0</v>
          </cell>
          <cell r="D2118">
            <v>0</v>
          </cell>
        </row>
        <row r="2119">
          <cell r="A2119" t="str">
            <v>A2GSFCOELE1160</v>
          </cell>
          <cell r="B2119" t="str">
            <v>Not Started</v>
          </cell>
          <cell r="C2119">
            <v>0</v>
          </cell>
          <cell r="D2119">
            <v>0</v>
          </cell>
        </row>
        <row r="2120">
          <cell r="A2120" t="str">
            <v>A2GSFCOELE2111</v>
          </cell>
          <cell r="B2120" t="str">
            <v>Not Started</v>
          </cell>
          <cell r="C2120">
            <v>0</v>
          </cell>
          <cell r="D2120">
            <v>0</v>
          </cell>
        </row>
        <row r="2121">
          <cell r="A2121" t="str">
            <v>A2GSFCOELE2112</v>
          </cell>
          <cell r="B2121" t="str">
            <v>Not Started</v>
          </cell>
          <cell r="C2121">
            <v>0</v>
          </cell>
          <cell r="D2121">
            <v>0</v>
          </cell>
        </row>
        <row r="2122">
          <cell r="A2122" t="str">
            <v>A2GSFCOELE2113</v>
          </cell>
          <cell r="B2122" t="str">
            <v>Not Started</v>
          </cell>
          <cell r="C2122">
            <v>0</v>
          </cell>
          <cell r="D2122">
            <v>0</v>
          </cell>
        </row>
        <row r="2123">
          <cell r="A2123" t="str">
            <v>A2GSFCOINS1000</v>
          </cell>
          <cell r="B2123" t="str">
            <v>Not Started</v>
          </cell>
          <cell r="C2123">
            <v>0</v>
          </cell>
          <cell r="D2123">
            <v>0</v>
          </cell>
        </row>
        <row r="2124">
          <cell r="A2124" t="str">
            <v>A2GSFCOINS1010</v>
          </cell>
          <cell r="B2124" t="str">
            <v>Not Started</v>
          </cell>
          <cell r="C2124">
            <v>0</v>
          </cell>
          <cell r="D2124">
            <v>0</v>
          </cell>
        </row>
        <row r="2125">
          <cell r="A2125" t="str">
            <v>A2GSFCOINS1020</v>
          </cell>
          <cell r="B2125" t="str">
            <v>Not Started</v>
          </cell>
          <cell r="C2125">
            <v>0</v>
          </cell>
          <cell r="D2125">
            <v>0</v>
          </cell>
        </row>
        <row r="2126">
          <cell r="A2126" t="str">
            <v>A2GSFCOINS1031</v>
          </cell>
          <cell r="B2126" t="str">
            <v>Not Started</v>
          </cell>
          <cell r="C2126">
            <v>0</v>
          </cell>
          <cell r="D2126">
            <v>0</v>
          </cell>
        </row>
        <row r="2127">
          <cell r="A2127" t="str">
            <v>A2GSFCOINS2300</v>
          </cell>
          <cell r="B2127" t="str">
            <v>Not Started</v>
          </cell>
          <cell r="C2127">
            <v>0</v>
          </cell>
          <cell r="D2127">
            <v>0</v>
          </cell>
        </row>
        <row r="2128">
          <cell r="A2128" t="str">
            <v>A2GSFCOINS2310</v>
          </cell>
          <cell r="B2128" t="str">
            <v>Not Started</v>
          </cell>
          <cell r="C2128">
            <v>0</v>
          </cell>
          <cell r="D2128">
            <v>0</v>
          </cell>
        </row>
        <row r="2129">
          <cell r="A2129" t="str">
            <v>A2GSFCOINS2320</v>
          </cell>
          <cell r="B2129" t="str">
            <v>Not Started</v>
          </cell>
          <cell r="C2129">
            <v>0</v>
          </cell>
          <cell r="D2129">
            <v>0</v>
          </cell>
        </row>
        <row r="2130">
          <cell r="A2130" t="str">
            <v>A2GSFCOINS2330</v>
          </cell>
          <cell r="B2130" t="str">
            <v>Not Started</v>
          </cell>
          <cell r="C2130">
            <v>0</v>
          </cell>
          <cell r="D2130">
            <v>0</v>
          </cell>
        </row>
        <row r="2131">
          <cell r="A2131" t="str">
            <v>A2GSFCOINS2340</v>
          </cell>
          <cell r="B2131" t="str">
            <v>Not Started</v>
          </cell>
          <cell r="C2131">
            <v>0</v>
          </cell>
          <cell r="D2131">
            <v>0</v>
          </cell>
        </row>
        <row r="2132">
          <cell r="A2132" t="str">
            <v>A2GSFCOINS2350</v>
          </cell>
          <cell r="B2132" t="str">
            <v>Not Started</v>
          </cell>
          <cell r="C2132">
            <v>0</v>
          </cell>
          <cell r="D2132">
            <v>0</v>
          </cell>
        </row>
        <row r="2133">
          <cell r="A2133" t="str">
            <v>A2GSFCOLAN1000</v>
          </cell>
          <cell r="B2133" t="str">
            <v>Not Started</v>
          </cell>
          <cell r="C2133">
            <v>0</v>
          </cell>
          <cell r="D2133">
            <v>0</v>
          </cell>
        </row>
        <row r="2134">
          <cell r="A2134" t="str">
            <v>A2GSFCOLAN1010</v>
          </cell>
          <cell r="B2134" t="str">
            <v>Not Started</v>
          </cell>
          <cell r="C2134">
            <v>0</v>
          </cell>
          <cell r="D2134">
            <v>0</v>
          </cell>
        </row>
        <row r="2135">
          <cell r="A2135" t="str">
            <v>A2GSFCOLAN1020</v>
          </cell>
          <cell r="B2135" t="str">
            <v>Not Started</v>
          </cell>
          <cell r="C2135">
            <v>0</v>
          </cell>
          <cell r="D2135">
            <v>0</v>
          </cell>
        </row>
        <row r="2136">
          <cell r="A2136" t="str">
            <v>A2GSFCOLAN1030</v>
          </cell>
          <cell r="B2136" t="str">
            <v>Not Started</v>
          </cell>
          <cell r="C2136">
            <v>0</v>
          </cell>
          <cell r="D2136">
            <v>0</v>
          </cell>
        </row>
        <row r="2137">
          <cell r="A2137" t="str">
            <v>A2GSFCOLAN1040</v>
          </cell>
          <cell r="B2137" t="str">
            <v>Not Started</v>
          </cell>
          <cell r="C2137">
            <v>0</v>
          </cell>
          <cell r="D2137">
            <v>0</v>
          </cell>
        </row>
        <row r="2138">
          <cell r="A2138" t="str">
            <v>A2GSFCOLAN1050</v>
          </cell>
          <cell r="B2138" t="str">
            <v>Not Started</v>
          </cell>
          <cell r="C2138">
            <v>0</v>
          </cell>
          <cell r="D2138">
            <v>0</v>
          </cell>
        </row>
        <row r="2139">
          <cell r="A2139" t="str">
            <v>A2GSFCOLAN1060</v>
          </cell>
          <cell r="B2139" t="str">
            <v>Not Started</v>
          </cell>
          <cell r="C2139">
            <v>0</v>
          </cell>
          <cell r="D2139">
            <v>0</v>
          </cell>
        </row>
        <row r="2140">
          <cell r="A2140" t="str">
            <v>A2GSFCOLAN1070</v>
          </cell>
          <cell r="B2140" t="str">
            <v>Not Started</v>
          </cell>
          <cell r="C2140">
            <v>0</v>
          </cell>
          <cell r="D2140">
            <v>0</v>
          </cell>
        </row>
        <row r="2141">
          <cell r="A2141" t="str">
            <v>A2GSFCOLAN1080</v>
          </cell>
          <cell r="B2141" t="str">
            <v>Not Started</v>
          </cell>
          <cell r="C2141">
            <v>0</v>
          </cell>
          <cell r="D2141">
            <v>0</v>
          </cell>
        </row>
        <row r="2142">
          <cell r="A2142" t="str">
            <v>A2GSFCOLAN1090</v>
          </cell>
          <cell r="B2142" t="str">
            <v>Not Started</v>
          </cell>
          <cell r="C2142">
            <v>0</v>
          </cell>
          <cell r="D2142">
            <v>0</v>
          </cell>
        </row>
        <row r="2143">
          <cell r="A2143" t="str">
            <v>A2GSFCOLAN1100</v>
          </cell>
          <cell r="B2143" t="str">
            <v>Not Started</v>
          </cell>
          <cell r="C2143">
            <v>0</v>
          </cell>
          <cell r="D2143">
            <v>0</v>
          </cell>
        </row>
        <row r="2144">
          <cell r="A2144" t="str">
            <v>A2GSFCOMEC1000</v>
          </cell>
          <cell r="B2144" t="str">
            <v>Not Started</v>
          </cell>
          <cell r="C2144">
            <v>0</v>
          </cell>
          <cell r="D2144">
            <v>0</v>
          </cell>
        </row>
        <row r="2145">
          <cell r="A2145" t="str">
            <v>A2GSFCOMEC1010</v>
          </cell>
          <cell r="B2145" t="str">
            <v>Not Started</v>
          </cell>
          <cell r="C2145">
            <v>0</v>
          </cell>
          <cell r="D2145">
            <v>0</v>
          </cell>
        </row>
        <row r="2146">
          <cell r="A2146" t="str">
            <v>A2GSFCOMEC1020</v>
          </cell>
          <cell r="B2146" t="str">
            <v>Not Started</v>
          </cell>
          <cell r="C2146">
            <v>0</v>
          </cell>
          <cell r="D2146">
            <v>0</v>
          </cell>
        </row>
        <row r="2147">
          <cell r="A2147" t="str">
            <v>A2GSFCOMEC1030</v>
          </cell>
          <cell r="B2147" t="str">
            <v>Not Started</v>
          </cell>
          <cell r="C2147">
            <v>0</v>
          </cell>
          <cell r="D2147">
            <v>0</v>
          </cell>
        </row>
        <row r="2148">
          <cell r="A2148" t="str">
            <v>A2GSFCOMEC1040</v>
          </cell>
          <cell r="B2148" t="str">
            <v>Not Started</v>
          </cell>
          <cell r="C2148">
            <v>0</v>
          </cell>
          <cell r="D2148">
            <v>0</v>
          </cell>
        </row>
        <row r="2149">
          <cell r="A2149" t="str">
            <v>A2GSFCOMEC1050</v>
          </cell>
          <cell r="B2149" t="str">
            <v>Not Started</v>
          </cell>
          <cell r="C2149">
            <v>0</v>
          </cell>
          <cell r="D2149">
            <v>0</v>
          </cell>
        </row>
        <row r="2150">
          <cell r="A2150" t="str">
            <v>A2GSFCOMEC1060</v>
          </cell>
          <cell r="B2150" t="str">
            <v>Not Started</v>
          </cell>
          <cell r="C2150">
            <v>0</v>
          </cell>
          <cell r="D2150">
            <v>0</v>
          </cell>
        </row>
        <row r="2151">
          <cell r="A2151" t="str">
            <v>A2GSFCOMEC1070</v>
          </cell>
          <cell r="B2151" t="str">
            <v>Not Started</v>
          </cell>
          <cell r="C2151">
            <v>0</v>
          </cell>
          <cell r="D2151">
            <v>0</v>
          </cell>
        </row>
        <row r="2152">
          <cell r="A2152" t="str">
            <v>A2GSFCOMEC1080</v>
          </cell>
          <cell r="B2152" t="str">
            <v>Not Started</v>
          </cell>
          <cell r="C2152">
            <v>0</v>
          </cell>
          <cell r="D2152">
            <v>0</v>
          </cell>
        </row>
        <row r="2153">
          <cell r="A2153" t="str">
            <v>A2GSFCOMEC1090</v>
          </cell>
          <cell r="B2153" t="str">
            <v>Not Started</v>
          </cell>
          <cell r="C2153">
            <v>0</v>
          </cell>
          <cell r="D2153">
            <v>0</v>
          </cell>
        </row>
        <row r="2154">
          <cell r="A2154" t="str">
            <v>A2GSFCOMEC1100</v>
          </cell>
          <cell r="B2154" t="str">
            <v>Not Started</v>
          </cell>
          <cell r="C2154">
            <v>0</v>
          </cell>
          <cell r="D2154">
            <v>0</v>
          </cell>
        </row>
        <row r="2155">
          <cell r="A2155" t="str">
            <v>A2GSFCOMEC1110</v>
          </cell>
          <cell r="B2155" t="str">
            <v>Not Started</v>
          </cell>
          <cell r="C2155">
            <v>0</v>
          </cell>
          <cell r="D2155">
            <v>0</v>
          </cell>
        </row>
        <row r="2156">
          <cell r="A2156" t="str">
            <v>A2GSFCOMEC1120</v>
          </cell>
          <cell r="B2156" t="str">
            <v>Not Started</v>
          </cell>
          <cell r="C2156">
            <v>0</v>
          </cell>
          <cell r="D2156">
            <v>0</v>
          </cell>
        </row>
        <row r="2157">
          <cell r="A2157" t="str">
            <v>A2GSFCOMEC1130</v>
          </cell>
          <cell r="B2157" t="str">
            <v>Not Started</v>
          </cell>
          <cell r="C2157">
            <v>0</v>
          </cell>
          <cell r="D2157">
            <v>0</v>
          </cell>
        </row>
        <row r="2158">
          <cell r="A2158" t="str">
            <v>A2GSFCOMEC1140</v>
          </cell>
          <cell r="B2158" t="str">
            <v>Not Started</v>
          </cell>
          <cell r="C2158">
            <v>0</v>
          </cell>
          <cell r="D2158">
            <v>0</v>
          </cell>
        </row>
        <row r="2159">
          <cell r="A2159" t="str">
            <v>A2GSFCOMEC1150</v>
          </cell>
          <cell r="B2159" t="str">
            <v>Not Started</v>
          </cell>
          <cell r="C2159">
            <v>0</v>
          </cell>
          <cell r="D2159">
            <v>0</v>
          </cell>
        </row>
        <row r="2160">
          <cell r="A2160" t="str">
            <v>A2GSFCOMEC1160</v>
          </cell>
          <cell r="B2160" t="str">
            <v>Not Started</v>
          </cell>
          <cell r="C2160">
            <v>0</v>
          </cell>
          <cell r="D2160">
            <v>0</v>
          </cell>
        </row>
        <row r="2161">
          <cell r="A2161" t="str">
            <v>A2GSFCOMEC1170</v>
          </cell>
          <cell r="B2161" t="str">
            <v>Not Started</v>
          </cell>
          <cell r="C2161">
            <v>0</v>
          </cell>
          <cell r="D2161">
            <v>0</v>
          </cell>
        </row>
        <row r="2162">
          <cell r="A2162" t="str">
            <v>A2GSFCOMEC1180</v>
          </cell>
          <cell r="B2162" t="str">
            <v>Not Started</v>
          </cell>
          <cell r="C2162">
            <v>0</v>
          </cell>
          <cell r="D2162">
            <v>0</v>
          </cell>
        </row>
        <row r="2163">
          <cell r="A2163" t="str">
            <v>A2GSFCOMEC1190</v>
          </cell>
          <cell r="B2163" t="str">
            <v>Not Started</v>
          </cell>
          <cell r="C2163">
            <v>0</v>
          </cell>
          <cell r="D2163">
            <v>0</v>
          </cell>
        </row>
        <row r="2164">
          <cell r="A2164" t="str">
            <v>A2GSFCOMEC1200</v>
          </cell>
          <cell r="B2164" t="str">
            <v>Not Started</v>
          </cell>
          <cell r="C2164">
            <v>0</v>
          </cell>
          <cell r="D2164">
            <v>0</v>
          </cell>
        </row>
        <row r="2165">
          <cell r="A2165" t="str">
            <v>A2GSFCOMEC1210</v>
          </cell>
          <cell r="B2165" t="str">
            <v>Not Started</v>
          </cell>
          <cell r="C2165">
            <v>0</v>
          </cell>
          <cell r="D2165">
            <v>0</v>
          </cell>
        </row>
        <row r="2166">
          <cell r="A2166" t="str">
            <v>A2GSFCOMEC1220</v>
          </cell>
          <cell r="B2166" t="str">
            <v>Not Started</v>
          </cell>
          <cell r="C2166">
            <v>0</v>
          </cell>
          <cell r="D2166">
            <v>0</v>
          </cell>
        </row>
        <row r="2167">
          <cell r="A2167" t="str">
            <v>A2GSFCOMEC1230</v>
          </cell>
          <cell r="B2167" t="str">
            <v>Not Started</v>
          </cell>
          <cell r="C2167">
            <v>0</v>
          </cell>
          <cell r="D2167">
            <v>0</v>
          </cell>
        </row>
        <row r="2168">
          <cell r="A2168" t="str">
            <v>A2GSFCOMEC1240</v>
          </cell>
          <cell r="B2168" t="str">
            <v>Not Started</v>
          </cell>
          <cell r="C2168">
            <v>0</v>
          </cell>
          <cell r="D2168">
            <v>0</v>
          </cell>
        </row>
        <row r="2169">
          <cell r="A2169" t="str">
            <v>A2GSFCOMEC1250</v>
          </cell>
          <cell r="B2169" t="str">
            <v>Not Started</v>
          </cell>
          <cell r="C2169">
            <v>0</v>
          </cell>
          <cell r="D2169">
            <v>0</v>
          </cell>
        </row>
        <row r="2170">
          <cell r="A2170" t="str">
            <v>A2GSFCOMEC1260</v>
          </cell>
          <cell r="B2170" t="str">
            <v>Not Started</v>
          </cell>
          <cell r="C2170">
            <v>0</v>
          </cell>
          <cell r="D2170">
            <v>0</v>
          </cell>
        </row>
        <row r="2171">
          <cell r="A2171" t="str">
            <v>A2GSFCOMEC1270</v>
          </cell>
          <cell r="B2171" t="str">
            <v>Not Started</v>
          </cell>
          <cell r="C2171">
            <v>0</v>
          </cell>
          <cell r="D2171">
            <v>0</v>
          </cell>
        </row>
        <row r="2172">
          <cell r="A2172" t="str">
            <v>A2GSFCOMEC1272</v>
          </cell>
          <cell r="B2172" t="str">
            <v>Not Started</v>
          </cell>
          <cell r="C2172">
            <v>0</v>
          </cell>
          <cell r="D2172">
            <v>0</v>
          </cell>
        </row>
        <row r="2173">
          <cell r="A2173" t="str">
            <v>A2GSFCOMEC1280</v>
          </cell>
          <cell r="B2173" t="str">
            <v>Not Started</v>
          </cell>
          <cell r="C2173">
            <v>0</v>
          </cell>
          <cell r="D2173">
            <v>0</v>
          </cell>
        </row>
        <row r="2174">
          <cell r="A2174" t="str">
            <v>A2GSFCOMEC1282</v>
          </cell>
          <cell r="B2174" t="str">
            <v>Not Started</v>
          </cell>
          <cell r="C2174">
            <v>0</v>
          </cell>
          <cell r="D2174">
            <v>0</v>
          </cell>
        </row>
        <row r="2175">
          <cell r="A2175" t="str">
            <v>A2GSFCOMEC1284</v>
          </cell>
          <cell r="B2175" t="str">
            <v>Not Started</v>
          </cell>
          <cell r="C2175">
            <v>0</v>
          </cell>
          <cell r="D2175">
            <v>0</v>
          </cell>
        </row>
        <row r="2176">
          <cell r="A2176" t="str">
            <v>A2GSFCOMEC1285</v>
          </cell>
          <cell r="B2176" t="str">
            <v>Not Started</v>
          </cell>
          <cell r="C2176">
            <v>0</v>
          </cell>
          <cell r="D2176">
            <v>0</v>
          </cell>
        </row>
        <row r="2177">
          <cell r="A2177" t="str">
            <v>A2GSFCOMEC1290</v>
          </cell>
          <cell r="B2177" t="str">
            <v>Not Started</v>
          </cell>
          <cell r="C2177">
            <v>0</v>
          </cell>
          <cell r="D2177">
            <v>0</v>
          </cell>
        </row>
        <row r="2178">
          <cell r="A2178" t="str">
            <v>A2GSFCOMEC1300</v>
          </cell>
          <cell r="B2178" t="str">
            <v>Not Started</v>
          </cell>
          <cell r="C2178">
            <v>0</v>
          </cell>
          <cell r="D2178">
            <v>0</v>
          </cell>
        </row>
        <row r="2179">
          <cell r="A2179" t="str">
            <v>A2GSFCOMEC1310</v>
          </cell>
          <cell r="B2179" t="str">
            <v>Not Started</v>
          </cell>
          <cell r="C2179">
            <v>0</v>
          </cell>
          <cell r="D2179">
            <v>0</v>
          </cell>
        </row>
        <row r="2180">
          <cell r="A2180" t="str">
            <v>A2GSFCOMEC1320</v>
          </cell>
          <cell r="B2180" t="str">
            <v>Not Started</v>
          </cell>
          <cell r="C2180">
            <v>0</v>
          </cell>
          <cell r="D2180">
            <v>0</v>
          </cell>
        </row>
        <row r="2181">
          <cell r="A2181" t="str">
            <v>A2GSFCOMEC1340</v>
          </cell>
          <cell r="B2181" t="str">
            <v>Not Started</v>
          </cell>
          <cell r="C2181">
            <v>0</v>
          </cell>
          <cell r="D2181">
            <v>0</v>
          </cell>
        </row>
        <row r="2182">
          <cell r="A2182" t="str">
            <v>A2GSFCOMEC1346</v>
          </cell>
          <cell r="B2182" t="str">
            <v>Not Started</v>
          </cell>
          <cell r="C2182">
            <v>0</v>
          </cell>
          <cell r="D2182">
            <v>0</v>
          </cell>
        </row>
        <row r="2183">
          <cell r="A2183" t="str">
            <v>A2GSFCOMEC1352</v>
          </cell>
          <cell r="B2183" t="str">
            <v>Not Started</v>
          </cell>
          <cell r="C2183">
            <v>0</v>
          </cell>
          <cell r="D2183">
            <v>0</v>
          </cell>
        </row>
        <row r="2184">
          <cell r="A2184" t="str">
            <v>A2GSFCOMEC1353</v>
          </cell>
          <cell r="B2184" t="str">
            <v>Not Started</v>
          </cell>
          <cell r="C2184">
            <v>0</v>
          </cell>
          <cell r="D2184">
            <v>0</v>
          </cell>
        </row>
        <row r="2185">
          <cell r="A2185" t="str">
            <v>A2GSFCOMEC1360</v>
          </cell>
          <cell r="B2185" t="str">
            <v>Not Started</v>
          </cell>
          <cell r="C2185">
            <v>0</v>
          </cell>
          <cell r="D2185">
            <v>0</v>
          </cell>
        </row>
        <row r="2186">
          <cell r="A2186" t="str">
            <v>A2GSFCOMEC1362</v>
          </cell>
          <cell r="B2186" t="str">
            <v>Not Started</v>
          </cell>
          <cell r="C2186">
            <v>0</v>
          </cell>
          <cell r="D2186">
            <v>0</v>
          </cell>
        </row>
        <row r="2187">
          <cell r="A2187" t="str">
            <v>A2GSFCOMEC1370</v>
          </cell>
          <cell r="B2187" t="str">
            <v>Not Started</v>
          </cell>
          <cell r="C2187">
            <v>0</v>
          </cell>
          <cell r="D2187">
            <v>0</v>
          </cell>
        </row>
        <row r="2188">
          <cell r="A2188" t="str">
            <v>A2GSFCOMEC1378</v>
          </cell>
          <cell r="B2188" t="str">
            <v>Not Started</v>
          </cell>
          <cell r="C2188">
            <v>0</v>
          </cell>
          <cell r="D2188">
            <v>0</v>
          </cell>
        </row>
        <row r="2189">
          <cell r="A2189" t="str">
            <v>A2GSFCOMEC1380</v>
          </cell>
          <cell r="B2189" t="str">
            <v>Not Started</v>
          </cell>
          <cell r="C2189">
            <v>0</v>
          </cell>
          <cell r="D2189">
            <v>0</v>
          </cell>
        </row>
        <row r="2190">
          <cell r="A2190" t="str">
            <v>A2GSFCOMEC1385</v>
          </cell>
          <cell r="B2190" t="str">
            <v>Not Started</v>
          </cell>
          <cell r="C2190">
            <v>0</v>
          </cell>
          <cell r="D2190">
            <v>0</v>
          </cell>
        </row>
        <row r="2191">
          <cell r="A2191" t="str">
            <v>A2GSFCOMEC1390</v>
          </cell>
          <cell r="B2191" t="str">
            <v>Not Started</v>
          </cell>
          <cell r="C2191">
            <v>0</v>
          </cell>
          <cell r="D2191">
            <v>0</v>
          </cell>
        </row>
        <row r="2192">
          <cell r="A2192" t="str">
            <v>A2GSFCOMEC1395</v>
          </cell>
          <cell r="B2192" t="str">
            <v>Not Started</v>
          </cell>
          <cell r="C2192">
            <v>0</v>
          </cell>
          <cell r="D2192">
            <v>0</v>
          </cell>
        </row>
        <row r="2193">
          <cell r="A2193" t="str">
            <v>A2GSFCOMEC1400</v>
          </cell>
          <cell r="B2193" t="str">
            <v>Not Started</v>
          </cell>
          <cell r="C2193">
            <v>0</v>
          </cell>
          <cell r="D2193">
            <v>0</v>
          </cell>
        </row>
        <row r="2194">
          <cell r="A2194" t="str">
            <v>A2GSFCOMEC1410</v>
          </cell>
          <cell r="B2194" t="str">
            <v>Not Started</v>
          </cell>
          <cell r="C2194">
            <v>0</v>
          </cell>
          <cell r="D2194">
            <v>0</v>
          </cell>
        </row>
        <row r="2195">
          <cell r="A2195" t="str">
            <v>A2GSFCOMEC1420</v>
          </cell>
          <cell r="B2195" t="str">
            <v>Not Started</v>
          </cell>
          <cell r="C2195">
            <v>0</v>
          </cell>
          <cell r="D2195">
            <v>0</v>
          </cell>
        </row>
        <row r="2196">
          <cell r="A2196" t="str">
            <v>A2GSFCOMEC1430</v>
          </cell>
          <cell r="B2196" t="str">
            <v>Not Started</v>
          </cell>
          <cell r="C2196">
            <v>0</v>
          </cell>
          <cell r="D2196">
            <v>0</v>
          </cell>
        </row>
        <row r="2197">
          <cell r="A2197" t="str">
            <v>A2GSFCOMEC1470</v>
          </cell>
          <cell r="B2197" t="str">
            <v>Not Started</v>
          </cell>
          <cell r="C2197">
            <v>0</v>
          </cell>
          <cell r="D2197">
            <v>0</v>
          </cell>
        </row>
        <row r="2198">
          <cell r="A2198" t="str">
            <v>A2GSFCOMEC1480</v>
          </cell>
          <cell r="B2198" t="str">
            <v>Not Started</v>
          </cell>
          <cell r="C2198">
            <v>0</v>
          </cell>
          <cell r="D2198">
            <v>0</v>
          </cell>
        </row>
        <row r="2199">
          <cell r="A2199" t="str">
            <v>A2GSFCOMEC1490</v>
          </cell>
          <cell r="B2199" t="str">
            <v>Not Started</v>
          </cell>
          <cell r="C2199">
            <v>0</v>
          </cell>
          <cell r="D2199">
            <v>0</v>
          </cell>
        </row>
        <row r="2200">
          <cell r="A2200" t="str">
            <v>A2GSFCOMEC1500</v>
          </cell>
          <cell r="B2200" t="str">
            <v>Not Started</v>
          </cell>
          <cell r="C2200">
            <v>0</v>
          </cell>
          <cell r="D2200">
            <v>0</v>
          </cell>
        </row>
        <row r="2201">
          <cell r="A2201" t="str">
            <v>A2GSFCOMEC1510</v>
          </cell>
          <cell r="B2201" t="str">
            <v>Not Started</v>
          </cell>
          <cell r="C2201">
            <v>0</v>
          </cell>
          <cell r="D2201">
            <v>0</v>
          </cell>
        </row>
        <row r="2202">
          <cell r="A2202" t="str">
            <v>A2GSFCOMEC1520</v>
          </cell>
          <cell r="B2202" t="str">
            <v>Not Started</v>
          </cell>
          <cell r="C2202">
            <v>0</v>
          </cell>
          <cell r="D2202">
            <v>0</v>
          </cell>
        </row>
        <row r="2203">
          <cell r="A2203" t="str">
            <v>A2GSFCOMEC1530</v>
          </cell>
          <cell r="B2203" t="str">
            <v>Not Started</v>
          </cell>
          <cell r="C2203">
            <v>0</v>
          </cell>
          <cell r="D2203">
            <v>0</v>
          </cell>
        </row>
        <row r="2204">
          <cell r="A2204" t="str">
            <v>A2GSFCOMEC1540</v>
          </cell>
          <cell r="B2204" t="str">
            <v>Not Started</v>
          </cell>
          <cell r="C2204">
            <v>0</v>
          </cell>
          <cell r="D2204">
            <v>0</v>
          </cell>
        </row>
        <row r="2205">
          <cell r="A2205" t="str">
            <v>A2GSFCOMEC1550</v>
          </cell>
          <cell r="B2205" t="str">
            <v>Not Started</v>
          </cell>
          <cell r="C2205">
            <v>0</v>
          </cell>
          <cell r="D2205">
            <v>0</v>
          </cell>
        </row>
        <row r="2206">
          <cell r="A2206" t="str">
            <v>A2GSFCOMEC1560</v>
          </cell>
          <cell r="B2206" t="str">
            <v>Not Started</v>
          </cell>
          <cell r="C2206">
            <v>0</v>
          </cell>
          <cell r="D2206">
            <v>0</v>
          </cell>
        </row>
        <row r="2207">
          <cell r="A2207" t="str">
            <v>A2GSFMC1000</v>
          </cell>
          <cell r="B2207" t="str">
            <v>Not Started</v>
          </cell>
          <cell r="C2207">
            <v>0</v>
          </cell>
          <cell r="D2207">
            <v>0</v>
          </cell>
        </row>
        <row r="2208">
          <cell r="A2208" t="str">
            <v>A2GSFMC1010</v>
          </cell>
          <cell r="B2208" t="str">
            <v>Not Started</v>
          </cell>
          <cell r="C2208">
            <v>0</v>
          </cell>
          <cell r="D2208">
            <v>0</v>
          </cell>
        </row>
        <row r="2209">
          <cell r="A2209" t="str">
            <v>A2GSFMC1020</v>
          </cell>
          <cell r="B2209" t="str">
            <v>Not Started</v>
          </cell>
          <cell r="C2209">
            <v>0</v>
          </cell>
          <cell r="D2209">
            <v>0</v>
          </cell>
        </row>
        <row r="2210">
          <cell r="A2210" t="str">
            <v>A2GSFMC1030</v>
          </cell>
          <cell r="B2210" t="str">
            <v>Not Started</v>
          </cell>
          <cell r="C2210">
            <v>0</v>
          </cell>
          <cell r="D2210">
            <v>0</v>
          </cell>
        </row>
        <row r="2211">
          <cell r="A2211" t="str">
            <v>A2GSFML1000</v>
          </cell>
          <cell r="B2211" t="str">
            <v>Completed</v>
          </cell>
          <cell r="C2211">
            <v>1</v>
          </cell>
          <cell r="D2211">
            <v>1</v>
          </cell>
        </row>
        <row r="2212">
          <cell r="A2212" t="str">
            <v>A2GSFML1010</v>
          </cell>
          <cell r="B2212" t="str">
            <v>Not Started</v>
          </cell>
          <cell r="C2212">
            <v>0</v>
          </cell>
          <cell r="D2212">
            <v>0</v>
          </cell>
        </row>
        <row r="2213">
          <cell r="A2213" t="str">
            <v>A2GSFML1020</v>
          </cell>
          <cell r="B2213" t="str">
            <v>Not Started</v>
          </cell>
          <cell r="C2213">
            <v>0</v>
          </cell>
          <cell r="D2213">
            <v>0</v>
          </cell>
        </row>
        <row r="2214">
          <cell r="A2214" t="str">
            <v>A2GSFML1030</v>
          </cell>
          <cell r="B2214" t="str">
            <v>Not Started</v>
          </cell>
          <cell r="C2214">
            <v>0</v>
          </cell>
          <cell r="D2214">
            <v>0</v>
          </cell>
        </row>
        <row r="2215">
          <cell r="A2215" t="str">
            <v>A2GSFML1040</v>
          </cell>
          <cell r="B2215" t="str">
            <v>Not Started</v>
          </cell>
          <cell r="C2215">
            <v>0</v>
          </cell>
          <cell r="D2215">
            <v>0</v>
          </cell>
        </row>
        <row r="2216">
          <cell r="A2216" t="str">
            <v>A2GSFML1050</v>
          </cell>
          <cell r="B2216" t="str">
            <v>Not Started</v>
          </cell>
          <cell r="C2216">
            <v>0</v>
          </cell>
          <cell r="D2216">
            <v>0</v>
          </cell>
        </row>
        <row r="2217">
          <cell r="A2217" t="str">
            <v>A2GSFML1060</v>
          </cell>
          <cell r="B2217" t="str">
            <v>Not Started</v>
          </cell>
          <cell r="C2217">
            <v>0</v>
          </cell>
          <cell r="D2217">
            <v>0</v>
          </cell>
        </row>
        <row r="2218">
          <cell r="A2218" t="str">
            <v>A2GSFPRCIV3770</v>
          </cell>
          <cell r="B2218" t="str">
            <v>Completed</v>
          </cell>
          <cell r="C2218">
            <v>1</v>
          </cell>
          <cell r="D2218">
            <v>1</v>
          </cell>
        </row>
        <row r="2219">
          <cell r="A2219" t="str">
            <v>A2GSFPRCIV3780</v>
          </cell>
          <cell r="B2219" t="str">
            <v>Completed</v>
          </cell>
          <cell r="C2219">
            <v>1</v>
          </cell>
          <cell r="D2219">
            <v>1</v>
          </cell>
        </row>
        <row r="2220">
          <cell r="A2220" t="str">
            <v>A2GSFPRCIV3790</v>
          </cell>
          <cell r="B2220" t="str">
            <v>In Progress</v>
          </cell>
          <cell r="C2220">
            <v>0.34089999999999998</v>
          </cell>
          <cell r="D2220">
            <v>5.96E-2</v>
          </cell>
        </row>
        <row r="2221">
          <cell r="A2221" t="str">
            <v>A2GSFPRCIV3800</v>
          </cell>
          <cell r="B2221" t="str">
            <v>In Progress</v>
          </cell>
          <cell r="C2221">
            <v>0.17499999999999999</v>
          </cell>
          <cell r="D2221">
            <v>5.96E-2</v>
          </cell>
        </row>
        <row r="2222">
          <cell r="A2222" t="str">
            <v>A2GSFPRCIV3810</v>
          </cell>
          <cell r="B2222" t="str">
            <v>In Progress</v>
          </cell>
          <cell r="C2222">
            <v>0.105</v>
          </cell>
          <cell r="D2222">
            <v>5.96E-2</v>
          </cell>
        </row>
        <row r="2223">
          <cell r="A2223" t="str">
            <v>A2GSFPRCIV3820</v>
          </cell>
          <cell r="B2223" t="str">
            <v>Completed</v>
          </cell>
          <cell r="C2223">
            <v>1</v>
          </cell>
          <cell r="D2223">
            <v>1</v>
          </cell>
        </row>
        <row r="2224">
          <cell r="A2224" t="str">
            <v>A2GSFPRCIV3830</v>
          </cell>
          <cell r="B2224" t="str">
            <v>Completed</v>
          </cell>
          <cell r="C2224">
            <v>1</v>
          </cell>
          <cell r="D2224">
            <v>1</v>
          </cell>
        </row>
        <row r="2225">
          <cell r="A2225" t="str">
            <v>A2GSFPRCIV3840</v>
          </cell>
          <cell r="B2225" t="str">
            <v>In Progress</v>
          </cell>
          <cell r="C2225">
            <v>1</v>
          </cell>
          <cell r="D2225">
            <v>0.59470000000000001</v>
          </cell>
        </row>
        <row r="2226">
          <cell r="A2226" t="str">
            <v>A2GSFPRCIV3850</v>
          </cell>
          <cell r="B2226" t="str">
            <v>In Progress</v>
          </cell>
          <cell r="C2226">
            <v>1</v>
          </cell>
          <cell r="D2226">
            <v>0.59470000000000001</v>
          </cell>
        </row>
        <row r="2227">
          <cell r="A2227" t="str">
            <v>A2GSFPRCIV3860</v>
          </cell>
          <cell r="B2227" t="str">
            <v>In Progress</v>
          </cell>
          <cell r="C2227">
            <v>1</v>
          </cell>
          <cell r="D2227">
            <v>0.15</v>
          </cell>
        </row>
        <row r="2228">
          <cell r="A2228" t="str">
            <v>A2GSFPRCIV3870</v>
          </cell>
          <cell r="B2228" t="str">
            <v>In Progress</v>
          </cell>
          <cell r="C2228">
            <v>1</v>
          </cell>
          <cell r="D2228">
            <v>0</v>
          </cell>
        </row>
        <row r="2229">
          <cell r="A2229" t="str">
            <v>A2GSFPRCIV3880</v>
          </cell>
          <cell r="B2229" t="str">
            <v>In Progress</v>
          </cell>
          <cell r="C2229">
            <v>1</v>
          </cell>
          <cell r="D2229">
            <v>0</v>
          </cell>
        </row>
        <row r="2230">
          <cell r="A2230" t="str">
            <v>A2GSFPRCIV3890</v>
          </cell>
          <cell r="B2230" t="str">
            <v>Not Started</v>
          </cell>
          <cell r="C2230">
            <v>0.625</v>
          </cell>
          <cell r="D2230">
            <v>0</v>
          </cell>
        </row>
        <row r="2231">
          <cell r="A2231" t="str">
            <v>A2GSFPRCIV3900</v>
          </cell>
          <cell r="B2231" t="str">
            <v>Not Started</v>
          </cell>
          <cell r="C2231">
            <v>0</v>
          </cell>
          <cell r="D2231">
            <v>0</v>
          </cell>
        </row>
        <row r="2232">
          <cell r="A2232" t="str">
            <v>A2GSFPRCIV3910</v>
          </cell>
          <cell r="B2232" t="str">
            <v>Not Started</v>
          </cell>
          <cell r="C2232">
            <v>0</v>
          </cell>
          <cell r="D2232">
            <v>0</v>
          </cell>
        </row>
        <row r="2233">
          <cell r="A2233" t="str">
            <v>A2GSFPRCIV3920</v>
          </cell>
          <cell r="B2233" t="str">
            <v>Completed</v>
          </cell>
          <cell r="C2233">
            <v>1</v>
          </cell>
          <cell r="D2233">
            <v>1</v>
          </cell>
        </row>
        <row r="2234">
          <cell r="A2234" t="str">
            <v>A2GSFPRCIV3930</v>
          </cell>
          <cell r="B2234" t="str">
            <v>Completed</v>
          </cell>
          <cell r="C2234">
            <v>1</v>
          </cell>
          <cell r="D2234">
            <v>1</v>
          </cell>
        </row>
        <row r="2235">
          <cell r="A2235" t="str">
            <v>A2GSFPRCIV3940</v>
          </cell>
          <cell r="B2235" t="str">
            <v>In Progress</v>
          </cell>
          <cell r="C2235">
            <v>0</v>
          </cell>
          <cell r="D2235">
            <v>0.1</v>
          </cell>
        </row>
        <row r="2236">
          <cell r="A2236" t="str">
            <v>A2GSFPRCIV3950</v>
          </cell>
          <cell r="B2236" t="str">
            <v>Not Started</v>
          </cell>
          <cell r="C2236">
            <v>0</v>
          </cell>
          <cell r="D2236">
            <v>0</v>
          </cell>
        </row>
        <row r="2237">
          <cell r="A2237" t="str">
            <v>A2GSFPRCIV3960</v>
          </cell>
          <cell r="B2237" t="str">
            <v>Not Started</v>
          </cell>
          <cell r="C2237">
            <v>0</v>
          </cell>
          <cell r="D2237">
            <v>0</v>
          </cell>
        </row>
        <row r="2238">
          <cell r="A2238" t="str">
            <v>A2GSFPRCIV3970</v>
          </cell>
          <cell r="B2238" t="str">
            <v>In Progress</v>
          </cell>
          <cell r="C2238">
            <v>1</v>
          </cell>
          <cell r="D2238">
            <v>0</v>
          </cell>
        </row>
        <row r="2239">
          <cell r="A2239" t="str">
            <v>A2GSFPRCIV3980</v>
          </cell>
          <cell r="B2239" t="str">
            <v>In Progress</v>
          </cell>
          <cell r="C2239">
            <v>1</v>
          </cell>
          <cell r="D2239">
            <v>0</v>
          </cell>
        </row>
        <row r="2240">
          <cell r="A2240" t="str">
            <v>A2GSFPRCIV3990</v>
          </cell>
          <cell r="B2240" t="str">
            <v>Not Started</v>
          </cell>
          <cell r="C2240">
            <v>0</v>
          </cell>
          <cell r="D2240">
            <v>0</v>
          </cell>
        </row>
        <row r="2241">
          <cell r="A2241" t="str">
            <v>A2GSFPRCIV4000</v>
          </cell>
          <cell r="B2241" t="str">
            <v>Not Started</v>
          </cell>
          <cell r="C2241">
            <v>0</v>
          </cell>
          <cell r="D2241">
            <v>0</v>
          </cell>
        </row>
        <row r="2242">
          <cell r="A2242" t="str">
            <v>A2GSFPRCIV4010</v>
          </cell>
          <cell r="B2242" t="str">
            <v>Not Started</v>
          </cell>
          <cell r="C2242">
            <v>0</v>
          </cell>
          <cell r="D2242">
            <v>0</v>
          </cell>
        </row>
        <row r="2243">
          <cell r="A2243" t="str">
            <v>A2GSFPRCIV4020</v>
          </cell>
          <cell r="B2243" t="str">
            <v>Not Started</v>
          </cell>
          <cell r="C2243">
            <v>0</v>
          </cell>
          <cell r="D2243">
            <v>0</v>
          </cell>
        </row>
        <row r="2244">
          <cell r="A2244" t="str">
            <v>A2GSFPRCIV4030</v>
          </cell>
          <cell r="B2244" t="str">
            <v>Not Started</v>
          </cell>
          <cell r="C2244">
            <v>0</v>
          </cell>
          <cell r="D2244">
            <v>0</v>
          </cell>
        </row>
        <row r="2245">
          <cell r="A2245" t="str">
            <v>A2GSFPRCIV4040</v>
          </cell>
          <cell r="B2245" t="str">
            <v>In Progress</v>
          </cell>
          <cell r="C2245">
            <v>1</v>
          </cell>
          <cell r="D2245">
            <v>0</v>
          </cell>
        </row>
        <row r="2246">
          <cell r="A2246" t="str">
            <v>A2GSFPRCIV4050</v>
          </cell>
          <cell r="B2246" t="str">
            <v>In Progress</v>
          </cell>
          <cell r="C2246">
            <v>1</v>
          </cell>
          <cell r="D2246">
            <v>0.3</v>
          </cell>
        </row>
        <row r="2247">
          <cell r="A2247" t="str">
            <v>A2GSFPRCIV4060</v>
          </cell>
          <cell r="B2247" t="str">
            <v>Not Started</v>
          </cell>
          <cell r="C2247">
            <v>0</v>
          </cell>
          <cell r="D2247">
            <v>0</v>
          </cell>
        </row>
        <row r="2248">
          <cell r="A2248" t="str">
            <v>A2GSFPRCIV4070</v>
          </cell>
          <cell r="B2248" t="str">
            <v>Not Started</v>
          </cell>
          <cell r="C2248">
            <v>0</v>
          </cell>
          <cell r="D2248">
            <v>0</v>
          </cell>
        </row>
        <row r="2249">
          <cell r="A2249" t="str">
            <v>A2GSFPRCIV4080</v>
          </cell>
          <cell r="B2249" t="str">
            <v>Not Started</v>
          </cell>
          <cell r="C2249">
            <v>0</v>
          </cell>
          <cell r="D2249">
            <v>0</v>
          </cell>
        </row>
        <row r="2250">
          <cell r="A2250" t="str">
            <v>A2GSFPRCIV4090</v>
          </cell>
          <cell r="B2250" t="str">
            <v>Not Started</v>
          </cell>
          <cell r="C2250">
            <v>0</v>
          </cell>
          <cell r="D2250">
            <v>0</v>
          </cell>
        </row>
        <row r="2251">
          <cell r="A2251" t="str">
            <v>A2GSFPRCIV4100</v>
          </cell>
          <cell r="B2251" t="str">
            <v>Not Started</v>
          </cell>
          <cell r="C2251">
            <v>0</v>
          </cell>
          <cell r="D2251">
            <v>0</v>
          </cell>
        </row>
        <row r="2252">
          <cell r="A2252" t="str">
            <v>A2GSFPRCIV4110</v>
          </cell>
          <cell r="B2252" t="str">
            <v>In Progress</v>
          </cell>
          <cell r="C2252">
            <v>1</v>
          </cell>
          <cell r="D2252">
            <v>0</v>
          </cell>
        </row>
        <row r="2253">
          <cell r="A2253" t="str">
            <v>A2GSFPRCIV4120</v>
          </cell>
          <cell r="B2253" t="str">
            <v>In Progress</v>
          </cell>
          <cell r="C2253">
            <v>1</v>
          </cell>
          <cell r="D2253">
            <v>0</v>
          </cell>
        </row>
        <row r="2254">
          <cell r="A2254" t="str">
            <v>A2GSFPRCIV4130</v>
          </cell>
          <cell r="B2254" t="str">
            <v>Not Started</v>
          </cell>
          <cell r="C2254">
            <v>0</v>
          </cell>
          <cell r="D2254">
            <v>0</v>
          </cell>
        </row>
        <row r="2255">
          <cell r="A2255" t="str">
            <v>A2GSFPRCIV4140</v>
          </cell>
          <cell r="B2255" t="str">
            <v>Not Started</v>
          </cell>
          <cell r="C2255">
            <v>0</v>
          </cell>
          <cell r="D2255">
            <v>0</v>
          </cell>
        </row>
        <row r="2256">
          <cell r="A2256" t="str">
            <v>A2GSFPRCIV4150</v>
          </cell>
          <cell r="B2256" t="str">
            <v>Not Started</v>
          </cell>
          <cell r="C2256">
            <v>0</v>
          </cell>
          <cell r="D2256">
            <v>0</v>
          </cell>
        </row>
        <row r="2257">
          <cell r="A2257" t="str">
            <v>A2GSFPRCIV4160</v>
          </cell>
          <cell r="B2257" t="str">
            <v>In Progress</v>
          </cell>
          <cell r="C2257">
            <v>1</v>
          </cell>
          <cell r="D2257">
            <v>0</v>
          </cell>
        </row>
        <row r="2258">
          <cell r="A2258" t="str">
            <v>A2GSFPRCIV4170</v>
          </cell>
          <cell r="B2258" t="str">
            <v>In Progress</v>
          </cell>
          <cell r="C2258">
            <v>0.91669999999999996</v>
          </cell>
          <cell r="D2258">
            <v>0</v>
          </cell>
        </row>
        <row r="2259">
          <cell r="A2259" t="str">
            <v>A2GSFPRCIV4180</v>
          </cell>
          <cell r="B2259" t="str">
            <v>Not Started</v>
          </cell>
          <cell r="C2259">
            <v>0</v>
          </cell>
          <cell r="D2259">
            <v>0</v>
          </cell>
        </row>
        <row r="2260">
          <cell r="A2260" t="str">
            <v>A2GSFPRCIV4190</v>
          </cell>
          <cell r="B2260" t="str">
            <v>Not Started</v>
          </cell>
          <cell r="C2260">
            <v>0</v>
          </cell>
          <cell r="D2260">
            <v>0</v>
          </cell>
        </row>
        <row r="2261">
          <cell r="A2261" t="str">
            <v>A2GSFPRCIV4200</v>
          </cell>
          <cell r="B2261" t="str">
            <v>Not Started</v>
          </cell>
          <cell r="C2261">
            <v>0</v>
          </cell>
          <cell r="D2261">
            <v>0</v>
          </cell>
        </row>
        <row r="2262">
          <cell r="A2262" t="str">
            <v>A2GSFPRCIV4210</v>
          </cell>
          <cell r="B2262" t="str">
            <v>In Progress</v>
          </cell>
          <cell r="C2262">
            <v>1</v>
          </cell>
          <cell r="D2262">
            <v>0</v>
          </cell>
        </row>
        <row r="2263">
          <cell r="A2263" t="str">
            <v>A2GSFPRCIV4220</v>
          </cell>
          <cell r="B2263" t="str">
            <v>In Progress</v>
          </cell>
          <cell r="C2263">
            <v>1</v>
          </cell>
          <cell r="D2263">
            <v>0</v>
          </cell>
        </row>
        <row r="2264">
          <cell r="A2264" t="str">
            <v>A2GSFPRCIV4230</v>
          </cell>
          <cell r="B2264" t="str">
            <v>Not Started</v>
          </cell>
          <cell r="C2264">
            <v>0</v>
          </cell>
          <cell r="D2264">
            <v>0</v>
          </cell>
        </row>
        <row r="2265">
          <cell r="A2265" t="str">
            <v>A2GSFPRCIV4240</v>
          </cell>
          <cell r="B2265" t="str">
            <v>Not Started</v>
          </cell>
          <cell r="C2265">
            <v>0</v>
          </cell>
          <cell r="D2265">
            <v>0</v>
          </cell>
        </row>
        <row r="2266">
          <cell r="A2266" t="str">
            <v>A2GSFPRCIV4250</v>
          </cell>
          <cell r="B2266" t="str">
            <v>Not Started</v>
          </cell>
          <cell r="C2266">
            <v>0</v>
          </cell>
          <cell r="D2266">
            <v>0</v>
          </cell>
        </row>
        <row r="2267">
          <cell r="A2267" t="str">
            <v>A2GSFPRCIV4260</v>
          </cell>
          <cell r="B2267" t="str">
            <v>In Progress</v>
          </cell>
          <cell r="C2267">
            <v>1</v>
          </cell>
          <cell r="D2267">
            <v>0</v>
          </cell>
        </row>
        <row r="2268">
          <cell r="A2268" t="str">
            <v>A2GSFPRCIV4270</v>
          </cell>
          <cell r="B2268" t="str">
            <v>In Progress</v>
          </cell>
          <cell r="C2268">
            <v>0.91669999999999996</v>
          </cell>
          <cell r="D2268">
            <v>0</v>
          </cell>
        </row>
        <row r="2269">
          <cell r="A2269" t="str">
            <v>A2GSFPRCIV4280</v>
          </cell>
          <cell r="B2269" t="str">
            <v>Not Started</v>
          </cell>
          <cell r="C2269">
            <v>0</v>
          </cell>
          <cell r="D2269">
            <v>0</v>
          </cell>
        </row>
        <row r="2270">
          <cell r="A2270" t="str">
            <v>A2GSFPRCIV4290</v>
          </cell>
          <cell r="B2270" t="str">
            <v>Not Started</v>
          </cell>
          <cell r="C2270">
            <v>0</v>
          </cell>
          <cell r="D2270">
            <v>0</v>
          </cell>
        </row>
        <row r="2271">
          <cell r="A2271" t="str">
            <v>A2GSFPRCIV4300</v>
          </cell>
          <cell r="B2271" t="str">
            <v>Not Started</v>
          </cell>
          <cell r="C2271">
            <v>0</v>
          </cell>
          <cell r="D2271">
            <v>0</v>
          </cell>
        </row>
        <row r="2272">
          <cell r="A2272" t="str">
            <v>A2GSFPRCIV4310</v>
          </cell>
          <cell r="B2272" t="str">
            <v>In Progress</v>
          </cell>
          <cell r="C2272">
            <v>1</v>
          </cell>
          <cell r="D2272">
            <v>0</v>
          </cell>
        </row>
        <row r="2273">
          <cell r="A2273" t="str">
            <v>A2GSFPRCIV4320</v>
          </cell>
          <cell r="B2273" t="str">
            <v>In Progress</v>
          </cell>
          <cell r="C2273">
            <v>1</v>
          </cell>
          <cell r="D2273">
            <v>0</v>
          </cell>
        </row>
        <row r="2274">
          <cell r="A2274" t="str">
            <v>A2GSFPRCIV4330</v>
          </cell>
          <cell r="B2274" t="str">
            <v>Not Started</v>
          </cell>
          <cell r="C2274">
            <v>0</v>
          </cell>
          <cell r="D2274">
            <v>0</v>
          </cell>
        </row>
        <row r="2275">
          <cell r="A2275" t="str">
            <v>A2GSFPRCIV4340</v>
          </cell>
          <cell r="B2275" t="str">
            <v>Not Started</v>
          </cell>
          <cell r="C2275">
            <v>0</v>
          </cell>
          <cell r="D2275">
            <v>0</v>
          </cell>
        </row>
        <row r="2276">
          <cell r="A2276" t="str">
            <v>A2GSFPRCIV4350</v>
          </cell>
          <cell r="B2276" t="str">
            <v>Not Started</v>
          </cell>
          <cell r="C2276">
            <v>0</v>
          </cell>
          <cell r="D2276">
            <v>0</v>
          </cell>
        </row>
        <row r="2277">
          <cell r="A2277" t="str">
            <v>A2GSFPRCIV4360</v>
          </cell>
          <cell r="B2277" t="str">
            <v>In Progress</v>
          </cell>
          <cell r="C2277">
            <v>1</v>
          </cell>
          <cell r="D2277">
            <v>0</v>
          </cell>
        </row>
        <row r="2278">
          <cell r="A2278" t="str">
            <v>A2GSFPRCIV4370</v>
          </cell>
          <cell r="B2278" t="str">
            <v>In Progress</v>
          </cell>
          <cell r="C2278">
            <v>1</v>
          </cell>
          <cell r="D2278">
            <v>0</v>
          </cell>
        </row>
        <row r="2279">
          <cell r="A2279" t="str">
            <v>A2GSFPRCIV4380</v>
          </cell>
          <cell r="B2279" t="str">
            <v>Not Started</v>
          </cell>
          <cell r="C2279">
            <v>0</v>
          </cell>
          <cell r="D2279">
            <v>0</v>
          </cell>
        </row>
        <row r="2280">
          <cell r="A2280" t="str">
            <v>A2GSFPRCIV4390</v>
          </cell>
          <cell r="B2280" t="str">
            <v>Not Started</v>
          </cell>
          <cell r="C2280">
            <v>0</v>
          </cell>
          <cell r="D2280">
            <v>0</v>
          </cell>
        </row>
        <row r="2281">
          <cell r="A2281" t="str">
            <v>A2GSFPRCIV4400</v>
          </cell>
          <cell r="B2281" t="str">
            <v>Not Started</v>
          </cell>
          <cell r="C2281">
            <v>0</v>
          </cell>
          <cell r="D2281">
            <v>0</v>
          </cell>
        </row>
        <row r="2282">
          <cell r="A2282" t="str">
            <v>A2GSFPRCIV4410</v>
          </cell>
          <cell r="B2282" t="str">
            <v>In Progress</v>
          </cell>
          <cell r="C2282">
            <v>1</v>
          </cell>
          <cell r="D2282">
            <v>0</v>
          </cell>
        </row>
        <row r="2283">
          <cell r="A2283" t="str">
            <v>A2GSFPRCIV4420</v>
          </cell>
          <cell r="B2283" t="str">
            <v>In Progress</v>
          </cell>
          <cell r="C2283">
            <v>1</v>
          </cell>
          <cell r="D2283">
            <v>0.5</v>
          </cell>
        </row>
        <row r="2284">
          <cell r="A2284" t="str">
            <v>A2GSFPRCIV4430</v>
          </cell>
          <cell r="B2284" t="str">
            <v>Not Started</v>
          </cell>
          <cell r="C2284">
            <v>0</v>
          </cell>
          <cell r="D2284">
            <v>0</v>
          </cell>
        </row>
        <row r="2285">
          <cell r="A2285" t="str">
            <v>A2GSFPRCIV4440</v>
          </cell>
          <cell r="B2285" t="str">
            <v>Not Started</v>
          </cell>
          <cell r="C2285">
            <v>0</v>
          </cell>
          <cell r="D2285">
            <v>0</v>
          </cell>
        </row>
        <row r="2286">
          <cell r="A2286" t="str">
            <v>A2GSFPRCIV4450</v>
          </cell>
          <cell r="B2286" t="str">
            <v>Not Started</v>
          </cell>
          <cell r="C2286">
            <v>0</v>
          </cell>
          <cell r="D2286">
            <v>0</v>
          </cell>
        </row>
        <row r="2287">
          <cell r="A2287" t="str">
            <v>A2GSFPRCIV4460</v>
          </cell>
          <cell r="B2287" t="str">
            <v>In Progress</v>
          </cell>
          <cell r="C2287">
            <v>1</v>
          </cell>
          <cell r="D2287">
            <v>0</v>
          </cell>
        </row>
        <row r="2288">
          <cell r="A2288" t="str">
            <v>A2GSFPRCIV4470</v>
          </cell>
          <cell r="B2288" t="str">
            <v>In Progress</v>
          </cell>
          <cell r="C2288">
            <v>0.86839999999999995</v>
          </cell>
          <cell r="D2288">
            <v>0</v>
          </cell>
        </row>
        <row r="2289">
          <cell r="A2289" t="str">
            <v>A2GSFPRCIV4480</v>
          </cell>
          <cell r="B2289" t="str">
            <v>Not Started</v>
          </cell>
          <cell r="C2289">
            <v>0</v>
          </cell>
          <cell r="D2289">
            <v>0</v>
          </cell>
        </row>
        <row r="2290">
          <cell r="A2290" t="str">
            <v>A2GSFPRCIV4490</v>
          </cell>
          <cell r="B2290" t="str">
            <v>Not Started</v>
          </cell>
          <cell r="C2290">
            <v>0</v>
          </cell>
          <cell r="D2290">
            <v>0</v>
          </cell>
        </row>
        <row r="2291">
          <cell r="A2291" t="str">
            <v>A2GSFPRCIV4500</v>
          </cell>
          <cell r="B2291" t="str">
            <v>Not Started</v>
          </cell>
          <cell r="C2291">
            <v>0</v>
          </cell>
          <cell r="D2291">
            <v>0</v>
          </cell>
        </row>
        <row r="2292">
          <cell r="A2292" t="str">
            <v>A2GSFPRCIV4510</v>
          </cell>
          <cell r="B2292" t="str">
            <v>In Progress</v>
          </cell>
          <cell r="C2292">
            <v>1</v>
          </cell>
          <cell r="D2292">
            <v>0</v>
          </cell>
        </row>
        <row r="2293">
          <cell r="A2293" t="str">
            <v>A2GSFPRCIV4520</v>
          </cell>
          <cell r="B2293" t="str">
            <v>In Progress</v>
          </cell>
          <cell r="C2293">
            <v>1</v>
          </cell>
          <cell r="D2293">
            <v>0</v>
          </cell>
        </row>
        <row r="2294">
          <cell r="A2294" t="str">
            <v>A2GSFPRCIV4530</v>
          </cell>
          <cell r="B2294" t="str">
            <v>Not Started</v>
          </cell>
          <cell r="C2294">
            <v>0</v>
          </cell>
          <cell r="D2294">
            <v>0</v>
          </cell>
        </row>
        <row r="2295">
          <cell r="A2295" t="str">
            <v>A2GSFPRCIV4540</v>
          </cell>
          <cell r="B2295" t="str">
            <v>Not Started</v>
          </cell>
          <cell r="C2295">
            <v>0</v>
          </cell>
          <cell r="D2295">
            <v>0</v>
          </cell>
        </row>
        <row r="2296">
          <cell r="A2296" t="str">
            <v>A2GSFPRCIV4550</v>
          </cell>
          <cell r="B2296" t="str">
            <v>Not Started</v>
          </cell>
          <cell r="C2296">
            <v>0</v>
          </cell>
          <cell r="D2296">
            <v>0</v>
          </cell>
        </row>
        <row r="2297">
          <cell r="A2297" t="str">
            <v>A2GSFPRCIV4560</v>
          </cell>
          <cell r="B2297" t="str">
            <v>In Progress</v>
          </cell>
          <cell r="C2297">
            <v>1</v>
          </cell>
          <cell r="D2297">
            <v>0</v>
          </cell>
        </row>
        <row r="2298">
          <cell r="A2298" t="str">
            <v>A2GSFPRCIV4570</v>
          </cell>
          <cell r="B2298" t="str">
            <v>In Progress</v>
          </cell>
          <cell r="C2298">
            <v>1</v>
          </cell>
          <cell r="D2298">
            <v>0</v>
          </cell>
        </row>
        <row r="2299">
          <cell r="A2299" t="str">
            <v>A2GSFPRCIV4580</v>
          </cell>
          <cell r="B2299" t="str">
            <v>Not Started</v>
          </cell>
          <cell r="C2299">
            <v>0</v>
          </cell>
          <cell r="D2299">
            <v>0</v>
          </cell>
        </row>
        <row r="2300">
          <cell r="A2300" t="str">
            <v>A2GSFPRCIV4590</v>
          </cell>
          <cell r="B2300" t="str">
            <v>Not Started</v>
          </cell>
          <cell r="C2300">
            <v>0</v>
          </cell>
          <cell r="D2300">
            <v>0</v>
          </cell>
        </row>
        <row r="2301">
          <cell r="A2301" t="str">
            <v>A2GSFPRCIV4600</v>
          </cell>
          <cell r="B2301" t="str">
            <v>Not Started</v>
          </cell>
          <cell r="C2301">
            <v>0</v>
          </cell>
          <cell r="D2301">
            <v>0</v>
          </cell>
        </row>
        <row r="2302">
          <cell r="A2302" t="str">
            <v>A2GSFPRCIV4610</v>
          </cell>
          <cell r="B2302" t="str">
            <v>Not Started</v>
          </cell>
          <cell r="C2302">
            <v>0</v>
          </cell>
          <cell r="D2302">
            <v>0</v>
          </cell>
        </row>
        <row r="2303">
          <cell r="A2303" t="str">
            <v>A2GSFPRCIV4620</v>
          </cell>
          <cell r="B2303" t="str">
            <v>Not Started</v>
          </cell>
          <cell r="C2303">
            <v>0</v>
          </cell>
          <cell r="D2303">
            <v>0</v>
          </cell>
        </row>
        <row r="2304">
          <cell r="A2304" t="str">
            <v>A2GSFPRCOM1630</v>
          </cell>
          <cell r="B2304" t="str">
            <v>In Progress</v>
          </cell>
          <cell r="C2304">
            <v>1</v>
          </cell>
          <cell r="D2304">
            <v>0</v>
          </cell>
        </row>
        <row r="2305">
          <cell r="A2305" t="str">
            <v>A2GSFPRCOM1640</v>
          </cell>
          <cell r="B2305" t="str">
            <v>In Progress</v>
          </cell>
          <cell r="C2305">
            <v>1</v>
          </cell>
          <cell r="D2305">
            <v>0</v>
          </cell>
        </row>
        <row r="2306">
          <cell r="A2306" t="str">
            <v>A2GSFPRCOM1650</v>
          </cell>
          <cell r="B2306" t="str">
            <v>Not Started</v>
          </cell>
          <cell r="C2306">
            <v>0</v>
          </cell>
          <cell r="D2306">
            <v>0</v>
          </cell>
        </row>
        <row r="2307">
          <cell r="A2307" t="str">
            <v>A2GSFPRCOM1660</v>
          </cell>
          <cell r="B2307" t="str">
            <v>Not Started</v>
          </cell>
          <cell r="C2307">
            <v>0</v>
          </cell>
          <cell r="D2307">
            <v>0</v>
          </cell>
        </row>
        <row r="2308">
          <cell r="A2308" t="str">
            <v>A2GSFPRCOM1670</v>
          </cell>
          <cell r="B2308" t="str">
            <v>Not Started</v>
          </cell>
          <cell r="C2308">
            <v>0</v>
          </cell>
          <cell r="D2308">
            <v>0</v>
          </cell>
        </row>
        <row r="2309">
          <cell r="A2309" t="str">
            <v>A2GSFPRCOM1680</v>
          </cell>
          <cell r="B2309" t="str">
            <v>Not Started</v>
          </cell>
          <cell r="C2309">
            <v>0</v>
          </cell>
          <cell r="D2309">
            <v>0</v>
          </cell>
        </row>
        <row r="2310">
          <cell r="A2310" t="str">
            <v>A2GSFPRCOM1690</v>
          </cell>
          <cell r="B2310" t="str">
            <v>Not Started</v>
          </cell>
          <cell r="C2310">
            <v>0</v>
          </cell>
          <cell r="D2310">
            <v>0</v>
          </cell>
        </row>
        <row r="2311">
          <cell r="A2311" t="str">
            <v>A2GSFPRCOM1700</v>
          </cell>
          <cell r="B2311" t="str">
            <v>In Progress</v>
          </cell>
          <cell r="C2311">
            <v>1</v>
          </cell>
          <cell r="D2311">
            <v>0</v>
          </cell>
        </row>
        <row r="2312">
          <cell r="A2312" t="str">
            <v>A2GSFPRCOM1710</v>
          </cell>
          <cell r="B2312" t="str">
            <v>In Progress</v>
          </cell>
          <cell r="C2312">
            <v>1</v>
          </cell>
          <cell r="D2312">
            <v>0</v>
          </cell>
        </row>
        <row r="2313">
          <cell r="A2313" t="str">
            <v>A2GSFPRCOM1720</v>
          </cell>
          <cell r="B2313" t="str">
            <v>Not Started</v>
          </cell>
          <cell r="C2313">
            <v>0</v>
          </cell>
          <cell r="D2313">
            <v>0</v>
          </cell>
        </row>
        <row r="2314">
          <cell r="A2314" t="str">
            <v>A2GSFPRCOM1730</v>
          </cell>
          <cell r="B2314" t="str">
            <v>Not Started</v>
          </cell>
          <cell r="C2314">
            <v>0</v>
          </cell>
          <cell r="D2314">
            <v>0</v>
          </cell>
        </row>
        <row r="2315">
          <cell r="A2315" t="str">
            <v>A2GSFPRCOM1740</v>
          </cell>
          <cell r="B2315" t="str">
            <v>Not Started</v>
          </cell>
          <cell r="C2315">
            <v>0</v>
          </cell>
          <cell r="D2315">
            <v>0</v>
          </cell>
        </row>
        <row r="2316">
          <cell r="A2316" t="str">
            <v>A2GSFPRCOM1750</v>
          </cell>
          <cell r="B2316" t="str">
            <v>Not Started</v>
          </cell>
          <cell r="C2316">
            <v>0</v>
          </cell>
          <cell r="D2316">
            <v>0</v>
          </cell>
        </row>
        <row r="2317">
          <cell r="A2317" t="str">
            <v>A2GSFPRCOM1760</v>
          </cell>
          <cell r="B2317" t="str">
            <v>Not Started</v>
          </cell>
          <cell r="C2317">
            <v>0</v>
          </cell>
          <cell r="D2317">
            <v>0</v>
          </cell>
        </row>
        <row r="2318">
          <cell r="A2318" t="str">
            <v>A2GSFPRCOM1770</v>
          </cell>
          <cell r="B2318" t="str">
            <v>In Progress</v>
          </cell>
          <cell r="C2318">
            <v>1</v>
          </cell>
          <cell r="D2318">
            <v>0</v>
          </cell>
        </row>
        <row r="2319">
          <cell r="A2319" t="str">
            <v>A2GSFPRCOM1780</v>
          </cell>
          <cell r="B2319" t="str">
            <v>In Progress</v>
          </cell>
          <cell r="C2319">
            <v>1</v>
          </cell>
          <cell r="D2319">
            <v>0</v>
          </cell>
        </row>
        <row r="2320">
          <cell r="A2320" t="str">
            <v>A2GSFPRCOM1790</v>
          </cell>
          <cell r="B2320" t="str">
            <v>Not Started</v>
          </cell>
          <cell r="C2320">
            <v>0</v>
          </cell>
          <cell r="D2320">
            <v>0</v>
          </cell>
        </row>
        <row r="2321">
          <cell r="A2321" t="str">
            <v>A2GSFPRCOM1800</v>
          </cell>
          <cell r="B2321" t="str">
            <v>Not Started</v>
          </cell>
          <cell r="C2321">
            <v>0</v>
          </cell>
          <cell r="D2321">
            <v>0</v>
          </cell>
        </row>
        <row r="2322">
          <cell r="A2322" t="str">
            <v>A2GSFPRCOM1810</v>
          </cell>
          <cell r="B2322" t="str">
            <v>Not Started</v>
          </cell>
          <cell r="C2322">
            <v>0</v>
          </cell>
          <cell r="D2322">
            <v>0</v>
          </cell>
        </row>
        <row r="2323">
          <cell r="A2323" t="str">
            <v>A2GSFPRCOM1820</v>
          </cell>
          <cell r="B2323" t="str">
            <v>Not Started</v>
          </cell>
          <cell r="C2323">
            <v>0</v>
          </cell>
          <cell r="D2323">
            <v>0</v>
          </cell>
        </row>
        <row r="2324">
          <cell r="A2324" t="str">
            <v>A2GSFPRCOM1830</v>
          </cell>
          <cell r="B2324" t="str">
            <v>Not Started</v>
          </cell>
          <cell r="C2324">
            <v>0</v>
          </cell>
          <cell r="D2324">
            <v>0</v>
          </cell>
        </row>
        <row r="2325">
          <cell r="A2325" t="str">
            <v>A2GSFPREAR1450</v>
          </cell>
          <cell r="B2325" t="str">
            <v>Completed</v>
          </cell>
          <cell r="C2325">
            <v>1</v>
          </cell>
          <cell r="D2325">
            <v>1</v>
          </cell>
        </row>
        <row r="2326">
          <cell r="A2326" t="str">
            <v>A2GSFPREAR1460</v>
          </cell>
          <cell r="B2326" t="str">
            <v>Completed</v>
          </cell>
          <cell r="C2326">
            <v>1</v>
          </cell>
          <cell r="D2326">
            <v>1</v>
          </cell>
        </row>
        <row r="2327">
          <cell r="A2327" t="str">
            <v>A2GSFPREAR1470</v>
          </cell>
          <cell r="B2327" t="str">
            <v>Completed</v>
          </cell>
          <cell r="C2327">
            <v>1</v>
          </cell>
          <cell r="D2327">
            <v>1</v>
          </cell>
        </row>
        <row r="2328">
          <cell r="A2328" t="str">
            <v>A2GSFPREAR1480</v>
          </cell>
          <cell r="B2328" t="str">
            <v>In Progress</v>
          </cell>
          <cell r="C2328">
            <v>1</v>
          </cell>
          <cell r="D2328">
            <v>0.85</v>
          </cell>
        </row>
        <row r="2329">
          <cell r="A2329" t="str">
            <v>A2GSFPREAR1490</v>
          </cell>
          <cell r="B2329" t="str">
            <v>In Progress</v>
          </cell>
          <cell r="C2329">
            <v>0</v>
          </cell>
          <cell r="D2329">
            <v>0.85</v>
          </cell>
        </row>
        <row r="2330">
          <cell r="A2330" t="str">
            <v>A2GSFPREAR1500</v>
          </cell>
          <cell r="B2330" t="str">
            <v>In Progress</v>
          </cell>
          <cell r="C2330">
            <v>1</v>
          </cell>
          <cell r="D2330">
            <v>0</v>
          </cell>
        </row>
        <row r="2331">
          <cell r="A2331" t="str">
            <v>A2GSFPREAR1510</v>
          </cell>
          <cell r="B2331" t="str">
            <v>In Progress</v>
          </cell>
          <cell r="C2331">
            <v>1</v>
          </cell>
          <cell r="D2331">
            <v>0</v>
          </cell>
        </row>
        <row r="2332">
          <cell r="A2332" t="str">
            <v>A2GSFPREAR1520</v>
          </cell>
          <cell r="B2332" t="str">
            <v>Not Started</v>
          </cell>
          <cell r="C2332">
            <v>8.3299999999999999E-2</v>
          </cell>
          <cell r="D2332">
            <v>0</v>
          </cell>
        </row>
        <row r="2333">
          <cell r="A2333" t="str">
            <v>A2GSFPREAR1530</v>
          </cell>
          <cell r="B2333" t="str">
            <v>Not Started</v>
          </cell>
          <cell r="C2333">
            <v>0</v>
          </cell>
          <cell r="D2333">
            <v>0</v>
          </cell>
        </row>
        <row r="2334">
          <cell r="A2334" t="str">
            <v>A2GSFPREAR1540</v>
          </cell>
          <cell r="B2334" t="str">
            <v>Not Started</v>
          </cell>
          <cell r="C2334">
            <v>0</v>
          </cell>
          <cell r="D2334">
            <v>0</v>
          </cell>
        </row>
        <row r="2335">
          <cell r="A2335" t="str">
            <v>A2GSFPREAR1550</v>
          </cell>
          <cell r="B2335" t="str">
            <v>In Progress</v>
          </cell>
          <cell r="C2335">
            <v>1</v>
          </cell>
          <cell r="D2335">
            <v>0</v>
          </cell>
        </row>
        <row r="2336">
          <cell r="A2336" t="str">
            <v>A2GSFPREAR1560</v>
          </cell>
          <cell r="B2336" t="str">
            <v>In Progress</v>
          </cell>
          <cell r="C2336">
            <v>1</v>
          </cell>
          <cell r="D2336">
            <v>0</v>
          </cell>
        </row>
        <row r="2337">
          <cell r="A2337" t="str">
            <v>A2GSFPREAR1570</v>
          </cell>
          <cell r="B2337" t="str">
            <v>Not Started</v>
          </cell>
          <cell r="C2337">
            <v>0</v>
          </cell>
          <cell r="D2337">
            <v>0</v>
          </cell>
        </row>
        <row r="2338">
          <cell r="A2338" t="str">
            <v>A2GSFPREAR1580</v>
          </cell>
          <cell r="B2338" t="str">
            <v>Not Started</v>
          </cell>
          <cell r="C2338">
            <v>0</v>
          </cell>
          <cell r="D2338">
            <v>0</v>
          </cell>
        </row>
        <row r="2339">
          <cell r="A2339" t="str">
            <v>A2GSFPREAR1590</v>
          </cell>
          <cell r="B2339" t="str">
            <v>Not Started</v>
          </cell>
          <cell r="C2339">
            <v>0</v>
          </cell>
          <cell r="D2339">
            <v>0</v>
          </cell>
        </row>
        <row r="2340">
          <cell r="A2340" t="str">
            <v>A2GSFPRELE2470</v>
          </cell>
          <cell r="B2340" t="str">
            <v>Completed</v>
          </cell>
          <cell r="C2340">
            <v>1</v>
          </cell>
          <cell r="D2340">
            <v>1</v>
          </cell>
        </row>
        <row r="2341">
          <cell r="A2341" t="str">
            <v>A2GSFPRELE2480</v>
          </cell>
          <cell r="B2341" t="str">
            <v>Completed</v>
          </cell>
          <cell r="C2341">
            <v>1</v>
          </cell>
          <cell r="D2341">
            <v>1</v>
          </cell>
        </row>
        <row r="2342">
          <cell r="A2342" t="str">
            <v>A2GSFPRELE2490</v>
          </cell>
          <cell r="B2342" t="str">
            <v>Not Started</v>
          </cell>
          <cell r="C2342">
            <v>0.1389</v>
          </cell>
          <cell r="D2342">
            <v>0</v>
          </cell>
        </row>
        <row r="2343">
          <cell r="A2343" t="str">
            <v>A2GSFPRELE2500</v>
          </cell>
          <cell r="B2343" t="str">
            <v>Not Started</v>
          </cell>
          <cell r="C2343">
            <v>0</v>
          </cell>
          <cell r="D2343">
            <v>0</v>
          </cell>
        </row>
        <row r="2344">
          <cell r="A2344" t="str">
            <v>A2GSFPRELE2510</v>
          </cell>
          <cell r="B2344" t="str">
            <v>Not Started</v>
          </cell>
          <cell r="C2344">
            <v>0</v>
          </cell>
          <cell r="D2344">
            <v>0</v>
          </cell>
        </row>
        <row r="2345">
          <cell r="A2345" t="str">
            <v>A2GSFPRELE2520</v>
          </cell>
          <cell r="B2345" t="str">
            <v>Not Started</v>
          </cell>
          <cell r="C2345">
            <v>0</v>
          </cell>
          <cell r="D2345">
            <v>0</v>
          </cell>
        </row>
        <row r="2346">
          <cell r="A2346" t="str">
            <v>A2GSFPRELE2530</v>
          </cell>
          <cell r="B2346" t="str">
            <v>Not Started</v>
          </cell>
          <cell r="C2346">
            <v>0</v>
          </cell>
          <cell r="D2346">
            <v>0</v>
          </cell>
        </row>
        <row r="2347">
          <cell r="A2347" t="str">
            <v>A2GSFPRELE2540</v>
          </cell>
          <cell r="B2347" t="str">
            <v>In Progress</v>
          </cell>
          <cell r="C2347">
            <v>1</v>
          </cell>
          <cell r="D2347">
            <v>0</v>
          </cell>
        </row>
        <row r="2348">
          <cell r="A2348" t="str">
            <v>A2GSFPRELE2550</v>
          </cell>
          <cell r="B2348" t="str">
            <v>In Progress</v>
          </cell>
          <cell r="C2348">
            <v>1</v>
          </cell>
          <cell r="D2348">
            <v>0</v>
          </cell>
        </row>
        <row r="2349">
          <cell r="A2349" t="str">
            <v>A2GSFPRELE2560</v>
          </cell>
          <cell r="B2349" t="str">
            <v>Not Started</v>
          </cell>
          <cell r="C2349">
            <v>0.1</v>
          </cell>
          <cell r="D2349">
            <v>0</v>
          </cell>
        </row>
        <row r="2350">
          <cell r="A2350" t="str">
            <v>A2GSFPRELE2570</v>
          </cell>
          <cell r="B2350" t="str">
            <v>Not Started</v>
          </cell>
          <cell r="C2350">
            <v>0</v>
          </cell>
          <cell r="D2350">
            <v>0</v>
          </cell>
        </row>
        <row r="2351">
          <cell r="A2351" t="str">
            <v>A2GSFPRELE2580</v>
          </cell>
          <cell r="B2351" t="str">
            <v>Not Started</v>
          </cell>
          <cell r="C2351">
            <v>0</v>
          </cell>
          <cell r="D2351">
            <v>0</v>
          </cell>
        </row>
        <row r="2352">
          <cell r="A2352" t="str">
            <v>A2GSFPRELE2590</v>
          </cell>
          <cell r="B2352" t="str">
            <v>Not Started</v>
          </cell>
          <cell r="C2352">
            <v>0</v>
          </cell>
          <cell r="D2352">
            <v>0</v>
          </cell>
        </row>
        <row r="2353">
          <cell r="A2353" t="str">
            <v>A2GSFPRELE2600</v>
          </cell>
          <cell r="B2353" t="str">
            <v>Not Started</v>
          </cell>
          <cell r="C2353">
            <v>0</v>
          </cell>
          <cell r="D2353">
            <v>0</v>
          </cell>
        </row>
        <row r="2354">
          <cell r="A2354" t="str">
            <v>A2GSFPRELE2610</v>
          </cell>
          <cell r="B2354" t="str">
            <v>In Progress</v>
          </cell>
          <cell r="C2354">
            <v>1</v>
          </cell>
          <cell r="D2354">
            <v>0</v>
          </cell>
        </row>
        <row r="2355">
          <cell r="A2355" t="str">
            <v>A2GSFPRELE2620</v>
          </cell>
          <cell r="B2355" t="str">
            <v>In Progress</v>
          </cell>
          <cell r="C2355">
            <v>1</v>
          </cell>
          <cell r="D2355">
            <v>0</v>
          </cell>
        </row>
        <row r="2356">
          <cell r="A2356" t="str">
            <v>A2GSFPRELE2630</v>
          </cell>
          <cell r="B2356" t="str">
            <v>Not Started</v>
          </cell>
          <cell r="C2356">
            <v>0.2167</v>
          </cell>
          <cell r="D2356">
            <v>0</v>
          </cell>
        </row>
        <row r="2357">
          <cell r="A2357" t="str">
            <v>A2GSFPRELE2640</v>
          </cell>
          <cell r="B2357" t="str">
            <v>Not Started</v>
          </cell>
          <cell r="C2357">
            <v>0</v>
          </cell>
          <cell r="D2357">
            <v>0</v>
          </cell>
        </row>
        <row r="2358">
          <cell r="A2358" t="str">
            <v>A2GSFPRELE2650</v>
          </cell>
          <cell r="B2358" t="str">
            <v>Not Started</v>
          </cell>
          <cell r="C2358">
            <v>0</v>
          </cell>
          <cell r="D2358">
            <v>0</v>
          </cell>
        </row>
        <row r="2359">
          <cell r="A2359" t="str">
            <v>A2GSFPRELE2660</v>
          </cell>
          <cell r="B2359" t="str">
            <v>Not Started</v>
          </cell>
          <cell r="C2359">
            <v>0</v>
          </cell>
          <cell r="D2359">
            <v>0</v>
          </cell>
        </row>
        <row r="2360">
          <cell r="A2360" t="str">
            <v>A2GSFPRELE2670</v>
          </cell>
          <cell r="B2360" t="str">
            <v>Not Started</v>
          </cell>
          <cell r="C2360">
            <v>0</v>
          </cell>
          <cell r="D2360">
            <v>0</v>
          </cell>
        </row>
        <row r="2361">
          <cell r="A2361" t="str">
            <v>A2GSFPRELE2680</v>
          </cell>
          <cell r="B2361" t="str">
            <v>Completed</v>
          </cell>
          <cell r="C2361">
            <v>1</v>
          </cell>
          <cell r="D2361">
            <v>1</v>
          </cell>
        </row>
        <row r="2362">
          <cell r="A2362" t="str">
            <v>A2GSFPRELE2690</v>
          </cell>
          <cell r="B2362" t="str">
            <v>Completed</v>
          </cell>
          <cell r="C2362">
            <v>1</v>
          </cell>
          <cell r="D2362">
            <v>1</v>
          </cell>
        </row>
        <row r="2363">
          <cell r="A2363" t="str">
            <v>A2GSFPRELE2700</v>
          </cell>
          <cell r="B2363" t="str">
            <v>Completed</v>
          </cell>
          <cell r="C2363">
            <v>0.37140000000000001</v>
          </cell>
          <cell r="D2363">
            <v>1</v>
          </cell>
        </row>
        <row r="2364">
          <cell r="A2364" t="str">
            <v>A2GSFPRELE2710</v>
          </cell>
          <cell r="B2364" t="str">
            <v>In Progress</v>
          </cell>
          <cell r="C2364">
            <v>0.21149999999999999</v>
          </cell>
          <cell r="D2364">
            <v>0.5</v>
          </cell>
        </row>
        <row r="2365">
          <cell r="A2365" t="str">
            <v>A2GSFPRELE2720</v>
          </cell>
          <cell r="B2365" t="str">
            <v>Not Started</v>
          </cell>
          <cell r="C2365">
            <v>0</v>
          </cell>
          <cell r="D2365">
            <v>0</v>
          </cell>
        </row>
        <row r="2366">
          <cell r="A2366" t="str">
            <v>A2GSFPRELE2730</v>
          </cell>
          <cell r="B2366" t="str">
            <v>Not Started</v>
          </cell>
          <cell r="C2366">
            <v>0</v>
          </cell>
          <cell r="D2366">
            <v>0</v>
          </cell>
        </row>
        <row r="2367">
          <cell r="A2367" t="str">
            <v>A2GSFPRELE2740</v>
          </cell>
          <cell r="B2367" t="str">
            <v>Not Started</v>
          </cell>
          <cell r="C2367">
            <v>0</v>
          </cell>
          <cell r="D2367">
            <v>0</v>
          </cell>
        </row>
        <row r="2368">
          <cell r="A2368" t="str">
            <v>A2GSFPRELE2750</v>
          </cell>
          <cell r="B2368" t="str">
            <v>Completed</v>
          </cell>
          <cell r="C2368">
            <v>1</v>
          </cell>
          <cell r="D2368">
            <v>1</v>
          </cell>
        </row>
        <row r="2369">
          <cell r="A2369" t="str">
            <v>A2GSFPRELE2760</v>
          </cell>
          <cell r="B2369" t="str">
            <v>Completed</v>
          </cell>
          <cell r="C2369">
            <v>1</v>
          </cell>
          <cell r="D2369">
            <v>1</v>
          </cell>
        </row>
        <row r="2370">
          <cell r="A2370" t="str">
            <v>A2GSFPRELE2770</v>
          </cell>
          <cell r="B2370" t="str">
            <v>Completed</v>
          </cell>
          <cell r="C2370">
            <v>0.65710000000000002</v>
          </cell>
          <cell r="D2370">
            <v>1</v>
          </cell>
        </row>
        <row r="2371">
          <cell r="A2371" t="str">
            <v>A2GSFPRELE2780</v>
          </cell>
          <cell r="B2371" t="str">
            <v>In Progress</v>
          </cell>
          <cell r="C2371">
            <v>0.191</v>
          </cell>
          <cell r="D2371">
            <v>0.5</v>
          </cell>
        </row>
        <row r="2372">
          <cell r="A2372" t="str">
            <v>A2GSFPRELE2790</v>
          </cell>
          <cell r="B2372" t="str">
            <v>Not Started</v>
          </cell>
          <cell r="C2372">
            <v>0</v>
          </cell>
          <cell r="D2372">
            <v>0</v>
          </cell>
        </row>
        <row r="2373">
          <cell r="A2373" t="str">
            <v>A2GSFPRELE2800</v>
          </cell>
          <cell r="B2373" t="str">
            <v>Not Started</v>
          </cell>
          <cell r="C2373">
            <v>0</v>
          </cell>
          <cell r="D2373">
            <v>0</v>
          </cell>
        </row>
        <row r="2374">
          <cell r="A2374" t="str">
            <v>A2GSFPRELE2810</v>
          </cell>
          <cell r="B2374" t="str">
            <v>Not Started</v>
          </cell>
          <cell r="C2374">
            <v>0</v>
          </cell>
          <cell r="D2374">
            <v>0</v>
          </cell>
        </row>
        <row r="2375">
          <cell r="A2375" t="str">
            <v>A2GSFPRELE2820</v>
          </cell>
          <cell r="B2375" t="str">
            <v>In Progress</v>
          </cell>
          <cell r="C2375">
            <v>1</v>
          </cell>
          <cell r="D2375">
            <v>0</v>
          </cell>
        </row>
        <row r="2376">
          <cell r="A2376" t="str">
            <v>A2GSFPRELE2830</v>
          </cell>
          <cell r="B2376" t="str">
            <v>In Progress</v>
          </cell>
          <cell r="C2376">
            <v>1</v>
          </cell>
          <cell r="D2376">
            <v>0</v>
          </cell>
        </row>
        <row r="2377">
          <cell r="A2377" t="str">
            <v>A2GSFPRELE2840</v>
          </cell>
          <cell r="B2377" t="str">
            <v>Not Started</v>
          </cell>
          <cell r="C2377">
            <v>0</v>
          </cell>
          <cell r="D2377">
            <v>0</v>
          </cell>
        </row>
        <row r="2378">
          <cell r="A2378" t="str">
            <v>A2GSFPRELE2850</v>
          </cell>
          <cell r="B2378" t="str">
            <v>Not Started</v>
          </cell>
          <cell r="C2378">
            <v>0</v>
          </cell>
          <cell r="D2378">
            <v>0</v>
          </cell>
        </row>
        <row r="2379">
          <cell r="A2379" t="str">
            <v>A2GSFPRELE2860</v>
          </cell>
          <cell r="B2379" t="str">
            <v>Not Started</v>
          </cell>
          <cell r="C2379">
            <v>0</v>
          </cell>
          <cell r="D2379">
            <v>0</v>
          </cell>
        </row>
        <row r="2380">
          <cell r="A2380" t="str">
            <v>A2GSFPRELE2870</v>
          </cell>
          <cell r="B2380" t="str">
            <v>Not Started</v>
          </cell>
          <cell r="C2380">
            <v>0</v>
          </cell>
          <cell r="D2380">
            <v>0</v>
          </cell>
        </row>
        <row r="2381">
          <cell r="A2381" t="str">
            <v>A2GSFPRELE2880</v>
          </cell>
          <cell r="B2381" t="str">
            <v>Not Started</v>
          </cell>
          <cell r="C2381">
            <v>0</v>
          </cell>
          <cell r="D2381">
            <v>0</v>
          </cell>
        </row>
        <row r="2382">
          <cell r="A2382" t="str">
            <v>A2GSFPRELE2890</v>
          </cell>
          <cell r="B2382" t="str">
            <v>In Progress</v>
          </cell>
          <cell r="C2382">
            <v>1</v>
          </cell>
          <cell r="D2382">
            <v>0</v>
          </cell>
        </row>
        <row r="2383">
          <cell r="A2383" t="str">
            <v>A2GSFPRELE2900</v>
          </cell>
          <cell r="B2383" t="str">
            <v>In Progress</v>
          </cell>
          <cell r="C2383">
            <v>1</v>
          </cell>
          <cell r="D2383">
            <v>0</v>
          </cell>
        </row>
        <row r="2384">
          <cell r="A2384" t="str">
            <v>A2GSFPRELE2910</v>
          </cell>
          <cell r="B2384" t="str">
            <v>Not Started</v>
          </cell>
          <cell r="C2384">
            <v>0.1</v>
          </cell>
          <cell r="D2384">
            <v>0</v>
          </cell>
        </row>
        <row r="2385">
          <cell r="A2385" t="str">
            <v>A2GSFPRELE2920</v>
          </cell>
          <cell r="B2385" t="str">
            <v>Not Started</v>
          </cell>
          <cell r="C2385">
            <v>0</v>
          </cell>
          <cell r="D2385">
            <v>0</v>
          </cell>
        </row>
        <row r="2386">
          <cell r="A2386" t="str">
            <v>A2GSFPRELE2930</v>
          </cell>
          <cell r="B2386" t="str">
            <v>Not Started</v>
          </cell>
          <cell r="C2386">
            <v>0</v>
          </cell>
          <cell r="D2386">
            <v>0</v>
          </cell>
        </row>
        <row r="2387">
          <cell r="A2387" t="str">
            <v>A2GSFPRELE2940</v>
          </cell>
          <cell r="B2387" t="str">
            <v>Not Started</v>
          </cell>
          <cell r="C2387">
            <v>0</v>
          </cell>
          <cell r="D2387">
            <v>0</v>
          </cell>
        </row>
        <row r="2388">
          <cell r="A2388" t="str">
            <v>A2GSFPRELE2950</v>
          </cell>
          <cell r="B2388" t="str">
            <v>Not Started</v>
          </cell>
          <cell r="C2388">
            <v>0</v>
          </cell>
          <cell r="D2388">
            <v>0</v>
          </cell>
        </row>
        <row r="2389">
          <cell r="A2389" t="str">
            <v>A2GSFPRELE2960</v>
          </cell>
          <cell r="B2389" t="str">
            <v>In Progress</v>
          </cell>
          <cell r="C2389">
            <v>1</v>
          </cell>
          <cell r="D2389">
            <v>0</v>
          </cell>
        </row>
        <row r="2390">
          <cell r="A2390" t="str">
            <v>A2GSFPRELE2970</v>
          </cell>
          <cell r="B2390" t="str">
            <v>In Progress</v>
          </cell>
          <cell r="C2390">
            <v>1</v>
          </cell>
          <cell r="D2390">
            <v>0</v>
          </cell>
        </row>
        <row r="2391">
          <cell r="A2391" t="str">
            <v>A2GSFPRELE2980</v>
          </cell>
          <cell r="B2391" t="str">
            <v>Not Started</v>
          </cell>
          <cell r="C2391">
            <v>0.1</v>
          </cell>
          <cell r="D2391">
            <v>0</v>
          </cell>
        </row>
        <row r="2392">
          <cell r="A2392" t="str">
            <v>A2GSFPRELE2990</v>
          </cell>
          <cell r="B2392" t="str">
            <v>Not Started</v>
          </cell>
          <cell r="C2392">
            <v>0</v>
          </cell>
          <cell r="D2392">
            <v>0</v>
          </cell>
        </row>
        <row r="2393">
          <cell r="A2393" t="str">
            <v>A2GSFPRELE3000</v>
          </cell>
          <cell r="B2393" t="str">
            <v>Not Started</v>
          </cell>
          <cell r="C2393">
            <v>0</v>
          </cell>
          <cell r="D2393">
            <v>0</v>
          </cell>
        </row>
        <row r="2394">
          <cell r="A2394" t="str">
            <v>A2GSFPRELE3010</v>
          </cell>
          <cell r="B2394" t="str">
            <v>Not Started</v>
          </cell>
          <cell r="C2394">
            <v>0</v>
          </cell>
          <cell r="D2394">
            <v>0</v>
          </cell>
        </row>
        <row r="2395">
          <cell r="A2395" t="str">
            <v>A2GSFPRELE3020</v>
          </cell>
          <cell r="B2395" t="str">
            <v>Not Started</v>
          </cell>
          <cell r="C2395">
            <v>0</v>
          </cell>
          <cell r="D2395">
            <v>0</v>
          </cell>
        </row>
        <row r="2396">
          <cell r="A2396" t="str">
            <v>A2GSFPRELE3030</v>
          </cell>
          <cell r="B2396" t="str">
            <v>In Progress</v>
          </cell>
          <cell r="C2396">
            <v>1</v>
          </cell>
          <cell r="D2396">
            <v>0</v>
          </cell>
        </row>
        <row r="2397">
          <cell r="A2397" t="str">
            <v>A2GSFPRELE3040</v>
          </cell>
          <cell r="B2397" t="str">
            <v>In Progress</v>
          </cell>
          <cell r="C2397">
            <v>1</v>
          </cell>
          <cell r="D2397">
            <v>0</v>
          </cell>
        </row>
        <row r="2398">
          <cell r="A2398" t="str">
            <v>A2GSFPRELE3050</v>
          </cell>
          <cell r="B2398" t="str">
            <v>Not Started</v>
          </cell>
          <cell r="C2398">
            <v>0.1</v>
          </cell>
          <cell r="D2398">
            <v>0</v>
          </cell>
        </row>
        <row r="2399">
          <cell r="A2399" t="str">
            <v>A2GSFPRELE3060</v>
          </cell>
          <cell r="B2399" t="str">
            <v>Not Started</v>
          </cell>
          <cell r="C2399">
            <v>0</v>
          </cell>
          <cell r="D2399">
            <v>0</v>
          </cell>
        </row>
        <row r="2400">
          <cell r="A2400" t="str">
            <v>A2GSFPRELE3070</v>
          </cell>
          <cell r="B2400" t="str">
            <v>Not Started</v>
          </cell>
          <cell r="C2400">
            <v>0</v>
          </cell>
          <cell r="D2400">
            <v>0</v>
          </cell>
        </row>
        <row r="2401">
          <cell r="A2401" t="str">
            <v>A2GSFPRELE3080</v>
          </cell>
          <cell r="B2401" t="str">
            <v>Not Started</v>
          </cell>
          <cell r="C2401">
            <v>0</v>
          </cell>
          <cell r="D2401">
            <v>0</v>
          </cell>
        </row>
        <row r="2402">
          <cell r="A2402" t="str">
            <v>A2GSFPRELE3090</v>
          </cell>
          <cell r="B2402" t="str">
            <v>Not Started</v>
          </cell>
          <cell r="C2402">
            <v>0</v>
          </cell>
          <cell r="D2402">
            <v>0</v>
          </cell>
        </row>
        <row r="2403">
          <cell r="A2403" t="str">
            <v>A2GSFPRELE4290</v>
          </cell>
          <cell r="B2403" t="str">
            <v>Completed</v>
          </cell>
          <cell r="C2403">
            <v>1</v>
          </cell>
          <cell r="D2403">
            <v>1</v>
          </cell>
        </row>
        <row r="2404">
          <cell r="A2404" t="str">
            <v>A2GSFPRELE4300</v>
          </cell>
          <cell r="B2404" t="str">
            <v>Completed</v>
          </cell>
          <cell r="C2404">
            <v>1</v>
          </cell>
          <cell r="D2404">
            <v>1</v>
          </cell>
        </row>
        <row r="2405">
          <cell r="A2405" t="str">
            <v>A2GSFPRELE4310</v>
          </cell>
          <cell r="B2405" t="str">
            <v>Not Started</v>
          </cell>
          <cell r="C2405">
            <v>0.80359999999999998</v>
          </cell>
          <cell r="D2405">
            <v>0</v>
          </cell>
        </row>
        <row r="2406">
          <cell r="A2406" t="str">
            <v>A2GSFPRELE4320</v>
          </cell>
          <cell r="B2406" t="str">
            <v>Not Started</v>
          </cell>
          <cell r="C2406">
            <v>0</v>
          </cell>
          <cell r="D2406">
            <v>0</v>
          </cell>
        </row>
        <row r="2407">
          <cell r="A2407" t="str">
            <v>A2GSFPRELE4330</v>
          </cell>
          <cell r="B2407" t="str">
            <v>Not Started</v>
          </cell>
          <cell r="C2407">
            <v>0</v>
          </cell>
          <cell r="D2407">
            <v>0</v>
          </cell>
        </row>
        <row r="2408">
          <cell r="A2408" t="str">
            <v>A2GSFPRELE4340</v>
          </cell>
          <cell r="B2408" t="str">
            <v>Not Started</v>
          </cell>
          <cell r="C2408">
            <v>0</v>
          </cell>
          <cell r="D2408">
            <v>0</v>
          </cell>
        </row>
        <row r="2409">
          <cell r="A2409" t="str">
            <v>A2GSFPRELE4350</v>
          </cell>
          <cell r="B2409" t="str">
            <v>Not Started</v>
          </cell>
          <cell r="C2409">
            <v>0</v>
          </cell>
          <cell r="D2409">
            <v>0</v>
          </cell>
        </row>
        <row r="2410">
          <cell r="A2410" t="str">
            <v>A2GSFPRELE4360</v>
          </cell>
          <cell r="B2410" t="str">
            <v>In Progress</v>
          </cell>
          <cell r="C2410">
            <v>1</v>
          </cell>
          <cell r="D2410">
            <v>0</v>
          </cell>
        </row>
        <row r="2411">
          <cell r="A2411" t="str">
            <v>A2GSFPRELE4370</v>
          </cell>
          <cell r="B2411" t="str">
            <v>In Progress</v>
          </cell>
          <cell r="C2411">
            <v>1</v>
          </cell>
          <cell r="D2411">
            <v>0</v>
          </cell>
        </row>
        <row r="2412">
          <cell r="A2412" t="str">
            <v>A2GSFPRELE4380</v>
          </cell>
          <cell r="B2412" t="str">
            <v>Not Started</v>
          </cell>
          <cell r="C2412">
            <v>0.80359999999999998</v>
          </cell>
          <cell r="D2412">
            <v>0</v>
          </cell>
        </row>
        <row r="2413">
          <cell r="A2413" t="str">
            <v>A2GSFPRELE4390</v>
          </cell>
          <cell r="B2413" t="str">
            <v>Not Started</v>
          </cell>
          <cell r="C2413">
            <v>0</v>
          </cell>
          <cell r="D2413">
            <v>0</v>
          </cell>
        </row>
        <row r="2414">
          <cell r="A2414" t="str">
            <v>A2GSFPRELE4400</v>
          </cell>
          <cell r="B2414" t="str">
            <v>Not Started</v>
          </cell>
          <cell r="C2414">
            <v>0</v>
          </cell>
          <cell r="D2414">
            <v>0</v>
          </cell>
        </row>
        <row r="2415">
          <cell r="A2415" t="str">
            <v>A2GSFPRELE4410</v>
          </cell>
          <cell r="B2415" t="str">
            <v>Not Started</v>
          </cell>
          <cell r="C2415">
            <v>0</v>
          </cell>
          <cell r="D2415">
            <v>0</v>
          </cell>
        </row>
        <row r="2416">
          <cell r="A2416" t="str">
            <v>A2GSFPRELE4420</v>
          </cell>
          <cell r="B2416" t="str">
            <v>Not Started</v>
          </cell>
          <cell r="C2416">
            <v>0</v>
          </cell>
          <cell r="D2416">
            <v>0</v>
          </cell>
        </row>
        <row r="2417">
          <cell r="A2417" t="str">
            <v>A2GSFPRELE4430</v>
          </cell>
          <cell r="B2417" t="str">
            <v>Completed</v>
          </cell>
          <cell r="C2417">
            <v>1</v>
          </cell>
          <cell r="D2417">
            <v>1</v>
          </cell>
        </row>
        <row r="2418">
          <cell r="A2418" t="str">
            <v>A2GSFPRELE4440</v>
          </cell>
          <cell r="B2418" t="str">
            <v>Completed</v>
          </cell>
          <cell r="C2418">
            <v>1</v>
          </cell>
          <cell r="D2418">
            <v>1</v>
          </cell>
        </row>
        <row r="2419">
          <cell r="A2419" t="str">
            <v>A2GSFPRELE4450</v>
          </cell>
          <cell r="B2419" t="str">
            <v>In Progress</v>
          </cell>
          <cell r="C2419">
            <v>0.63890000000000002</v>
          </cell>
          <cell r="D2419">
            <v>0.15</v>
          </cell>
        </row>
        <row r="2420">
          <cell r="A2420" t="str">
            <v>A2GSFPRELE4460</v>
          </cell>
          <cell r="B2420" t="str">
            <v>In Progress</v>
          </cell>
          <cell r="C2420">
            <v>0</v>
          </cell>
          <cell r="D2420">
            <v>0.15</v>
          </cell>
        </row>
        <row r="2421">
          <cell r="A2421" t="str">
            <v>A2GSFPRELE4470</v>
          </cell>
          <cell r="B2421" t="str">
            <v>In Progress</v>
          </cell>
          <cell r="C2421">
            <v>0</v>
          </cell>
          <cell r="D2421">
            <v>0.15</v>
          </cell>
        </row>
        <row r="2422">
          <cell r="A2422" t="str">
            <v>A2GSFPRELE4480</v>
          </cell>
          <cell r="B2422" t="str">
            <v>Not Started</v>
          </cell>
          <cell r="C2422">
            <v>0</v>
          </cell>
          <cell r="D2422">
            <v>0</v>
          </cell>
        </row>
        <row r="2423">
          <cell r="A2423" t="str">
            <v>A2GSFPRELE4490</v>
          </cell>
          <cell r="B2423" t="str">
            <v>Not Started</v>
          </cell>
          <cell r="C2423">
            <v>0</v>
          </cell>
          <cell r="D2423">
            <v>0</v>
          </cell>
        </row>
        <row r="2424">
          <cell r="A2424" t="str">
            <v>A2GSFPRELE4500</v>
          </cell>
          <cell r="B2424" t="str">
            <v>In Progress</v>
          </cell>
          <cell r="C2424">
            <v>1</v>
          </cell>
          <cell r="D2424">
            <v>0</v>
          </cell>
        </row>
        <row r="2425">
          <cell r="A2425" t="str">
            <v>A2GSFPRELE4510</v>
          </cell>
          <cell r="B2425" t="str">
            <v>In Progress</v>
          </cell>
          <cell r="C2425">
            <v>1</v>
          </cell>
          <cell r="D2425">
            <v>0</v>
          </cell>
        </row>
        <row r="2426">
          <cell r="A2426" t="str">
            <v>A2GSFPRELE4520</v>
          </cell>
          <cell r="B2426" t="str">
            <v>Not Started</v>
          </cell>
          <cell r="C2426">
            <v>0</v>
          </cell>
          <cell r="D2426">
            <v>0</v>
          </cell>
        </row>
        <row r="2427">
          <cell r="A2427" t="str">
            <v>A2GSFPRELE4530</v>
          </cell>
          <cell r="B2427" t="str">
            <v>Not Started</v>
          </cell>
          <cell r="C2427">
            <v>0</v>
          </cell>
          <cell r="D2427">
            <v>0</v>
          </cell>
        </row>
        <row r="2428">
          <cell r="A2428" t="str">
            <v>A2GSFPRELE4540</v>
          </cell>
          <cell r="B2428" t="str">
            <v>Not Started</v>
          </cell>
          <cell r="C2428">
            <v>0</v>
          </cell>
          <cell r="D2428">
            <v>0</v>
          </cell>
        </row>
        <row r="2429">
          <cell r="A2429" t="str">
            <v>A2GSFPRELE4550</v>
          </cell>
          <cell r="B2429" t="str">
            <v>Not Started</v>
          </cell>
          <cell r="C2429">
            <v>0</v>
          </cell>
          <cell r="D2429">
            <v>0</v>
          </cell>
        </row>
        <row r="2430">
          <cell r="A2430" t="str">
            <v>A2GSFPRELE4560</v>
          </cell>
          <cell r="B2430" t="str">
            <v>Not Started</v>
          </cell>
          <cell r="C2430">
            <v>0</v>
          </cell>
          <cell r="D2430">
            <v>0</v>
          </cell>
        </row>
        <row r="2431">
          <cell r="A2431" t="str">
            <v>A2GSFPRELE4570</v>
          </cell>
          <cell r="B2431" t="str">
            <v>Completed</v>
          </cell>
          <cell r="C2431">
            <v>1</v>
          </cell>
          <cell r="D2431">
            <v>1</v>
          </cell>
        </row>
        <row r="2432">
          <cell r="A2432" t="str">
            <v>A2GSFPRELE4580</v>
          </cell>
          <cell r="B2432" t="str">
            <v>In Progress</v>
          </cell>
          <cell r="C2432">
            <v>1</v>
          </cell>
          <cell r="D2432">
            <v>0.2</v>
          </cell>
        </row>
        <row r="2433">
          <cell r="A2433" t="str">
            <v>A2GSFPRELE4590</v>
          </cell>
          <cell r="B2433" t="str">
            <v>Not Started</v>
          </cell>
          <cell r="C2433">
            <v>8.9300000000000004E-2</v>
          </cell>
          <cell r="D2433">
            <v>0</v>
          </cell>
        </row>
        <row r="2434">
          <cell r="A2434" t="str">
            <v>A2GSFPRELE4600</v>
          </cell>
          <cell r="B2434" t="str">
            <v>Not Started</v>
          </cell>
          <cell r="C2434">
            <v>0</v>
          </cell>
          <cell r="D2434">
            <v>0</v>
          </cell>
        </row>
        <row r="2435">
          <cell r="A2435" t="str">
            <v>A2GSFPRELE4610</v>
          </cell>
          <cell r="B2435" t="str">
            <v>Not Started</v>
          </cell>
          <cell r="C2435">
            <v>0</v>
          </cell>
          <cell r="D2435">
            <v>0</v>
          </cell>
        </row>
        <row r="2436">
          <cell r="A2436" t="str">
            <v>A2GSFPRELE4620</v>
          </cell>
          <cell r="B2436" t="str">
            <v>Not Started</v>
          </cell>
          <cell r="C2436">
            <v>0</v>
          </cell>
          <cell r="D2436">
            <v>0</v>
          </cell>
        </row>
        <row r="2437">
          <cell r="A2437" t="str">
            <v>A2GSFPRELE4630</v>
          </cell>
          <cell r="B2437" t="str">
            <v>Not Started</v>
          </cell>
          <cell r="C2437">
            <v>0</v>
          </cell>
          <cell r="D2437">
            <v>0</v>
          </cell>
        </row>
        <row r="2438">
          <cell r="A2438" t="str">
            <v>A2GSFPRELE4640</v>
          </cell>
          <cell r="B2438" t="str">
            <v>In Progress</v>
          </cell>
          <cell r="C2438">
            <v>1</v>
          </cell>
          <cell r="D2438">
            <v>0</v>
          </cell>
        </row>
        <row r="2439">
          <cell r="A2439" t="str">
            <v>A2GSFPRELE4650</v>
          </cell>
          <cell r="B2439" t="str">
            <v>In Progress</v>
          </cell>
          <cell r="C2439">
            <v>1</v>
          </cell>
          <cell r="D2439">
            <v>0</v>
          </cell>
        </row>
        <row r="2440">
          <cell r="A2440" t="str">
            <v>A2GSFPRELE4660</v>
          </cell>
          <cell r="B2440" t="str">
            <v>Not Started</v>
          </cell>
          <cell r="C2440">
            <v>0.2031</v>
          </cell>
          <cell r="D2440">
            <v>0</v>
          </cell>
        </row>
        <row r="2441">
          <cell r="A2441" t="str">
            <v>A2GSFPRELE4670</v>
          </cell>
          <cell r="B2441" t="str">
            <v>Not Started</v>
          </cell>
          <cell r="C2441">
            <v>0</v>
          </cell>
          <cell r="D2441">
            <v>0</v>
          </cell>
        </row>
        <row r="2442">
          <cell r="A2442" t="str">
            <v>A2GSFPRELE4680</v>
          </cell>
          <cell r="B2442" t="str">
            <v>Not Started</v>
          </cell>
          <cell r="C2442">
            <v>0</v>
          </cell>
          <cell r="D2442">
            <v>0</v>
          </cell>
        </row>
        <row r="2443">
          <cell r="A2443" t="str">
            <v>A2GSFPRELE4690</v>
          </cell>
          <cell r="B2443" t="str">
            <v>Not Started</v>
          </cell>
          <cell r="C2443">
            <v>0</v>
          </cell>
          <cell r="D2443">
            <v>0</v>
          </cell>
        </row>
        <row r="2444">
          <cell r="A2444" t="str">
            <v>A2GSFPRELE4700</v>
          </cell>
          <cell r="B2444" t="str">
            <v>Not Started</v>
          </cell>
          <cell r="C2444">
            <v>0</v>
          </cell>
          <cell r="D2444">
            <v>0</v>
          </cell>
        </row>
        <row r="2445">
          <cell r="A2445" t="str">
            <v>A2GSFPRELE4710</v>
          </cell>
          <cell r="B2445" t="str">
            <v>In Progress</v>
          </cell>
          <cell r="C2445">
            <v>1</v>
          </cell>
          <cell r="D2445">
            <v>0</v>
          </cell>
        </row>
        <row r="2446">
          <cell r="A2446" t="str">
            <v>A2GSFPRELE4720</v>
          </cell>
          <cell r="B2446" t="str">
            <v>In Progress</v>
          </cell>
          <cell r="C2446">
            <v>1</v>
          </cell>
          <cell r="D2446">
            <v>0</v>
          </cell>
        </row>
        <row r="2447">
          <cell r="A2447" t="str">
            <v>A2GSFPRELE4730</v>
          </cell>
          <cell r="B2447" t="str">
            <v>Not Started</v>
          </cell>
          <cell r="C2447">
            <v>0</v>
          </cell>
          <cell r="D2447">
            <v>0</v>
          </cell>
        </row>
        <row r="2448">
          <cell r="A2448" t="str">
            <v>A2GSFPRELE4740</v>
          </cell>
          <cell r="B2448" t="str">
            <v>Not Started</v>
          </cell>
          <cell r="C2448">
            <v>0</v>
          </cell>
          <cell r="D2448">
            <v>0</v>
          </cell>
        </row>
        <row r="2449">
          <cell r="A2449" t="str">
            <v>A2GSFPRELE4750</v>
          </cell>
          <cell r="B2449" t="str">
            <v>Not Started</v>
          </cell>
          <cell r="C2449">
            <v>0</v>
          </cell>
          <cell r="D2449">
            <v>0</v>
          </cell>
        </row>
        <row r="2450">
          <cell r="A2450" t="str">
            <v>A2GSFPRELE4760</v>
          </cell>
          <cell r="B2450" t="str">
            <v>Not Started</v>
          </cell>
          <cell r="C2450">
            <v>0</v>
          </cell>
          <cell r="D2450">
            <v>0</v>
          </cell>
        </row>
        <row r="2451">
          <cell r="A2451" t="str">
            <v>A2GSFPRELE4770</v>
          </cell>
          <cell r="B2451" t="str">
            <v>Not Started</v>
          </cell>
          <cell r="C2451">
            <v>0</v>
          </cell>
          <cell r="D2451">
            <v>0</v>
          </cell>
        </row>
        <row r="2452">
          <cell r="A2452" t="str">
            <v>A2GSFPRINS1281</v>
          </cell>
          <cell r="B2452" t="str">
            <v>In Progress</v>
          </cell>
          <cell r="C2452">
            <v>1</v>
          </cell>
          <cell r="D2452">
            <v>0</v>
          </cell>
        </row>
        <row r="2453">
          <cell r="A2453" t="str">
            <v>A2GSFPRINS1291</v>
          </cell>
          <cell r="B2453" t="str">
            <v>In Progress</v>
          </cell>
          <cell r="C2453">
            <v>1</v>
          </cell>
          <cell r="D2453">
            <v>0</v>
          </cell>
        </row>
        <row r="2454">
          <cell r="A2454" t="str">
            <v>A2GSFPRINS1301</v>
          </cell>
          <cell r="B2454" t="str">
            <v>Not Started</v>
          </cell>
          <cell r="C2454">
            <v>0</v>
          </cell>
          <cell r="D2454">
            <v>0</v>
          </cell>
        </row>
        <row r="2455">
          <cell r="A2455" t="str">
            <v>A2GSFPRINS1311</v>
          </cell>
          <cell r="B2455" t="str">
            <v>Not Started</v>
          </cell>
          <cell r="C2455">
            <v>0</v>
          </cell>
          <cell r="D2455">
            <v>0</v>
          </cell>
        </row>
        <row r="2456">
          <cell r="A2456" t="str">
            <v>A2GSFPRINS1321</v>
          </cell>
          <cell r="B2456" t="str">
            <v>Not Started</v>
          </cell>
          <cell r="C2456">
            <v>0</v>
          </cell>
          <cell r="D2456">
            <v>0</v>
          </cell>
        </row>
        <row r="2457">
          <cell r="A2457" t="str">
            <v>A2GSFPRINS1331</v>
          </cell>
          <cell r="B2457" t="str">
            <v>Not Started</v>
          </cell>
          <cell r="C2457">
            <v>0</v>
          </cell>
          <cell r="D2457">
            <v>0</v>
          </cell>
        </row>
        <row r="2458">
          <cell r="A2458" t="str">
            <v>A2GSFPRINS1341</v>
          </cell>
          <cell r="B2458" t="str">
            <v>Not Started</v>
          </cell>
          <cell r="C2458">
            <v>0</v>
          </cell>
          <cell r="D2458">
            <v>0</v>
          </cell>
        </row>
        <row r="2459">
          <cell r="A2459" t="str">
            <v>A2GSFPRINS1840</v>
          </cell>
          <cell r="B2459" t="str">
            <v>In Progress</v>
          </cell>
          <cell r="C2459">
            <v>1</v>
          </cell>
          <cell r="D2459">
            <v>0</v>
          </cell>
        </row>
        <row r="2460">
          <cell r="A2460" t="str">
            <v>A2GSFPRINS1850</v>
          </cell>
          <cell r="B2460" t="str">
            <v>In Progress</v>
          </cell>
          <cell r="C2460">
            <v>1</v>
          </cell>
          <cell r="D2460">
            <v>0</v>
          </cell>
        </row>
        <row r="2461">
          <cell r="A2461" t="str">
            <v>A2GSFPRINS1860</v>
          </cell>
          <cell r="B2461" t="str">
            <v>Not Started</v>
          </cell>
          <cell r="C2461">
            <v>0</v>
          </cell>
          <cell r="D2461">
            <v>0</v>
          </cell>
        </row>
        <row r="2462">
          <cell r="A2462" t="str">
            <v>A2GSFPRINS1870</v>
          </cell>
          <cell r="B2462" t="str">
            <v>Not Started</v>
          </cell>
          <cell r="C2462">
            <v>0</v>
          </cell>
          <cell r="D2462">
            <v>0</v>
          </cell>
        </row>
        <row r="2463">
          <cell r="A2463" t="str">
            <v>A2GSFPRINS1880</v>
          </cell>
          <cell r="B2463" t="str">
            <v>Not Started</v>
          </cell>
          <cell r="C2463">
            <v>0</v>
          </cell>
          <cell r="D2463">
            <v>0</v>
          </cell>
        </row>
        <row r="2464">
          <cell r="A2464" t="str">
            <v>A2GSFPRINS1890</v>
          </cell>
          <cell r="B2464" t="str">
            <v>Not Started</v>
          </cell>
          <cell r="C2464">
            <v>0</v>
          </cell>
          <cell r="D2464">
            <v>0</v>
          </cell>
        </row>
        <row r="2465">
          <cell r="A2465" t="str">
            <v>A2GSFPRINS1900</v>
          </cell>
          <cell r="B2465" t="str">
            <v>Not Started</v>
          </cell>
          <cell r="C2465">
            <v>0</v>
          </cell>
          <cell r="D2465">
            <v>0</v>
          </cell>
        </row>
        <row r="2466">
          <cell r="A2466" t="str">
            <v>A2GSFPRINS1980</v>
          </cell>
          <cell r="B2466" t="str">
            <v>In Progress</v>
          </cell>
          <cell r="C2466">
            <v>1</v>
          </cell>
          <cell r="D2466">
            <v>0</v>
          </cell>
        </row>
        <row r="2467">
          <cell r="A2467" t="str">
            <v>A2GSFPRINS1990</v>
          </cell>
          <cell r="B2467" t="str">
            <v>In Progress</v>
          </cell>
          <cell r="C2467">
            <v>1</v>
          </cell>
          <cell r="D2467">
            <v>0</v>
          </cell>
        </row>
        <row r="2468">
          <cell r="A2468" t="str">
            <v>A2GSFPRINS2000</v>
          </cell>
          <cell r="B2468" t="str">
            <v>Not Started</v>
          </cell>
          <cell r="C2468">
            <v>0</v>
          </cell>
          <cell r="D2468">
            <v>0</v>
          </cell>
        </row>
        <row r="2469">
          <cell r="A2469" t="str">
            <v>A2GSFPRINS2010</v>
          </cell>
          <cell r="B2469" t="str">
            <v>Not Started</v>
          </cell>
          <cell r="C2469">
            <v>0</v>
          </cell>
          <cell r="D2469">
            <v>0</v>
          </cell>
        </row>
        <row r="2470">
          <cell r="A2470" t="str">
            <v>A2GSFPRINS2020</v>
          </cell>
          <cell r="B2470" t="str">
            <v>Not Started</v>
          </cell>
          <cell r="C2470">
            <v>0</v>
          </cell>
          <cell r="D2470">
            <v>0</v>
          </cell>
        </row>
        <row r="2471">
          <cell r="A2471" t="str">
            <v>A2GSFPRINS2030</v>
          </cell>
          <cell r="B2471" t="str">
            <v>Not Started</v>
          </cell>
          <cell r="C2471">
            <v>0</v>
          </cell>
          <cell r="D2471">
            <v>0</v>
          </cell>
        </row>
        <row r="2472">
          <cell r="A2472" t="str">
            <v>A2GSFPRINS2040</v>
          </cell>
          <cell r="B2472" t="str">
            <v>Not Started</v>
          </cell>
          <cell r="C2472">
            <v>0</v>
          </cell>
          <cell r="D2472">
            <v>0</v>
          </cell>
        </row>
        <row r="2473">
          <cell r="A2473" t="str">
            <v>A2GSFPRINS4000</v>
          </cell>
          <cell r="B2473" t="str">
            <v>In Progress</v>
          </cell>
          <cell r="C2473">
            <v>1</v>
          </cell>
          <cell r="D2473">
            <v>0</v>
          </cell>
        </row>
        <row r="2474">
          <cell r="A2474" t="str">
            <v>A2GSFPRINS4010</v>
          </cell>
          <cell r="B2474" t="str">
            <v>In Progress</v>
          </cell>
          <cell r="C2474">
            <v>1</v>
          </cell>
          <cell r="D2474">
            <v>0</v>
          </cell>
        </row>
        <row r="2475">
          <cell r="A2475" t="str">
            <v>A2GSFPRINS4020</v>
          </cell>
          <cell r="B2475" t="str">
            <v>In Progress</v>
          </cell>
          <cell r="C2475">
            <v>1</v>
          </cell>
          <cell r="D2475">
            <v>0</v>
          </cell>
        </row>
        <row r="2476">
          <cell r="A2476" t="str">
            <v>A2GSFPRINS4030</v>
          </cell>
          <cell r="B2476" t="str">
            <v>In Progress</v>
          </cell>
          <cell r="C2476">
            <v>1</v>
          </cell>
          <cell r="D2476">
            <v>0</v>
          </cell>
        </row>
        <row r="2477">
          <cell r="A2477" t="str">
            <v>A2GSFPRINS4040</v>
          </cell>
          <cell r="B2477" t="str">
            <v>In Progress</v>
          </cell>
          <cell r="C2477">
            <v>1</v>
          </cell>
          <cell r="D2477">
            <v>0</v>
          </cell>
        </row>
        <row r="2478">
          <cell r="A2478" t="str">
            <v>A2GSFPRINS4050</v>
          </cell>
          <cell r="B2478" t="str">
            <v>In Progress</v>
          </cell>
          <cell r="C2478">
            <v>1</v>
          </cell>
          <cell r="D2478">
            <v>0</v>
          </cell>
        </row>
        <row r="2479">
          <cell r="A2479" t="str">
            <v>A2GSFPRINS4060</v>
          </cell>
          <cell r="B2479" t="str">
            <v>In Progress</v>
          </cell>
          <cell r="C2479">
            <v>1</v>
          </cell>
          <cell r="D2479">
            <v>0</v>
          </cell>
        </row>
        <row r="2480">
          <cell r="A2480" t="str">
            <v>A2GSFPRINS4070</v>
          </cell>
          <cell r="B2480" t="str">
            <v>In Progress</v>
          </cell>
          <cell r="C2480">
            <v>1</v>
          </cell>
          <cell r="D2480">
            <v>0</v>
          </cell>
        </row>
        <row r="2481">
          <cell r="A2481" t="str">
            <v>A2GSFPRINS4080</v>
          </cell>
          <cell r="B2481" t="str">
            <v>In Progress</v>
          </cell>
          <cell r="C2481">
            <v>1</v>
          </cell>
          <cell r="D2481">
            <v>0</v>
          </cell>
        </row>
        <row r="2482">
          <cell r="A2482" t="str">
            <v>A2GSFPRINS4090</v>
          </cell>
          <cell r="B2482" t="str">
            <v>In Progress</v>
          </cell>
          <cell r="C2482">
            <v>1</v>
          </cell>
          <cell r="D2482">
            <v>0</v>
          </cell>
        </row>
        <row r="2483">
          <cell r="A2483" t="str">
            <v>A2GSFPRINS4100</v>
          </cell>
          <cell r="B2483" t="str">
            <v>Not Started</v>
          </cell>
          <cell r="C2483">
            <v>0</v>
          </cell>
          <cell r="D2483">
            <v>0</v>
          </cell>
        </row>
        <row r="2484">
          <cell r="A2484" t="str">
            <v>A2GSFPRINS4110</v>
          </cell>
          <cell r="B2484" t="str">
            <v>Not Started</v>
          </cell>
          <cell r="C2484">
            <v>0</v>
          </cell>
          <cell r="D2484">
            <v>0</v>
          </cell>
        </row>
        <row r="2485">
          <cell r="A2485" t="str">
            <v>A2GSFPRINS4120</v>
          </cell>
          <cell r="B2485" t="str">
            <v>Not Started</v>
          </cell>
          <cell r="C2485">
            <v>0</v>
          </cell>
          <cell r="D2485">
            <v>0</v>
          </cell>
        </row>
        <row r="2486">
          <cell r="A2486" t="str">
            <v>A2GSFPRINS4130</v>
          </cell>
          <cell r="B2486" t="str">
            <v>Not Started</v>
          </cell>
          <cell r="C2486">
            <v>0</v>
          </cell>
          <cell r="D2486">
            <v>0</v>
          </cell>
        </row>
        <row r="2487">
          <cell r="A2487" t="str">
            <v>A2GSFPRINS4140</v>
          </cell>
          <cell r="B2487" t="str">
            <v>Not Started</v>
          </cell>
          <cell r="C2487">
            <v>0</v>
          </cell>
          <cell r="D2487">
            <v>0</v>
          </cell>
        </row>
        <row r="2488">
          <cell r="A2488" t="str">
            <v>A2GSFPRINS4150</v>
          </cell>
          <cell r="B2488" t="str">
            <v>Not Started</v>
          </cell>
          <cell r="C2488">
            <v>0</v>
          </cell>
          <cell r="D2488">
            <v>0</v>
          </cell>
        </row>
        <row r="2489">
          <cell r="A2489" t="str">
            <v>A2GSFPRINS4160</v>
          </cell>
          <cell r="B2489" t="str">
            <v>Not Started</v>
          </cell>
          <cell r="C2489">
            <v>0</v>
          </cell>
          <cell r="D2489">
            <v>0</v>
          </cell>
        </row>
        <row r="2490">
          <cell r="A2490" t="str">
            <v>A2GSFPRINS4170</v>
          </cell>
          <cell r="B2490" t="str">
            <v>Not Started</v>
          </cell>
          <cell r="C2490">
            <v>0</v>
          </cell>
          <cell r="D2490">
            <v>0</v>
          </cell>
        </row>
        <row r="2491">
          <cell r="A2491" t="str">
            <v>A2GSFPRINS4180</v>
          </cell>
          <cell r="B2491" t="str">
            <v>Not Started</v>
          </cell>
          <cell r="C2491">
            <v>0</v>
          </cell>
          <cell r="D2491">
            <v>0</v>
          </cell>
        </row>
        <row r="2492">
          <cell r="A2492" t="str">
            <v>A2GSFPRINS4190</v>
          </cell>
          <cell r="B2492" t="str">
            <v>Not Started</v>
          </cell>
          <cell r="C2492">
            <v>0</v>
          </cell>
          <cell r="D2492">
            <v>0</v>
          </cell>
        </row>
        <row r="2493">
          <cell r="A2493" t="str">
            <v>A2GSFPRINS4200</v>
          </cell>
          <cell r="B2493" t="str">
            <v>Not Started</v>
          </cell>
          <cell r="C2493">
            <v>0</v>
          </cell>
          <cell r="D2493">
            <v>0</v>
          </cell>
        </row>
        <row r="2494">
          <cell r="A2494" t="str">
            <v>A2GSFPRINS4210</v>
          </cell>
          <cell r="B2494" t="str">
            <v>Not Started</v>
          </cell>
          <cell r="C2494">
            <v>0</v>
          </cell>
          <cell r="D2494">
            <v>0</v>
          </cell>
        </row>
        <row r="2495">
          <cell r="A2495" t="str">
            <v>A2GSFPRINS4220</v>
          </cell>
          <cell r="B2495" t="str">
            <v>Not Started</v>
          </cell>
          <cell r="C2495">
            <v>0</v>
          </cell>
          <cell r="D2495">
            <v>0</v>
          </cell>
        </row>
        <row r="2496">
          <cell r="A2496" t="str">
            <v>A2GSFPRINS4230</v>
          </cell>
          <cell r="B2496" t="str">
            <v>Not Started</v>
          </cell>
          <cell r="C2496">
            <v>0</v>
          </cell>
          <cell r="D2496">
            <v>0</v>
          </cell>
        </row>
        <row r="2497">
          <cell r="A2497" t="str">
            <v>A2GSFPRINS4240</v>
          </cell>
          <cell r="B2497" t="str">
            <v>Not Started</v>
          </cell>
          <cell r="C2497">
            <v>0</v>
          </cell>
          <cell r="D2497">
            <v>0</v>
          </cell>
        </row>
        <row r="2498">
          <cell r="A2498" t="str">
            <v>A2GSFPRINS4250</v>
          </cell>
          <cell r="B2498" t="str">
            <v>Not Started</v>
          </cell>
          <cell r="C2498">
            <v>0</v>
          </cell>
          <cell r="D2498">
            <v>0</v>
          </cell>
        </row>
        <row r="2499">
          <cell r="A2499" t="str">
            <v>A2GSFPRINS4260</v>
          </cell>
          <cell r="B2499" t="str">
            <v>Not Started</v>
          </cell>
          <cell r="C2499">
            <v>0</v>
          </cell>
          <cell r="D2499">
            <v>0</v>
          </cell>
        </row>
        <row r="2500">
          <cell r="A2500" t="str">
            <v>A2GSFPRINS4270</v>
          </cell>
          <cell r="B2500" t="str">
            <v>Not Started</v>
          </cell>
          <cell r="C2500">
            <v>0</v>
          </cell>
          <cell r="D2500">
            <v>0</v>
          </cell>
        </row>
        <row r="2501">
          <cell r="A2501" t="str">
            <v>A2GSFPRINS4280</v>
          </cell>
          <cell r="B2501" t="str">
            <v>Not Started</v>
          </cell>
          <cell r="C2501">
            <v>0</v>
          </cell>
          <cell r="D2501">
            <v>0</v>
          </cell>
        </row>
        <row r="2502">
          <cell r="A2502" t="str">
            <v>A2GSFPRINS4290</v>
          </cell>
          <cell r="B2502" t="str">
            <v>Not Started</v>
          </cell>
          <cell r="C2502">
            <v>0</v>
          </cell>
          <cell r="D2502">
            <v>0</v>
          </cell>
        </row>
        <row r="2503">
          <cell r="A2503" t="str">
            <v>A2GSFPRINS4300</v>
          </cell>
          <cell r="B2503" t="str">
            <v>Not Started</v>
          </cell>
          <cell r="C2503">
            <v>0</v>
          </cell>
          <cell r="D2503">
            <v>0</v>
          </cell>
        </row>
        <row r="2504">
          <cell r="A2504" t="str">
            <v>A2GSFPRINS4310</v>
          </cell>
          <cell r="B2504" t="str">
            <v>Not Started</v>
          </cell>
          <cell r="C2504">
            <v>0</v>
          </cell>
          <cell r="D2504">
            <v>0</v>
          </cell>
        </row>
        <row r="2505">
          <cell r="A2505" t="str">
            <v>A2GSFPRINS4320</v>
          </cell>
          <cell r="B2505" t="str">
            <v>Not Started</v>
          </cell>
          <cell r="C2505">
            <v>0</v>
          </cell>
          <cell r="D2505">
            <v>0</v>
          </cell>
        </row>
        <row r="2506">
          <cell r="A2506" t="str">
            <v>A2GSFPRINS4330</v>
          </cell>
          <cell r="B2506" t="str">
            <v>Not Started</v>
          </cell>
          <cell r="C2506">
            <v>0</v>
          </cell>
          <cell r="D2506">
            <v>0</v>
          </cell>
        </row>
        <row r="2507">
          <cell r="A2507" t="str">
            <v>A2GSFPRINS4340</v>
          </cell>
          <cell r="B2507" t="str">
            <v>Not Started</v>
          </cell>
          <cell r="C2507">
            <v>0</v>
          </cell>
          <cell r="D2507">
            <v>0</v>
          </cell>
        </row>
        <row r="2508">
          <cell r="A2508" t="str">
            <v>A2GSFPRLAN2200</v>
          </cell>
          <cell r="B2508" t="str">
            <v>In Progress</v>
          </cell>
          <cell r="C2508">
            <v>1</v>
          </cell>
          <cell r="D2508">
            <v>0</v>
          </cell>
        </row>
        <row r="2509">
          <cell r="A2509" t="str">
            <v>A2GSFPRLAN2210</v>
          </cell>
          <cell r="B2509" t="str">
            <v>In Progress</v>
          </cell>
          <cell r="C2509">
            <v>0.57499999999999996</v>
          </cell>
          <cell r="D2509">
            <v>0</v>
          </cell>
        </row>
        <row r="2510">
          <cell r="A2510" t="str">
            <v>A2GSFPRLAN2220</v>
          </cell>
          <cell r="B2510" t="str">
            <v>Not Started</v>
          </cell>
          <cell r="C2510">
            <v>0</v>
          </cell>
          <cell r="D2510">
            <v>0</v>
          </cell>
        </row>
        <row r="2511">
          <cell r="A2511" t="str">
            <v>A2GSFPRLAN2230</v>
          </cell>
          <cell r="B2511" t="str">
            <v>Not Started</v>
          </cell>
          <cell r="C2511">
            <v>0</v>
          </cell>
          <cell r="D2511">
            <v>0</v>
          </cell>
        </row>
        <row r="2512">
          <cell r="A2512" t="str">
            <v>A2GSFPRLAN2240</v>
          </cell>
          <cell r="B2512" t="str">
            <v>Not Started</v>
          </cell>
          <cell r="C2512">
            <v>0</v>
          </cell>
          <cell r="D2512">
            <v>0</v>
          </cell>
        </row>
        <row r="2513">
          <cell r="A2513" t="str">
            <v>A2GSFPRLAN2250</v>
          </cell>
          <cell r="B2513" t="str">
            <v>In Progress</v>
          </cell>
          <cell r="C2513">
            <v>1</v>
          </cell>
          <cell r="D2513">
            <v>0</v>
          </cell>
        </row>
        <row r="2514">
          <cell r="A2514" t="str">
            <v>A2GSFPRLAN2260</v>
          </cell>
          <cell r="B2514" t="str">
            <v>In Progress</v>
          </cell>
          <cell r="C2514">
            <v>0.57499999999999996</v>
          </cell>
          <cell r="D2514">
            <v>0</v>
          </cell>
        </row>
        <row r="2515">
          <cell r="A2515" t="str">
            <v>A2GSFPRLAN2270</v>
          </cell>
          <cell r="B2515" t="str">
            <v>Not Started</v>
          </cell>
          <cell r="C2515">
            <v>0</v>
          </cell>
          <cell r="D2515">
            <v>0</v>
          </cell>
        </row>
        <row r="2516">
          <cell r="A2516" t="str">
            <v>A2GSFPRLAN2280</v>
          </cell>
          <cell r="B2516" t="str">
            <v>Not Started</v>
          </cell>
          <cell r="C2516">
            <v>0</v>
          </cell>
          <cell r="D2516">
            <v>0</v>
          </cell>
        </row>
        <row r="2517">
          <cell r="A2517" t="str">
            <v>A2GSFPRLAN2290</v>
          </cell>
          <cell r="B2517" t="str">
            <v>Not Started</v>
          </cell>
          <cell r="C2517">
            <v>0</v>
          </cell>
          <cell r="D2517">
            <v>0</v>
          </cell>
        </row>
        <row r="2518">
          <cell r="A2518" t="str">
            <v>A2GSFPRLAN2300</v>
          </cell>
          <cell r="B2518" t="str">
            <v>In Progress</v>
          </cell>
          <cell r="C2518">
            <v>1</v>
          </cell>
          <cell r="D2518">
            <v>0</v>
          </cell>
        </row>
        <row r="2519">
          <cell r="A2519" t="str">
            <v>A2GSFPRLAN2310</v>
          </cell>
          <cell r="B2519" t="str">
            <v>In Progress</v>
          </cell>
          <cell r="C2519">
            <v>1</v>
          </cell>
          <cell r="D2519">
            <v>0</v>
          </cell>
        </row>
        <row r="2520">
          <cell r="A2520" t="str">
            <v>A2GSFPRLAN2320</v>
          </cell>
          <cell r="B2520" t="str">
            <v>Not Started</v>
          </cell>
          <cell r="C2520">
            <v>0</v>
          </cell>
          <cell r="D2520">
            <v>0</v>
          </cell>
        </row>
        <row r="2521">
          <cell r="A2521" t="str">
            <v>A2GSFPRLAN2330</v>
          </cell>
          <cell r="B2521" t="str">
            <v>Not Started</v>
          </cell>
          <cell r="C2521">
            <v>0</v>
          </cell>
          <cell r="D2521">
            <v>0</v>
          </cell>
        </row>
        <row r="2522">
          <cell r="A2522" t="str">
            <v>A2GSFPRLAN2340</v>
          </cell>
          <cell r="B2522" t="str">
            <v>Not Started</v>
          </cell>
          <cell r="C2522">
            <v>0</v>
          </cell>
          <cell r="D2522">
            <v>0</v>
          </cell>
        </row>
        <row r="2523">
          <cell r="A2523" t="str">
            <v>A2GSFPRLAN2350</v>
          </cell>
          <cell r="B2523" t="str">
            <v>In Progress</v>
          </cell>
          <cell r="C2523">
            <v>1</v>
          </cell>
          <cell r="D2523">
            <v>0</v>
          </cell>
        </row>
        <row r="2524">
          <cell r="A2524" t="str">
            <v>A2GSFPRLAN2360</v>
          </cell>
          <cell r="B2524" t="str">
            <v>In Progress</v>
          </cell>
          <cell r="C2524">
            <v>1</v>
          </cell>
          <cell r="D2524">
            <v>0</v>
          </cell>
        </row>
        <row r="2525">
          <cell r="A2525" t="str">
            <v>A2GSFPRLAN2370</v>
          </cell>
          <cell r="B2525" t="str">
            <v>Not Started</v>
          </cell>
          <cell r="C2525">
            <v>0</v>
          </cell>
          <cell r="D2525">
            <v>0</v>
          </cell>
        </row>
        <row r="2526">
          <cell r="A2526" t="str">
            <v>A2GSFPRLAN2380</v>
          </cell>
          <cell r="B2526" t="str">
            <v>Not Started</v>
          </cell>
          <cell r="C2526">
            <v>0</v>
          </cell>
          <cell r="D2526">
            <v>0</v>
          </cell>
        </row>
        <row r="2527">
          <cell r="A2527" t="str">
            <v>A2GSFPRLAN2390</v>
          </cell>
          <cell r="B2527" t="str">
            <v>Not Started</v>
          </cell>
          <cell r="C2527">
            <v>0</v>
          </cell>
          <cell r="D2527">
            <v>0</v>
          </cell>
        </row>
        <row r="2528">
          <cell r="A2528" t="str">
            <v>A2GSFPRLAN2400</v>
          </cell>
          <cell r="B2528" t="str">
            <v>In Progress</v>
          </cell>
          <cell r="C2528">
            <v>1</v>
          </cell>
          <cell r="D2528">
            <v>0</v>
          </cell>
        </row>
        <row r="2529">
          <cell r="A2529" t="str">
            <v>A2GSFPRLAN2410</v>
          </cell>
          <cell r="B2529" t="str">
            <v>In Progress</v>
          </cell>
          <cell r="C2529">
            <v>0.92500000000000004</v>
          </cell>
          <cell r="D2529">
            <v>0</v>
          </cell>
        </row>
        <row r="2530">
          <cell r="A2530" t="str">
            <v>A2GSFPRLAN2420</v>
          </cell>
          <cell r="B2530" t="str">
            <v>Not Started</v>
          </cell>
          <cell r="C2530">
            <v>0</v>
          </cell>
          <cell r="D2530">
            <v>0</v>
          </cell>
        </row>
        <row r="2531">
          <cell r="A2531" t="str">
            <v>A2GSFPRLAN2430</v>
          </cell>
          <cell r="B2531" t="str">
            <v>Not Started</v>
          </cell>
          <cell r="C2531">
            <v>0</v>
          </cell>
          <cell r="D2531">
            <v>0</v>
          </cell>
        </row>
        <row r="2532">
          <cell r="A2532" t="str">
            <v>A2GSFPRLAN2440</v>
          </cell>
          <cell r="B2532" t="str">
            <v>Not Started</v>
          </cell>
          <cell r="C2532">
            <v>0</v>
          </cell>
          <cell r="D2532">
            <v>0</v>
          </cell>
        </row>
        <row r="2533">
          <cell r="A2533" t="str">
            <v>A2GSFPRLAN2450</v>
          </cell>
          <cell r="B2533" t="str">
            <v>In Progress</v>
          </cell>
          <cell r="C2533">
            <v>1</v>
          </cell>
          <cell r="D2533">
            <v>0</v>
          </cell>
        </row>
        <row r="2534">
          <cell r="A2534" t="str">
            <v>A2GSFPRLAN2460</v>
          </cell>
          <cell r="B2534" t="str">
            <v>In Progress</v>
          </cell>
          <cell r="C2534">
            <v>0.7</v>
          </cell>
          <cell r="D2534">
            <v>0</v>
          </cell>
        </row>
        <row r="2535">
          <cell r="A2535" t="str">
            <v>A2GSFPRLAN2470</v>
          </cell>
          <cell r="B2535" t="str">
            <v>Not Started</v>
          </cell>
          <cell r="C2535">
            <v>0</v>
          </cell>
          <cell r="D2535">
            <v>0</v>
          </cell>
        </row>
        <row r="2536">
          <cell r="A2536" t="str">
            <v>A2GSFPRLAN2480</v>
          </cell>
          <cell r="B2536" t="str">
            <v>Not Started</v>
          </cell>
          <cell r="C2536">
            <v>0</v>
          </cell>
          <cell r="D2536">
            <v>0</v>
          </cell>
        </row>
        <row r="2537">
          <cell r="A2537" t="str">
            <v>A2GSFPRLAN2490</v>
          </cell>
          <cell r="B2537" t="str">
            <v>Not Started</v>
          </cell>
          <cell r="C2537">
            <v>0</v>
          </cell>
          <cell r="D2537">
            <v>0</v>
          </cell>
        </row>
        <row r="2538">
          <cell r="A2538" t="str">
            <v>A2GSFPRLAN2500</v>
          </cell>
          <cell r="B2538" t="str">
            <v>In Progress</v>
          </cell>
          <cell r="C2538">
            <v>1</v>
          </cell>
          <cell r="D2538">
            <v>0</v>
          </cell>
        </row>
        <row r="2539">
          <cell r="A2539" t="str">
            <v>A2GSFPRLAN2510</v>
          </cell>
          <cell r="B2539" t="str">
            <v>In Progress</v>
          </cell>
          <cell r="C2539">
            <v>1</v>
          </cell>
          <cell r="D2539">
            <v>0</v>
          </cell>
        </row>
        <row r="2540">
          <cell r="A2540" t="str">
            <v>A2GSFPRLAN2520</v>
          </cell>
          <cell r="B2540" t="str">
            <v>Not Started</v>
          </cell>
          <cell r="C2540">
            <v>0</v>
          </cell>
          <cell r="D2540">
            <v>0</v>
          </cell>
        </row>
        <row r="2541">
          <cell r="A2541" t="str">
            <v>A2GSFPRLAN2530</v>
          </cell>
          <cell r="B2541" t="str">
            <v>Not Started</v>
          </cell>
          <cell r="C2541">
            <v>0</v>
          </cell>
          <cell r="D2541">
            <v>0</v>
          </cell>
        </row>
        <row r="2542">
          <cell r="A2542" t="str">
            <v>A2GSFPRLAN2540</v>
          </cell>
          <cell r="B2542" t="str">
            <v>Not Started</v>
          </cell>
          <cell r="C2542">
            <v>0</v>
          </cell>
          <cell r="D2542">
            <v>0</v>
          </cell>
        </row>
        <row r="2543">
          <cell r="A2543" t="str">
            <v>A2GSFPRLAN2550</v>
          </cell>
          <cell r="B2543" t="str">
            <v>In Progress</v>
          </cell>
          <cell r="C2543">
            <v>1</v>
          </cell>
          <cell r="D2543">
            <v>0</v>
          </cell>
        </row>
        <row r="2544">
          <cell r="A2544" t="str">
            <v>A2GSFPRLAN2560</v>
          </cell>
          <cell r="B2544" t="str">
            <v>In Progress</v>
          </cell>
          <cell r="C2544">
            <v>1</v>
          </cell>
          <cell r="D2544">
            <v>0</v>
          </cell>
        </row>
        <row r="2545">
          <cell r="A2545" t="str">
            <v>A2GSFPRLAN2570</v>
          </cell>
          <cell r="B2545" t="str">
            <v>Not Started</v>
          </cell>
          <cell r="C2545">
            <v>0</v>
          </cell>
          <cell r="D2545">
            <v>0</v>
          </cell>
        </row>
        <row r="2546">
          <cell r="A2546" t="str">
            <v>A2GSFPRLAN2580</v>
          </cell>
          <cell r="B2546" t="str">
            <v>Not Started</v>
          </cell>
          <cell r="C2546">
            <v>0</v>
          </cell>
          <cell r="D2546">
            <v>0</v>
          </cell>
        </row>
        <row r="2547">
          <cell r="A2547" t="str">
            <v>A2GSFPRLAN2590</v>
          </cell>
          <cell r="B2547" t="str">
            <v>Not Started</v>
          </cell>
          <cell r="C2547">
            <v>0</v>
          </cell>
          <cell r="D2547">
            <v>0</v>
          </cell>
        </row>
        <row r="2548">
          <cell r="A2548" t="str">
            <v>A2GSFPRMEC4000</v>
          </cell>
          <cell r="B2548" t="str">
            <v>In Progress</v>
          </cell>
          <cell r="C2548">
            <v>1</v>
          </cell>
          <cell r="D2548">
            <v>0</v>
          </cell>
        </row>
        <row r="2549">
          <cell r="A2549" t="str">
            <v>A2GSFPRMEC4020</v>
          </cell>
          <cell r="B2549" t="str">
            <v>In Progress</v>
          </cell>
          <cell r="C2549">
            <v>1</v>
          </cell>
          <cell r="D2549">
            <v>0</v>
          </cell>
        </row>
        <row r="2550">
          <cell r="A2550" t="str">
            <v>A2GSFPRMEC4040</v>
          </cell>
          <cell r="B2550" t="str">
            <v>In Progress</v>
          </cell>
          <cell r="C2550">
            <v>1</v>
          </cell>
          <cell r="D2550">
            <v>0</v>
          </cell>
        </row>
        <row r="2551">
          <cell r="A2551" t="str">
            <v>A2GSFPRMEC4060</v>
          </cell>
          <cell r="B2551" t="str">
            <v>In Progress</v>
          </cell>
          <cell r="C2551">
            <v>1</v>
          </cell>
          <cell r="D2551">
            <v>0</v>
          </cell>
        </row>
        <row r="2552">
          <cell r="A2552" t="str">
            <v>A2GSFPRMEC4080</v>
          </cell>
          <cell r="B2552" t="str">
            <v>In Progress</v>
          </cell>
          <cell r="C2552">
            <v>1</v>
          </cell>
          <cell r="D2552">
            <v>0</v>
          </cell>
        </row>
        <row r="2553">
          <cell r="A2553" t="str">
            <v>A2GSFPRMEC4100</v>
          </cell>
          <cell r="B2553" t="str">
            <v>In Progress</v>
          </cell>
          <cell r="C2553">
            <v>1</v>
          </cell>
          <cell r="D2553">
            <v>0</v>
          </cell>
        </row>
        <row r="2554">
          <cell r="A2554" t="str">
            <v>A2GSFPRMEC4120</v>
          </cell>
          <cell r="B2554" t="str">
            <v>In Progress</v>
          </cell>
          <cell r="C2554">
            <v>1</v>
          </cell>
          <cell r="D2554">
            <v>0</v>
          </cell>
        </row>
        <row r="2555">
          <cell r="A2555" t="str">
            <v>A2GSFPRMEC4140</v>
          </cell>
          <cell r="B2555" t="str">
            <v>In Progress</v>
          </cell>
          <cell r="C2555">
            <v>1</v>
          </cell>
          <cell r="D2555">
            <v>0</v>
          </cell>
        </row>
        <row r="2556">
          <cell r="A2556" t="str">
            <v>A2GSFPRMEC4160</v>
          </cell>
          <cell r="B2556" t="str">
            <v>In Progress</v>
          </cell>
          <cell r="C2556">
            <v>1</v>
          </cell>
          <cell r="D2556">
            <v>0</v>
          </cell>
        </row>
        <row r="2557">
          <cell r="A2557" t="str">
            <v>A2GSFPRMEC4180</v>
          </cell>
          <cell r="B2557" t="str">
            <v>In Progress</v>
          </cell>
          <cell r="C2557">
            <v>1</v>
          </cell>
          <cell r="D2557">
            <v>0</v>
          </cell>
        </row>
        <row r="2558">
          <cell r="A2558" t="str">
            <v>A2GSFPRMEC4200</v>
          </cell>
          <cell r="B2558" t="str">
            <v>In Progress</v>
          </cell>
          <cell r="C2558">
            <v>1</v>
          </cell>
          <cell r="D2558">
            <v>0</v>
          </cell>
        </row>
        <row r="2559">
          <cell r="A2559" t="str">
            <v>A2GSFPRMEC4220</v>
          </cell>
          <cell r="B2559" t="str">
            <v>In Progress</v>
          </cell>
          <cell r="C2559">
            <v>1</v>
          </cell>
          <cell r="D2559">
            <v>0</v>
          </cell>
        </row>
        <row r="2560">
          <cell r="A2560" t="str">
            <v>A2GSFPRMEC4240</v>
          </cell>
          <cell r="B2560" t="str">
            <v>In Progress</v>
          </cell>
          <cell r="C2560">
            <v>1</v>
          </cell>
          <cell r="D2560">
            <v>0</v>
          </cell>
        </row>
        <row r="2561">
          <cell r="A2561" t="str">
            <v>A2GSFPRMEC4260</v>
          </cell>
          <cell r="B2561" t="str">
            <v>In Progress</v>
          </cell>
          <cell r="C2561">
            <v>1</v>
          </cell>
          <cell r="D2561">
            <v>0</v>
          </cell>
        </row>
        <row r="2562">
          <cell r="A2562" t="str">
            <v>A2GSFPRMEC4280</v>
          </cell>
          <cell r="B2562" t="str">
            <v>In Progress</v>
          </cell>
          <cell r="C2562">
            <v>1</v>
          </cell>
          <cell r="D2562">
            <v>0</v>
          </cell>
        </row>
        <row r="2563">
          <cell r="A2563" t="str">
            <v>A2GSFPRMEC4300</v>
          </cell>
          <cell r="B2563" t="str">
            <v>In Progress</v>
          </cell>
          <cell r="C2563">
            <v>1</v>
          </cell>
          <cell r="D2563">
            <v>0</v>
          </cell>
        </row>
        <row r="2564">
          <cell r="A2564" t="str">
            <v>A2GSFPRMEC4320</v>
          </cell>
          <cell r="B2564" t="str">
            <v>In Progress</v>
          </cell>
          <cell r="C2564">
            <v>1</v>
          </cell>
          <cell r="D2564">
            <v>0</v>
          </cell>
        </row>
        <row r="2565">
          <cell r="A2565" t="str">
            <v>A2GSFPRMEC4340</v>
          </cell>
          <cell r="B2565" t="str">
            <v>In Progress</v>
          </cell>
          <cell r="C2565">
            <v>1</v>
          </cell>
          <cell r="D2565">
            <v>0</v>
          </cell>
        </row>
        <row r="2566">
          <cell r="A2566" t="str">
            <v>A2GSFPRMEC4360</v>
          </cell>
          <cell r="B2566" t="str">
            <v>In Progress</v>
          </cell>
          <cell r="C2566">
            <v>1</v>
          </cell>
          <cell r="D2566">
            <v>0</v>
          </cell>
        </row>
        <row r="2567">
          <cell r="A2567" t="str">
            <v>A2GSFPRMEC4380</v>
          </cell>
          <cell r="B2567" t="str">
            <v>Completed</v>
          </cell>
          <cell r="C2567">
            <v>1</v>
          </cell>
          <cell r="D2567">
            <v>1</v>
          </cell>
        </row>
        <row r="2568">
          <cell r="A2568" t="str">
            <v>A2GSFPRMEC4400</v>
          </cell>
          <cell r="B2568" t="str">
            <v>Completed</v>
          </cell>
          <cell r="C2568">
            <v>1</v>
          </cell>
          <cell r="D2568">
            <v>1</v>
          </cell>
        </row>
        <row r="2569">
          <cell r="A2569" t="str">
            <v>A2GSFPRMEC4420</v>
          </cell>
          <cell r="B2569" t="str">
            <v>In Progress</v>
          </cell>
          <cell r="C2569">
            <v>1</v>
          </cell>
          <cell r="D2569">
            <v>0</v>
          </cell>
        </row>
        <row r="2570">
          <cell r="A2570" t="str">
            <v>A2GSFPRMEC4440</v>
          </cell>
          <cell r="B2570" t="str">
            <v>In Progress</v>
          </cell>
          <cell r="C2570">
            <v>1</v>
          </cell>
          <cell r="D2570">
            <v>0</v>
          </cell>
        </row>
        <row r="2571">
          <cell r="A2571" t="str">
            <v>A2GSFPRMEC4460</v>
          </cell>
          <cell r="B2571" t="str">
            <v>In Progress</v>
          </cell>
          <cell r="C2571">
            <v>1</v>
          </cell>
          <cell r="D2571">
            <v>0</v>
          </cell>
        </row>
        <row r="2572">
          <cell r="A2572" t="str">
            <v>A2GSFPRMEC4480</v>
          </cell>
          <cell r="B2572" t="str">
            <v>Completed</v>
          </cell>
          <cell r="C2572">
            <v>1</v>
          </cell>
          <cell r="D2572">
            <v>1</v>
          </cell>
        </row>
        <row r="2573">
          <cell r="A2573" t="str">
            <v>A2GSFPRMEC4500</v>
          </cell>
          <cell r="B2573" t="str">
            <v>In Progress</v>
          </cell>
          <cell r="C2573">
            <v>1</v>
          </cell>
          <cell r="D2573">
            <v>0</v>
          </cell>
        </row>
        <row r="2574">
          <cell r="A2574" t="str">
            <v>A2GSFPRMEC4520</v>
          </cell>
          <cell r="B2574" t="str">
            <v>Completed</v>
          </cell>
          <cell r="C2574">
            <v>1</v>
          </cell>
          <cell r="D2574">
            <v>1</v>
          </cell>
        </row>
        <row r="2575">
          <cell r="A2575" t="str">
            <v>A2GSFPRMEC4540</v>
          </cell>
          <cell r="B2575" t="str">
            <v>Completed</v>
          </cell>
          <cell r="C2575">
            <v>1</v>
          </cell>
          <cell r="D2575">
            <v>1</v>
          </cell>
        </row>
        <row r="2576">
          <cell r="A2576" t="str">
            <v>A2GSFPRMEC4560</v>
          </cell>
          <cell r="B2576" t="str">
            <v>In Progress</v>
          </cell>
          <cell r="C2576">
            <v>1</v>
          </cell>
          <cell r="D2576">
            <v>0</v>
          </cell>
        </row>
        <row r="2577">
          <cell r="A2577" t="str">
            <v>A2GSFPRMEC4580</v>
          </cell>
          <cell r="B2577" t="str">
            <v>In Progress</v>
          </cell>
          <cell r="C2577">
            <v>1</v>
          </cell>
          <cell r="D2577">
            <v>0</v>
          </cell>
        </row>
        <row r="2578">
          <cell r="A2578" t="str">
            <v>A2GSFPRMEC4600</v>
          </cell>
          <cell r="B2578" t="str">
            <v>In Progress</v>
          </cell>
          <cell r="C2578">
            <v>1</v>
          </cell>
          <cell r="D2578">
            <v>0</v>
          </cell>
        </row>
        <row r="2579">
          <cell r="A2579" t="str">
            <v>A2GSFPRMEC4620</v>
          </cell>
          <cell r="B2579" t="str">
            <v>In Progress</v>
          </cell>
          <cell r="C2579">
            <v>1</v>
          </cell>
          <cell r="D2579">
            <v>0</v>
          </cell>
        </row>
        <row r="2580">
          <cell r="A2580" t="str">
            <v>A2GSFPRMEC4640</v>
          </cell>
          <cell r="B2580" t="str">
            <v>In Progress</v>
          </cell>
          <cell r="C2580">
            <v>1</v>
          </cell>
          <cell r="D2580">
            <v>0</v>
          </cell>
        </row>
        <row r="2581">
          <cell r="A2581" t="str">
            <v>A2GSFPRMEC4660</v>
          </cell>
          <cell r="B2581" t="str">
            <v>Completed</v>
          </cell>
          <cell r="C2581">
            <v>1</v>
          </cell>
          <cell r="D2581">
            <v>1</v>
          </cell>
        </row>
        <row r="2582">
          <cell r="A2582" t="str">
            <v>A2GSFPRMEC4680</v>
          </cell>
          <cell r="B2582" t="str">
            <v>Completed</v>
          </cell>
          <cell r="C2582">
            <v>1</v>
          </cell>
          <cell r="D2582">
            <v>1</v>
          </cell>
        </row>
        <row r="2583">
          <cell r="A2583" t="str">
            <v>A2GSFPRMEC4700</v>
          </cell>
          <cell r="B2583" t="str">
            <v>In Progress</v>
          </cell>
          <cell r="C2583">
            <v>1</v>
          </cell>
          <cell r="D2583">
            <v>0</v>
          </cell>
        </row>
        <row r="2584">
          <cell r="A2584" t="str">
            <v>A2GSFPRMEC4720</v>
          </cell>
          <cell r="B2584" t="str">
            <v>In Progress</v>
          </cell>
          <cell r="C2584">
            <v>1</v>
          </cell>
          <cell r="D2584">
            <v>0</v>
          </cell>
        </row>
        <row r="2585">
          <cell r="A2585" t="str">
            <v>A2GSFPRMEC4740</v>
          </cell>
          <cell r="B2585" t="str">
            <v>In Progress</v>
          </cell>
          <cell r="C2585">
            <v>1</v>
          </cell>
          <cell r="D2585">
            <v>0</v>
          </cell>
        </row>
        <row r="2586">
          <cell r="A2586" t="str">
            <v>A2GSFPRMEC4760</v>
          </cell>
          <cell r="B2586" t="str">
            <v>In Progress</v>
          </cell>
          <cell r="C2586">
            <v>1</v>
          </cell>
          <cell r="D2586">
            <v>0</v>
          </cell>
        </row>
        <row r="2587">
          <cell r="A2587" t="str">
            <v>A2GSFPRMEC4780</v>
          </cell>
          <cell r="B2587" t="str">
            <v>In Progress</v>
          </cell>
          <cell r="C2587">
            <v>1</v>
          </cell>
          <cell r="D2587">
            <v>0</v>
          </cell>
        </row>
        <row r="2588">
          <cell r="A2588" t="str">
            <v>A2GSFPRMEC4800</v>
          </cell>
          <cell r="B2588" t="str">
            <v>In Progress</v>
          </cell>
          <cell r="C2588">
            <v>1</v>
          </cell>
          <cell r="D2588">
            <v>0</v>
          </cell>
        </row>
        <row r="2589">
          <cell r="A2589" t="str">
            <v>A2GSFPRMEC4820</v>
          </cell>
          <cell r="B2589" t="str">
            <v>In Progress</v>
          </cell>
          <cell r="C2589">
            <v>1</v>
          </cell>
          <cell r="D2589">
            <v>0</v>
          </cell>
        </row>
        <row r="2590">
          <cell r="A2590" t="str">
            <v>A2GSFPRMEC4840</v>
          </cell>
          <cell r="B2590" t="str">
            <v>In Progress</v>
          </cell>
          <cell r="C2590">
            <v>1</v>
          </cell>
          <cell r="D2590">
            <v>0</v>
          </cell>
        </row>
        <row r="2591">
          <cell r="A2591" t="str">
            <v>A2GSFPRMEC4860</v>
          </cell>
          <cell r="B2591" t="str">
            <v>In Progress</v>
          </cell>
          <cell r="C2591">
            <v>1</v>
          </cell>
          <cell r="D2591">
            <v>0</v>
          </cell>
        </row>
        <row r="2592">
          <cell r="A2592" t="str">
            <v>A2GSFPRMEC4880</v>
          </cell>
          <cell r="B2592" t="str">
            <v>In Progress</v>
          </cell>
          <cell r="C2592">
            <v>1</v>
          </cell>
          <cell r="D2592">
            <v>0</v>
          </cell>
        </row>
        <row r="2593">
          <cell r="A2593" t="str">
            <v>A2GSFPRMEC4900</v>
          </cell>
          <cell r="B2593" t="str">
            <v>In Progress</v>
          </cell>
          <cell r="C2593">
            <v>1</v>
          </cell>
          <cell r="D2593">
            <v>0</v>
          </cell>
        </row>
        <row r="2594">
          <cell r="A2594" t="str">
            <v>A2GSFPRMEC4920</v>
          </cell>
          <cell r="B2594" t="str">
            <v>In Progress</v>
          </cell>
          <cell r="C2594">
            <v>1</v>
          </cell>
          <cell r="D2594">
            <v>0</v>
          </cell>
        </row>
        <row r="2595">
          <cell r="A2595" t="str">
            <v>A2GSFPRMEC4940</v>
          </cell>
          <cell r="B2595" t="str">
            <v>In Progress</v>
          </cell>
          <cell r="C2595">
            <v>1</v>
          </cell>
          <cell r="D2595">
            <v>0</v>
          </cell>
        </row>
        <row r="2596">
          <cell r="A2596" t="str">
            <v>A2GSFPRMEC4960</v>
          </cell>
          <cell r="B2596" t="str">
            <v>In Progress</v>
          </cell>
          <cell r="C2596">
            <v>1</v>
          </cell>
          <cell r="D2596">
            <v>0</v>
          </cell>
        </row>
        <row r="2597">
          <cell r="A2597" t="str">
            <v>A2GSFPRMEC4980</v>
          </cell>
          <cell r="B2597" t="str">
            <v>In Progress</v>
          </cell>
          <cell r="C2597">
            <v>1</v>
          </cell>
          <cell r="D2597">
            <v>0</v>
          </cell>
        </row>
        <row r="2598">
          <cell r="A2598" t="str">
            <v>A2GSFPRMEC5000</v>
          </cell>
          <cell r="B2598" t="str">
            <v>In Progress</v>
          </cell>
          <cell r="C2598">
            <v>1</v>
          </cell>
          <cell r="D2598">
            <v>0</v>
          </cell>
        </row>
        <row r="2599">
          <cell r="A2599" t="str">
            <v>A2GSFPRMEC5020</v>
          </cell>
          <cell r="B2599" t="str">
            <v>In Progress</v>
          </cell>
          <cell r="C2599">
            <v>1</v>
          </cell>
          <cell r="D2599">
            <v>0</v>
          </cell>
        </row>
        <row r="2600">
          <cell r="A2600" t="str">
            <v>A2GSFPRMEC5040</v>
          </cell>
          <cell r="B2600" t="str">
            <v>In Progress</v>
          </cell>
          <cell r="C2600">
            <v>1</v>
          </cell>
          <cell r="D2600">
            <v>0</v>
          </cell>
        </row>
        <row r="2601">
          <cell r="A2601" t="str">
            <v>A2GSFPRMEC5060</v>
          </cell>
          <cell r="B2601" t="str">
            <v>In Progress</v>
          </cell>
          <cell r="C2601">
            <v>1</v>
          </cell>
          <cell r="D2601">
            <v>0</v>
          </cell>
        </row>
        <row r="2602">
          <cell r="A2602" t="str">
            <v>A2GSFPRMEC5080</v>
          </cell>
          <cell r="B2602" t="str">
            <v>In Progress</v>
          </cell>
          <cell r="C2602">
            <v>1</v>
          </cell>
          <cell r="D2602">
            <v>0</v>
          </cell>
        </row>
        <row r="2603">
          <cell r="A2603" t="str">
            <v>A2GSFPRMEC5100</v>
          </cell>
          <cell r="B2603" t="str">
            <v>In Progress</v>
          </cell>
          <cell r="C2603">
            <v>1</v>
          </cell>
          <cell r="D2603">
            <v>0</v>
          </cell>
        </row>
        <row r="2604">
          <cell r="A2604" t="str">
            <v>A2GSFPRMEC5120</v>
          </cell>
          <cell r="B2604" t="str">
            <v>In Progress</v>
          </cell>
          <cell r="C2604">
            <v>1</v>
          </cell>
          <cell r="D2604">
            <v>0</v>
          </cell>
        </row>
        <row r="2605">
          <cell r="A2605" t="str">
            <v>A2GSFPRMEC5140</v>
          </cell>
          <cell r="B2605" t="str">
            <v>Completed</v>
          </cell>
          <cell r="C2605">
            <v>1</v>
          </cell>
          <cell r="D2605">
            <v>1</v>
          </cell>
        </row>
        <row r="2606">
          <cell r="A2606" t="str">
            <v>A2GSFPRMEC5160</v>
          </cell>
          <cell r="B2606" t="str">
            <v>In Progress</v>
          </cell>
          <cell r="C2606">
            <v>1</v>
          </cell>
          <cell r="D2606">
            <v>0</v>
          </cell>
        </row>
        <row r="2607">
          <cell r="A2607" t="str">
            <v>A2GSFPRMEC5180</v>
          </cell>
          <cell r="B2607" t="str">
            <v>Completed</v>
          </cell>
          <cell r="C2607">
            <v>1</v>
          </cell>
          <cell r="D2607">
            <v>1</v>
          </cell>
        </row>
        <row r="2608">
          <cell r="A2608" t="str">
            <v>A2GSFPRMEC5200</v>
          </cell>
          <cell r="B2608" t="str">
            <v>Completed</v>
          </cell>
          <cell r="C2608">
            <v>1</v>
          </cell>
          <cell r="D2608">
            <v>1</v>
          </cell>
        </row>
        <row r="2609">
          <cell r="A2609" t="str">
            <v>A2GSFPRMEC5220</v>
          </cell>
          <cell r="B2609" t="str">
            <v>In Progress</v>
          </cell>
          <cell r="C2609">
            <v>0.76670000000000005</v>
          </cell>
          <cell r="D2609">
            <v>0</v>
          </cell>
        </row>
        <row r="2610">
          <cell r="A2610" t="str">
            <v>A2GSFPRMEC5240</v>
          </cell>
          <cell r="B2610" t="str">
            <v>In Progress</v>
          </cell>
          <cell r="C2610">
            <v>1</v>
          </cell>
          <cell r="D2610">
            <v>0</v>
          </cell>
        </row>
        <row r="2611">
          <cell r="A2611" t="str">
            <v>A2GSFPRMEC5260</v>
          </cell>
          <cell r="B2611" t="str">
            <v>In Progress</v>
          </cell>
          <cell r="C2611">
            <v>1</v>
          </cell>
          <cell r="D2611">
            <v>0</v>
          </cell>
        </row>
        <row r="2612">
          <cell r="A2612" t="str">
            <v>A2GSFPRMEC5280</v>
          </cell>
          <cell r="B2612" t="str">
            <v>In Progress</v>
          </cell>
          <cell r="C2612">
            <v>1</v>
          </cell>
          <cell r="D2612">
            <v>0</v>
          </cell>
        </row>
        <row r="2613">
          <cell r="A2613" t="str">
            <v>A2GSFPRMEC5300</v>
          </cell>
          <cell r="B2613" t="str">
            <v>In Progress</v>
          </cell>
          <cell r="C2613">
            <v>1</v>
          </cell>
          <cell r="D2613">
            <v>0</v>
          </cell>
        </row>
        <row r="2614">
          <cell r="A2614" t="str">
            <v>A2GSFPRMEC5320</v>
          </cell>
          <cell r="B2614" t="str">
            <v>Completed</v>
          </cell>
          <cell r="C2614">
            <v>0</v>
          </cell>
          <cell r="D2614">
            <v>1</v>
          </cell>
        </row>
        <row r="2615">
          <cell r="A2615" t="str">
            <v>A2GSFPRMEC5340</v>
          </cell>
          <cell r="B2615" t="str">
            <v>Completed</v>
          </cell>
          <cell r="C2615">
            <v>8.3299999999999999E-2</v>
          </cell>
          <cell r="D2615">
            <v>1</v>
          </cell>
        </row>
        <row r="2616">
          <cell r="A2616" t="str">
            <v>A2GSFPRMEC5360</v>
          </cell>
          <cell r="B2616" t="str">
            <v>Not Started</v>
          </cell>
          <cell r="C2616">
            <v>0</v>
          </cell>
          <cell r="D2616">
            <v>0</v>
          </cell>
        </row>
        <row r="2617">
          <cell r="A2617" t="str">
            <v>A2GSFPRMEC5380</v>
          </cell>
          <cell r="B2617" t="str">
            <v>Not Started</v>
          </cell>
          <cell r="C2617">
            <v>0</v>
          </cell>
          <cell r="D2617">
            <v>0</v>
          </cell>
        </row>
        <row r="2618">
          <cell r="A2618" t="str">
            <v>A2GSFPRMEC5400</v>
          </cell>
          <cell r="B2618" t="str">
            <v>Not Started</v>
          </cell>
          <cell r="C2618">
            <v>0</v>
          </cell>
          <cell r="D2618">
            <v>0</v>
          </cell>
        </row>
        <row r="2619">
          <cell r="A2619" t="str">
            <v>A2GSFPRMEC5420</v>
          </cell>
          <cell r="B2619" t="str">
            <v>Not Started</v>
          </cell>
          <cell r="C2619">
            <v>0</v>
          </cell>
          <cell r="D2619">
            <v>0</v>
          </cell>
        </row>
        <row r="2620">
          <cell r="A2620" t="str">
            <v>A2GSFPRMEC5440</v>
          </cell>
          <cell r="B2620" t="str">
            <v>Not Started</v>
          </cell>
          <cell r="C2620">
            <v>0</v>
          </cell>
          <cell r="D2620">
            <v>0</v>
          </cell>
        </row>
        <row r="2621">
          <cell r="A2621" t="str">
            <v>A2GSFPRMEC5460</v>
          </cell>
          <cell r="B2621" t="str">
            <v>Not Started</v>
          </cell>
          <cell r="C2621">
            <v>0</v>
          </cell>
          <cell r="D2621">
            <v>0</v>
          </cell>
        </row>
        <row r="2622">
          <cell r="A2622" t="str">
            <v>A2GSFPRMEC5480</v>
          </cell>
          <cell r="B2622" t="str">
            <v>Not Started</v>
          </cell>
          <cell r="C2622">
            <v>0</v>
          </cell>
          <cell r="D2622">
            <v>0</v>
          </cell>
        </row>
        <row r="2623">
          <cell r="A2623" t="str">
            <v>A2GSFPRMEC5500</v>
          </cell>
          <cell r="B2623" t="str">
            <v>Not Started</v>
          </cell>
          <cell r="C2623">
            <v>0</v>
          </cell>
          <cell r="D2623">
            <v>0</v>
          </cell>
        </row>
        <row r="2624">
          <cell r="A2624" t="str">
            <v>A2GSFPRMEC5520</v>
          </cell>
          <cell r="B2624" t="str">
            <v>Not Started</v>
          </cell>
          <cell r="C2624">
            <v>0</v>
          </cell>
          <cell r="D2624">
            <v>0</v>
          </cell>
        </row>
        <row r="2625">
          <cell r="A2625" t="str">
            <v>A2GSFPRMEC5540</v>
          </cell>
          <cell r="B2625" t="str">
            <v>Not Started</v>
          </cell>
          <cell r="C2625">
            <v>0</v>
          </cell>
          <cell r="D2625">
            <v>0</v>
          </cell>
        </row>
        <row r="2626">
          <cell r="A2626" t="str">
            <v>A2GSFPRMEC5560</v>
          </cell>
          <cell r="B2626" t="str">
            <v>Not Started</v>
          </cell>
          <cell r="C2626">
            <v>0.1</v>
          </cell>
          <cell r="D2626">
            <v>0</v>
          </cell>
        </row>
        <row r="2627">
          <cell r="A2627" t="str">
            <v>A2GSFPRMEC5580</v>
          </cell>
          <cell r="B2627" t="str">
            <v>Not Started</v>
          </cell>
          <cell r="C2627">
            <v>8.3299999999999999E-2</v>
          </cell>
          <cell r="D2627">
            <v>0</v>
          </cell>
        </row>
        <row r="2628">
          <cell r="A2628" t="str">
            <v>A2GSFPRMEC5600</v>
          </cell>
          <cell r="B2628" t="str">
            <v>Not Started</v>
          </cell>
          <cell r="C2628">
            <v>0</v>
          </cell>
          <cell r="D2628">
            <v>0</v>
          </cell>
        </row>
        <row r="2629">
          <cell r="A2629" t="str">
            <v>A2GSFPRMEC5620</v>
          </cell>
          <cell r="B2629" t="str">
            <v>Not Started</v>
          </cell>
          <cell r="C2629">
            <v>0</v>
          </cell>
          <cell r="D2629">
            <v>0</v>
          </cell>
        </row>
        <row r="2630">
          <cell r="A2630" t="str">
            <v>A2GSFPRMEC5640</v>
          </cell>
          <cell r="B2630" t="str">
            <v>Not Started</v>
          </cell>
          <cell r="C2630">
            <v>0</v>
          </cell>
          <cell r="D2630">
            <v>0</v>
          </cell>
        </row>
        <row r="2631">
          <cell r="A2631" t="str">
            <v>A2GSFPRMEC5660</v>
          </cell>
          <cell r="B2631" t="str">
            <v>Not Started</v>
          </cell>
          <cell r="C2631">
            <v>0</v>
          </cell>
          <cell r="D2631">
            <v>0</v>
          </cell>
        </row>
        <row r="2632">
          <cell r="A2632" t="str">
            <v>A2GSFPRMEC5680</v>
          </cell>
          <cell r="B2632" t="str">
            <v>Not Started</v>
          </cell>
          <cell r="C2632">
            <v>0</v>
          </cell>
          <cell r="D2632">
            <v>0</v>
          </cell>
        </row>
        <row r="2633">
          <cell r="A2633" t="str">
            <v>A2GSFPRMEC5700</v>
          </cell>
          <cell r="B2633" t="str">
            <v>Not Started</v>
          </cell>
          <cell r="C2633">
            <v>0</v>
          </cell>
          <cell r="D2633">
            <v>0</v>
          </cell>
        </row>
        <row r="2634">
          <cell r="A2634" t="str">
            <v>A2GSFPRMEC5720</v>
          </cell>
          <cell r="B2634" t="str">
            <v>Not Started</v>
          </cell>
          <cell r="C2634">
            <v>0</v>
          </cell>
          <cell r="D2634">
            <v>0</v>
          </cell>
        </row>
        <row r="2635">
          <cell r="A2635" t="str">
            <v>A2GSFPRMEC5740</v>
          </cell>
          <cell r="B2635" t="str">
            <v>Not Started</v>
          </cell>
          <cell r="C2635">
            <v>0</v>
          </cell>
          <cell r="D2635">
            <v>0</v>
          </cell>
        </row>
        <row r="2636">
          <cell r="A2636" t="str">
            <v>A2GSFPRMEC5760</v>
          </cell>
          <cell r="B2636" t="str">
            <v>Not Started</v>
          </cell>
          <cell r="C2636">
            <v>0</v>
          </cell>
          <cell r="D2636">
            <v>0</v>
          </cell>
        </row>
        <row r="2637">
          <cell r="A2637" t="str">
            <v>A2GSFPRMEC5780</v>
          </cell>
          <cell r="B2637" t="str">
            <v>Not Started</v>
          </cell>
          <cell r="C2637">
            <v>0</v>
          </cell>
          <cell r="D2637">
            <v>0</v>
          </cell>
        </row>
        <row r="2638">
          <cell r="A2638" t="str">
            <v>A2GSFPRMEC5800</v>
          </cell>
          <cell r="B2638" t="str">
            <v>In Progress</v>
          </cell>
          <cell r="C2638">
            <v>0.46429999999999999</v>
          </cell>
          <cell r="D2638">
            <v>0.25</v>
          </cell>
        </row>
        <row r="2639">
          <cell r="A2639" t="str">
            <v>A2GSFPRMEC5820</v>
          </cell>
          <cell r="B2639" t="str">
            <v>Not Started</v>
          </cell>
          <cell r="C2639">
            <v>0</v>
          </cell>
          <cell r="D2639">
            <v>0</v>
          </cell>
        </row>
        <row r="2640">
          <cell r="A2640" t="str">
            <v>A2GSFPRMEC5840</v>
          </cell>
          <cell r="B2640" t="str">
            <v>Not Started</v>
          </cell>
          <cell r="C2640">
            <v>0</v>
          </cell>
          <cell r="D2640">
            <v>0</v>
          </cell>
        </row>
        <row r="2641">
          <cell r="A2641" t="str">
            <v>A2GSFPRMEC5860</v>
          </cell>
          <cell r="B2641" t="str">
            <v>Completed</v>
          </cell>
          <cell r="C2641">
            <v>0.75</v>
          </cell>
          <cell r="D2641">
            <v>1</v>
          </cell>
        </row>
        <row r="2642">
          <cell r="A2642" t="str">
            <v>A2GSFPRMEC5880</v>
          </cell>
          <cell r="B2642" t="str">
            <v>Not Started</v>
          </cell>
          <cell r="C2642">
            <v>0</v>
          </cell>
          <cell r="D2642">
            <v>0</v>
          </cell>
        </row>
        <row r="2643">
          <cell r="A2643" t="str">
            <v>A2GSFPRMEC5900</v>
          </cell>
          <cell r="B2643" t="str">
            <v>Not Started</v>
          </cell>
          <cell r="C2643">
            <v>0</v>
          </cell>
          <cell r="D2643">
            <v>0</v>
          </cell>
        </row>
        <row r="2644">
          <cell r="A2644" t="str">
            <v>A2GSFPRMEC5920</v>
          </cell>
          <cell r="B2644" t="str">
            <v>Not Started</v>
          </cell>
          <cell r="C2644">
            <v>0</v>
          </cell>
          <cell r="D2644">
            <v>0</v>
          </cell>
        </row>
        <row r="2645">
          <cell r="A2645" t="str">
            <v>A2GSFPRMEC5940</v>
          </cell>
          <cell r="B2645" t="str">
            <v>Not Started</v>
          </cell>
          <cell r="C2645">
            <v>0</v>
          </cell>
          <cell r="D2645">
            <v>0</v>
          </cell>
        </row>
        <row r="2646">
          <cell r="A2646" t="str">
            <v>A2GSFPRMEC5960</v>
          </cell>
          <cell r="B2646" t="str">
            <v>Not Started</v>
          </cell>
          <cell r="C2646">
            <v>0</v>
          </cell>
          <cell r="D2646">
            <v>0</v>
          </cell>
        </row>
        <row r="2647">
          <cell r="A2647" t="str">
            <v>A2GSFPRMEC5980</v>
          </cell>
          <cell r="B2647" t="str">
            <v>Not Started</v>
          </cell>
          <cell r="C2647">
            <v>0</v>
          </cell>
          <cell r="D2647">
            <v>0</v>
          </cell>
        </row>
        <row r="2648">
          <cell r="A2648" t="str">
            <v>A2GSFPRMEC6000</v>
          </cell>
          <cell r="B2648" t="str">
            <v>Not Started</v>
          </cell>
          <cell r="C2648">
            <v>0</v>
          </cell>
          <cell r="D2648">
            <v>0</v>
          </cell>
        </row>
        <row r="2649">
          <cell r="A2649" t="str">
            <v>A2GSFPRMEC6020</v>
          </cell>
          <cell r="B2649" t="str">
            <v>Not Started</v>
          </cell>
          <cell r="C2649">
            <v>0</v>
          </cell>
          <cell r="D2649">
            <v>0</v>
          </cell>
        </row>
        <row r="2650">
          <cell r="A2650" t="str">
            <v>A2GSFPRMEC6040</v>
          </cell>
          <cell r="B2650" t="str">
            <v>Not Started</v>
          </cell>
          <cell r="C2650">
            <v>0</v>
          </cell>
          <cell r="D2650">
            <v>0</v>
          </cell>
        </row>
        <row r="2651">
          <cell r="A2651" t="str">
            <v>A2GSFPRMEC6060</v>
          </cell>
          <cell r="B2651" t="str">
            <v>Not Started</v>
          </cell>
          <cell r="C2651">
            <v>0</v>
          </cell>
          <cell r="D2651">
            <v>0</v>
          </cell>
        </row>
        <row r="2652">
          <cell r="A2652" t="str">
            <v>A2GSFPRMEC6080</v>
          </cell>
          <cell r="B2652" t="str">
            <v>Not Started</v>
          </cell>
          <cell r="C2652">
            <v>0</v>
          </cell>
          <cell r="D2652">
            <v>0</v>
          </cell>
        </row>
        <row r="2653">
          <cell r="A2653" t="str">
            <v>A2GSFPRMEC6100</v>
          </cell>
          <cell r="B2653" t="str">
            <v>Not Started</v>
          </cell>
          <cell r="C2653">
            <v>0</v>
          </cell>
          <cell r="D2653">
            <v>0</v>
          </cell>
        </row>
        <row r="2654">
          <cell r="A2654" t="str">
            <v>A2GSFPRMEC6120</v>
          </cell>
          <cell r="B2654" t="str">
            <v>Not Started</v>
          </cell>
          <cell r="C2654">
            <v>0</v>
          </cell>
          <cell r="D2654">
            <v>0</v>
          </cell>
        </row>
        <row r="2655">
          <cell r="A2655" t="str">
            <v>A2GSFPRMEC6140</v>
          </cell>
          <cell r="B2655" t="str">
            <v>Not Started</v>
          </cell>
          <cell r="C2655">
            <v>0</v>
          </cell>
          <cell r="D2655">
            <v>0</v>
          </cell>
        </row>
        <row r="2656">
          <cell r="A2656" t="str">
            <v>A2GSFPRMEC6160</v>
          </cell>
          <cell r="B2656" t="str">
            <v>Not Started</v>
          </cell>
          <cell r="C2656">
            <v>0</v>
          </cell>
          <cell r="D2656">
            <v>0</v>
          </cell>
        </row>
        <row r="2657">
          <cell r="A2657" t="str">
            <v>A2GSFPRMEC6180</v>
          </cell>
          <cell r="B2657" t="str">
            <v>Not Started</v>
          </cell>
          <cell r="C2657">
            <v>0</v>
          </cell>
          <cell r="D2657">
            <v>0</v>
          </cell>
        </row>
        <row r="2658">
          <cell r="A2658" t="str">
            <v>A2GSFPRMEC6200</v>
          </cell>
          <cell r="B2658" t="str">
            <v>Not Started</v>
          </cell>
          <cell r="C2658">
            <v>0</v>
          </cell>
          <cell r="D2658">
            <v>0</v>
          </cell>
        </row>
        <row r="2659">
          <cell r="A2659" t="str">
            <v>A2GSFPRMEC6220</v>
          </cell>
          <cell r="B2659" t="str">
            <v>Not Started</v>
          </cell>
          <cell r="C2659">
            <v>0</v>
          </cell>
          <cell r="D2659">
            <v>0</v>
          </cell>
        </row>
        <row r="2660">
          <cell r="A2660" t="str">
            <v>A2GSFPRMEC6240</v>
          </cell>
          <cell r="B2660" t="str">
            <v>Not Started</v>
          </cell>
          <cell r="C2660">
            <v>0</v>
          </cell>
          <cell r="D2660">
            <v>0</v>
          </cell>
        </row>
        <row r="2661">
          <cell r="A2661" t="str">
            <v>A2GSFPRMEC6260</v>
          </cell>
          <cell r="B2661" t="str">
            <v>Not Started</v>
          </cell>
          <cell r="C2661">
            <v>0</v>
          </cell>
          <cell r="D2661">
            <v>0</v>
          </cell>
        </row>
        <row r="2662">
          <cell r="A2662" t="str">
            <v>A2GSFPRMEC6280</v>
          </cell>
          <cell r="B2662" t="str">
            <v>Not Started</v>
          </cell>
          <cell r="C2662">
            <v>0</v>
          </cell>
          <cell r="D2662">
            <v>0</v>
          </cell>
        </row>
        <row r="2663">
          <cell r="A2663" t="str">
            <v>A2GSFPRMEC6300</v>
          </cell>
          <cell r="B2663" t="str">
            <v>Not Started</v>
          </cell>
          <cell r="C2663">
            <v>0</v>
          </cell>
          <cell r="D2663">
            <v>0</v>
          </cell>
        </row>
        <row r="2664">
          <cell r="A2664" t="str">
            <v>A2GSFPRMEC6320</v>
          </cell>
          <cell r="B2664" t="str">
            <v>Not Started</v>
          </cell>
          <cell r="C2664">
            <v>0</v>
          </cell>
          <cell r="D2664">
            <v>0</v>
          </cell>
        </row>
        <row r="2665">
          <cell r="A2665" t="str">
            <v>A2GSFPRMEC6340</v>
          </cell>
          <cell r="B2665" t="str">
            <v>Not Started</v>
          </cell>
          <cell r="C2665">
            <v>0</v>
          </cell>
          <cell r="D2665">
            <v>0</v>
          </cell>
        </row>
        <row r="2666">
          <cell r="A2666" t="str">
            <v>A2GSFPRMEC6360</v>
          </cell>
          <cell r="B2666" t="str">
            <v>Not Started</v>
          </cell>
          <cell r="C2666">
            <v>0</v>
          </cell>
          <cell r="D2666">
            <v>0</v>
          </cell>
        </row>
        <row r="2667">
          <cell r="A2667" t="str">
            <v>A2GSFPRMEC6380</v>
          </cell>
          <cell r="B2667" t="str">
            <v>In Progress</v>
          </cell>
          <cell r="C2667">
            <v>1.67E-2</v>
          </cell>
          <cell r="D2667">
            <v>0.1757</v>
          </cell>
        </row>
        <row r="2668">
          <cell r="A2668" t="str">
            <v>A2GSFPRMEC6400</v>
          </cell>
          <cell r="B2668" t="str">
            <v>Not Started</v>
          </cell>
          <cell r="C2668">
            <v>0</v>
          </cell>
          <cell r="D2668">
            <v>0</v>
          </cell>
        </row>
        <row r="2669">
          <cell r="A2669" t="str">
            <v>A2GSFPRMEC6420</v>
          </cell>
          <cell r="B2669" t="str">
            <v>Not Started</v>
          </cell>
          <cell r="C2669">
            <v>0</v>
          </cell>
          <cell r="D2669">
            <v>0</v>
          </cell>
        </row>
        <row r="2670">
          <cell r="A2670" t="str">
            <v>A2GSFPRMEC6440</v>
          </cell>
          <cell r="B2670" t="str">
            <v>Not Started</v>
          </cell>
          <cell r="C2670">
            <v>0</v>
          </cell>
          <cell r="D2670">
            <v>0</v>
          </cell>
        </row>
        <row r="2671">
          <cell r="A2671" t="str">
            <v>A2GSFPRMEC6460</v>
          </cell>
          <cell r="B2671" t="str">
            <v>Not Started</v>
          </cell>
          <cell r="C2671">
            <v>0</v>
          </cell>
          <cell r="D2671">
            <v>0</v>
          </cell>
        </row>
        <row r="2672">
          <cell r="A2672" t="str">
            <v>A2GSFPRMEC6480</v>
          </cell>
          <cell r="B2672" t="str">
            <v>Not Started</v>
          </cell>
          <cell r="C2672">
            <v>0</v>
          </cell>
          <cell r="D2672">
            <v>0</v>
          </cell>
        </row>
        <row r="2673">
          <cell r="A2673" t="str">
            <v>A2GSFPRMEC6500</v>
          </cell>
          <cell r="B2673" t="str">
            <v>Not Started</v>
          </cell>
          <cell r="C2673">
            <v>0</v>
          </cell>
          <cell r="D2673">
            <v>0</v>
          </cell>
        </row>
        <row r="2674">
          <cell r="A2674" t="str">
            <v>A2GSFPRMEC6520</v>
          </cell>
          <cell r="B2674" t="str">
            <v>Not Started</v>
          </cell>
          <cell r="C2674">
            <v>0</v>
          </cell>
          <cell r="D2674">
            <v>0</v>
          </cell>
        </row>
        <row r="2675">
          <cell r="A2675" t="str">
            <v>A2GSFPRMEC6540</v>
          </cell>
          <cell r="B2675" t="str">
            <v>Not Started</v>
          </cell>
          <cell r="C2675">
            <v>0</v>
          </cell>
          <cell r="D2675">
            <v>0</v>
          </cell>
        </row>
        <row r="2676">
          <cell r="A2676" t="str">
            <v>A2GSFPRMEC6560</v>
          </cell>
          <cell r="B2676" t="str">
            <v>Not Started</v>
          </cell>
          <cell r="C2676">
            <v>0</v>
          </cell>
          <cell r="D2676">
            <v>0</v>
          </cell>
        </row>
        <row r="2677">
          <cell r="A2677" t="str">
            <v>A2GSFPRMEC6580</v>
          </cell>
          <cell r="B2677" t="str">
            <v>Not Started</v>
          </cell>
          <cell r="C2677">
            <v>0</v>
          </cell>
          <cell r="D2677">
            <v>0</v>
          </cell>
        </row>
        <row r="2678">
          <cell r="A2678" t="str">
            <v>A2GSFPRMEC6600</v>
          </cell>
          <cell r="B2678" t="str">
            <v>Not Started</v>
          </cell>
          <cell r="C2678">
            <v>0</v>
          </cell>
          <cell r="D2678">
            <v>0</v>
          </cell>
        </row>
        <row r="2679">
          <cell r="A2679" t="str">
            <v>A2GSFPRMEC6620</v>
          </cell>
          <cell r="B2679" t="str">
            <v>Not Started</v>
          </cell>
          <cell r="C2679">
            <v>0</v>
          </cell>
          <cell r="D2679">
            <v>0</v>
          </cell>
        </row>
        <row r="2680">
          <cell r="A2680" t="str">
            <v>A2GSFPRMEC6640</v>
          </cell>
          <cell r="B2680" t="str">
            <v>Not Started</v>
          </cell>
          <cell r="C2680">
            <v>0</v>
          </cell>
          <cell r="D2680">
            <v>0</v>
          </cell>
        </row>
        <row r="2681">
          <cell r="A2681" t="str">
            <v>A2GSFPRMEC6660</v>
          </cell>
          <cell r="B2681" t="str">
            <v>Not Started</v>
          </cell>
          <cell r="C2681">
            <v>0</v>
          </cell>
          <cell r="D2681">
            <v>0</v>
          </cell>
        </row>
        <row r="2682">
          <cell r="A2682" t="str">
            <v>A2GSFPRMEC6680</v>
          </cell>
          <cell r="B2682" t="str">
            <v>Not Started</v>
          </cell>
          <cell r="C2682">
            <v>0</v>
          </cell>
          <cell r="D2682">
            <v>0</v>
          </cell>
        </row>
        <row r="2683">
          <cell r="A2683" t="str">
            <v>A2GSFPRMEC6700</v>
          </cell>
          <cell r="B2683" t="str">
            <v>Not Started</v>
          </cell>
          <cell r="C2683">
            <v>0</v>
          </cell>
          <cell r="D2683">
            <v>0</v>
          </cell>
        </row>
        <row r="2684">
          <cell r="A2684" t="str">
            <v>A2GSFPRMEC6720</v>
          </cell>
          <cell r="B2684" t="str">
            <v>Not Started</v>
          </cell>
          <cell r="C2684">
            <v>0</v>
          </cell>
          <cell r="D2684">
            <v>0</v>
          </cell>
        </row>
        <row r="2685">
          <cell r="A2685" t="str">
            <v>A2GSFPRMEC6740</v>
          </cell>
          <cell r="B2685" t="str">
            <v>Not Started</v>
          </cell>
          <cell r="C2685">
            <v>0</v>
          </cell>
          <cell r="D2685">
            <v>0</v>
          </cell>
        </row>
        <row r="2686">
          <cell r="A2686" t="str">
            <v>A2GSFPRMEC6760</v>
          </cell>
          <cell r="B2686" t="str">
            <v>Not Started</v>
          </cell>
          <cell r="C2686">
            <v>0</v>
          </cell>
          <cell r="D2686">
            <v>0</v>
          </cell>
        </row>
        <row r="2687">
          <cell r="A2687" t="str">
            <v>A2GSFPRMEC6780</v>
          </cell>
          <cell r="B2687" t="str">
            <v>Not Started</v>
          </cell>
          <cell r="C2687">
            <v>0</v>
          </cell>
          <cell r="D2687">
            <v>0</v>
          </cell>
        </row>
        <row r="2688">
          <cell r="A2688" t="str">
            <v>A2GSFPRMEC6800</v>
          </cell>
          <cell r="B2688" t="str">
            <v>Not Started</v>
          </cell>
          <cell r="C2688">
            <v>0</v>
          </cell>
          <cell r="D2688">
            <v>0</v>
          </cell>
        </row>
        <row r="2689">
          <cell r="A2689" t="str">
            <v>A2GSFPRMEC6820</v>
          </cell>
          <cell r="B2689" t="str">
            <v>Not Started</v>
          </cell>
          <cell r="C2689">
            <v>0</v>
          </cell>
          <cell r="D2689">
            <v>0</v>
          </cell>
        </row>
        <row r="2690">
          <cell r="A2690" t="str">
            <v>A2GSFPRMEC6840</v>
          </cell>
          <cell r="B2690" t="str">
            <v>Not Started</v>
          </cell>
          <cell r="C2690">
            <v>0</v>
          </cell>
          <cell r="D2690">
            <v>0</v>
          </cell>
        </row>
        <row r="2691">
          <cell r="A2691" t="str">
            <v>A2GSFPRMEC6860</v>
          </cell>
          <cell r="B2691" t="str">
            <v>Not Started</v>
          </cell>
          <cell r="C2691">
            <v>0</v>
          </cell>
          <cell r="D2691">
            <v>0</v>
          </cell>
        </row>
        <row r="2692">
          <cell r="A2692" t="str">
            <v>A2GSFPRMEC6880</v>
          </cell>
          <cell r="B2692" t="str">
            <v>Not Started</v>
          </cell>
          <cell r="C2692">
            <v>0</v>
          </cell>
          <cell r="D2692">
            <v>0</v>
          </cell>
        </row>
        <row r="2693">
          <cell r="A2693" t="str">
            <v>A2GSFPRMEC6900</v>
          </cell>
          <cell r="B2693" t="str">
            <v>Not Started</v>
          </cell>
          <cell r="C2693">
            <v>0</v>
          </cell>
          <cell r="D2693">
            <v>0</v>
          </cell>
        </row>
        <row r="2694">
          <cell r="A2694" t="str">
            <v>A2GSFPRMEC6920</v>
          </cell>
          <cell r="B2694" t="str">
            <v>Not Started</v>
          </cell>
          <cell r="C2694">
            <v>0</v>
          </cell>
          <cell r="D2694">
            <v>0</v>
          </cell>
        </row>
        <row r="2695">
          <cell r="A2695" t="str">
            <v>A2GSFPRMEC6940</v>
          </cell>
          <cell r="B2695" t="str">
            <v>Not Started</v>
          </cell>
          <cell r="C2695">
            <v>0</v>
          </cell>
          <cell r="D2695">
            <v>0</v>
          </cell>
        </row>
        <row r="2696">
          <cell r="A2696" t="str">
            <v>A2GSFPRMEC6960</v>
          </cell>
          <cell r="B2696" t="str">
            <v>Not Started</v>
          </cell>
          <cell r="C2696">
            <v>0</v>
          </cell>
          <cell r="D2696">
            <v>0</v>
          </cell>
        </row>
        <row r="2697">
          <cell r="A2697" t="str">
            <v>A2GSFPRMEC6980</v>
          </cell>
          <cell r="B2697" t="str">
            <v>Not Started</v>
          </cell>
          <cell r="C2697">
            <v>0</v>
          </cell>
          <cell r="D2697">
            <v>0</v>
          </cell>
        </row>
        <row r="2698">
          <cell r="A2698" t="str">
            <v>A2GSFPRMEC7000</v>
          </cell>
          <cell r="B2698" t="str">
            <v>Not Started</v>
          </cell>
          <cell r="C2698">
            <v>0</v>
          </cell>
          <cell r="D2698">
            <v>0</v>
          </cell>
        </row>
        <row r="2699">
          <cell r="A2699" t="str">
            <v>A2GSFPRMEC7020</v>
          </cell>
          <cell r="B2699" t="str">
            <v>Not Started</v>
          </cell>
          <cell r="C2699">
            <v>0</v>
          </cell>
          <cell r="D2699">
            <v>0</v>
          </cell>
        </row>
        <row r="2700">
          <cell r="A2700" t="str">
            <v>A2GSFPRMEC7040</v>
          </cell>
          <cell r="B2700" t="str">
            <v>Not Started</v>
          </cell>
          <cell r="C2700">
            <v>0</v>
          </cell>
          <cell r="D2700">
            <v>0</v>
          </cell>
        </row>
        <row r="2701">
          <cell r="A2701" t="str">
            <v>A2GSFPRMEC7060</v>
          </cell>
          <cell r="B2701" t="str">
            <v>Not Started</v>
          </cell>
          <cell r="C2701">
            <v>0</v>
          </cell>
          <cell r="D2701">
            <v>0</v>
          </cell>
        </row>
        <row r="2702">
          <cell r="A2702" t="str">
            <v>A2GSFPRMEC7080</v>
          </cell>
          <cell r="B2702" t="str">
            <v>Not Started</v>
          </cell>
          <cell r="C2702">
            <v>0</v>
          </cell>
          <cell r="D2702">
            <v>0</v>
          </cell>
        </row>
        <row r="2703">
          <cell r="A2703" t="str">
            <v>A2GSFPRMEC7100</v>
          </cell>
          <cell r="B2703" t="str">
            <v>Not Started</v>
          </cell>
          <cell r="C2703">
            <v>0</v>
          </cell>
          <cell r="D2703">
            <v>0</v>
          </cell>
        </row>
        <row r="2704">
          <cell r="A2704" t="str">
            <v>A2GSFPRMEC7120</v>
          </cell>
          <cell r="B2704" t="str">
            <v>Not Started</v>
          </cell>
          <cell r="C2704">
            <v>0</v>
          </cell>
          <cell r="D2704">
            <v>0</v>
          </cell>
        </row>
        <row r="2705">
          <cell r="A2705" t="str">
            <v>A2GSFPRMEC7140</v>
          </cell>
          <cell r="B2705" t="str">
            <v>Not Started</v>
          </cell>
          <cell r="C2705">
            <v>0</v>
          </cell>
          <cell r="D2705">
            <v>0</v>
          </cell>
        </row>
        <row r="2706">
          <cell r="A2706" t="str">
            <v>A2GSFPRMEC7160</v>
          </cell>
          <cell r="B2706" t="str">
            <v>Not Started</v>
          </cell>
          <cell r="C2706">
            <v>0</v>
          </cell>
          <cell r="D2706">
            <v>0</v>
          </cell>
        </row>
        <row r="2707">
          <cell r="A2707" t="str">
            <v>A2GSFPRMEC7180</v>
          </cell>
          <cell r="B2707" t="str">
            <v>Not Started</v>
          </cell>
          <cell r="C2707">
            <v>0</v>
          </cell>
          <cell r="D2707">
            <v>0</v>
          </cell>
        </row>
        <row r="2708">
          <cell r="A2708" t="str">
            <v>A2GSFPRMEC7200</v>
          </cell>
          <cell r="B2708" t="str">
            <v>Not Started</v>
          </cell>
          <cell r="C2708">
            <v>0</v>
          </cell>
          <cell r="D2708">
            <v>0</v>
          </cell>
        </row>
        <row r="2709">
          <cell r="A2709" t="str">
            <v>A2GSFPRMEC7220</v>
          </cell>
          <cell r="B2709" t="str">
            <v>Not Started</v>
          </cell>
          <cell r="C2709">
            <v>0</v>
          </cell>
          <cell r="D2709">
            <v>0</v>
          </cell>
        </row>
        <row r="2710">
          <cell r="A2710" t="str">
            <v>A2GSFPRMEC7240</v>
          </cell>
          <cell r="B2710" t="str">
            <v>Not Started</v>
          </cell>
          <cell r="C2710">
            <v>0</v>
          </cell>
          <cell r="D2710">
            <v>0</v>
          </cell>
        </row>
        <row r="2711">
          <cell r="A2711" t="str">
            <v>A2GSFPRMEC7260</v>
          </cell>
          <cell r="B2711" t="str">
            <v>Not Started</v>
          </cell>
          <cell r="C2711">
            <v>0</v>
          </cell>
          <cell r="D2711">
            <v>0</v>
          </cell>
        </row>
        <row r="2712">
          <cell r="A2712" t="str">
            <v>A2GSFPRMEC7280</v>
          </cell>
          <cell r="B2712" t="str">
            <v>Not Started</v>
          </cell>
          <cell r="C2712">
            <v>0</v>
          </cell>
          <cell r="D2712">
            <v>0</v>
          </cell>
        </row>
        <row r="2713">
          <cell r="A2713" t="str">
            <v>A2GSFPRMEC7300</v>
          </cell>
          <cell r="B2713" t="str">
            <v>Not Started</v>
          </cell>
          <cell r="C2713">
            <v>0</v>
          </cell>
          <cell r="D2713">
            <v>0</v>
          </cell>
        </row>
        <row r="2714">
          <cell r="A2714" t="str">
            <v>A2GSFPRMEC7320</v>
          </cell>
          <cell r="B2714" t="str">
            <v>Not Started</v>
          </cell>
          <cell r="C2714">
            <v>0</v>
          </cell>
          <cell r="D2714">
            <v>0</v>
          </cell>
        </row>
        <row r="2715">
          <cell r="A2715" t="str">
            <v>A2GSFPRMEC7340</v>
          </cell>
          <cell r="B2715" t="str">
            <v>Not Started</v>
          </cell>
          <cell r="C2715">
            <v>0</v>
          </cell>
          <cell r="D2715">
            <v>0</v>
          </cell>
        </row>
        <row r="2716">
          <cell r="A2716" t="str">
            <v>A2GSFPRMEC7360</v>
          </cell>
          <cell r="B2716" t="str">
            <v>Not Started</v>
          </cell>
          <cell r="C2716">
            <v>0</v>
          </cell>
          <cell r="D2716">
            <v>0</v>
          </cell>
        </row>
        <row r="2717">
          <cell r="A2717" t="str">
            <v>A2GSFPRMEC7380</v>
          </cell>
          <cell r="B2717" t="str">
            <v>Not Started</v>
          </cell>
          <cell r="C2717">
            <v>0</v>
          </cell>
          <cell r="D2717">
            <v>0</v>
          </cell>
        </row>
        <row r="2718">
          <cell r="A2718" t="str">
            <v>A2GSFPRMEC7400</v>
          </cell>
          <cell r="B2718" t="str">
            <v>Not Started</v>
          </cell>
          <cell r="C2718">
            <v>0</v>
          </cell>
          <cell r="D2718">
            <v>0</v>
          </cell>
        </row>
        <row r="2719">
          <cell r="A2719" t="str">
            <v>A2GSFPRMEC7420</v>
          </cell>
          <cell r="B2719" t="str">
            <v>Not Started</v>
          </cell>
          <cell r="C2719">
            <v>0</v>
          </cell>
          <cell r="D2719">
            <v>0</v>
          </cell>
        </row>
        <row r="2720">
          <cell r="A2720" t="str">
            <v>A2GSFPRMEC7440</v>
          </cell>
          <cell r="B2720" t="str">
            <v>Not Started</v>
          </cell>
          <cell r="C2720">
            <v>0</v>
          </cell>
          <cell r="D2720">
            <v>0</v>
          </cell>
        </row>
        <row r="2721">
          <cell r="A2721" t="str">
            <v>A2GSFPRMEC7460</v>
          </cell>
          <cell r="B2721" t="str">
            <v>Not Started</v>
          </cell>
          <cell r="C2721">
            <v>0</v>
          </cell>
          <cell r="D2721">
            <v>0</v>
          </cell>
        </row>
        <row r="2722">
          <cell r="A2722" t="str">
            <v>A2GSFPRMEC7480</v>
          </cell>
          <cell r="B2722" t="str">
            <v>Not Started</v>
          </cell>
          <cell r="C2722">
            <v>0</v>
          </cell>
          <cell r="D2722">
            <v>0</v>
          </cell>
        </row>
        <row r="2723">
          <cell r="A2723" t="str">
            <v>A2GSFPRMEC7500</v>
          </cell>
          <cell r="B2723" t="str">
            <v>Not Started</v>
          </cell>
          <cell r="C2723">
            <v>0</v>
          </cell>
          <cell r="D2723">
            <v>0</v>
          </cell>
        </row>
        <row r="2724">
          <cell r="A2724" t="str">
            <v>A2GSFPRMEC7520</v>
          </cell>
          <cell r="B2724" t="str">
            <v>Not Started</v>
          </cell>
          <cell r="C2724">
            <v>0</v>
          </cell>
          <cell r="D2724">
            <v>0</v>
          </cell>
        </row>
        <row r="2725">
          <cell r="A2725" t="str">
            <v>A2GSFPRMEC7540</v>
          </cell>
          <cell r="B2725" t="str">
            <v>Not Started</v>
          </cell>
          <cell r="C2725">
            <v>0</v>
          </cell>
          <cell r="D2725">
            <v>0</v>
          </cell>
        </row>
        <row r="2726">
          <cell r="A2726" t="str">
            <v>A2GSFPRMEC7560</v>
          </cell>
          <cell r="B2726" t="str">
            <v>Not Started</v>
          </cell>
          <cell r="C2726">
            <v>0</v>
          </cell>
          <cell r="D2726">
            <v>0</v>
          </cell>
        </row>
        <row r="2727">
          <cell r="A2727" t="str">
            <v>A2GSFPRMEC7580</v>
          </cell>
          <cell r="B2727" t="str">
            <v>Not Started</v>
          </cell>
          <cell r="C2727">
            <v>0</v>
          </cell>
          <cell r="D2727">
            <v>0</v>
          </cell>
        </row>
        <row r="2728">
          <cell r="A2728" t="str">
            <v>A2GSFPRMEC7600</v>
          </cell>
          <cell r="B2728" t="str">
            <v>Not Started</v>
          </cell>
          <cell r="C2728">
            <v>0</v>
          </cell>
          <cell r="D2728">
            <v>0</v>
          </cell>
        </row>
        <row r="2729">
          <cell r="A2729" t="str">
            <v>A2GSFPRMEC7620</v>
          </cell>
          <cell r="B2729" t="str">
            <v>Not Started</v>
          </cell>
          <cell r="C2729">
            <v>0</v>
          </cell>
          <cell r="D2729">
            <v>0</v>
          </cell>
        </row>
        <row r="2730">
          <cell r="A2730" t="str">
            <v>A2GSFPRMEC7640</v>
          </cell>
          <cell r="B2730" t="str">
            <v>Not Started</v>
          </cell>
          <cell r="C2730">
            <v>0</v>
          </cell>
          <cell r="D2730">
            <v>0</v>
          </cell>
        </row>
        <row r="2731">
          <cell r="A2731" t="str">
            <v>A2GSFPRMEC7660</v>
          </cell>
          <cell r="B2731" t="str">
            <v>Not Started</v>
          </cell>
          <cell r="C2731">
            <v>0</v>
          </cell>
          <cell r="D2731">
            <v>0</v>
          </cell>
        </row>
        <row r="2732">
          <cell r="A2732" t="str">
            <v>A2GSFPRMEC7680</v>
          </cell>
          <cell r="B2732" t="str">
            <v>Not Started</v>
          </cell>
          <cell r="C2732">
            <v>0</v>
          </cell>
          <cell r="D2732">
            <v>0</v>
          </cell>
        </row>
        <row r="2733">
          <cell r="A2733" t="str">
            <v>A2GSFPRMEC7700</v>
          </cell>
          <cell r="B2733" t="str">
            <v>Not Started</v>
          </cell>
          <cell r="C2733">
            <v>0</v>
          </cell>
          <cell r="D2733">
            <v>0</v>
          </cell>
        </row>
        <row r="2734">
          <cell r="A2734" t="str">
            <v>A2GSFPRMEC7720</v>
          </cell>
          <cell r="B2734" t="str">
            <v>Not Started</v>
          </cell>
          <cell r="C2734">
            <v>0</v>
          </cell>
          <cell r="D2734">
            <v>0</v>
          </cell>
        </row>
        <row r="2735">
          <cell r="A2735" t="str">
            <v>A2GSFPRMEC7740</v>
          </cell>
          <cell r="B2735" t="str">
            <v>Not Started</v>
          </cell>
          <cell r="C2735">
            <v>0</v>
          </cell>
          <cell r="D2735">
            <v>0</v>
          </cell>
        </row>
        <row r="2736">
          <cell r="A2736" t="str">
            <v>A2GSFPRMEC7760</v>
          </cell>
          <cell r="B2736" t="str">
            <v>Not Started</v>
          </cell>
          <cell r="C2736">
            <v>0</v>
          </cell>
          <cell r="D2736">
            <v>0</v>
          </cell>
        </row>
        <row r="2737">
          <cell r="A2737" t="str">
            <v>A2GSFPRMEC7780</v>
          </cell>
          <cell r="B2737" t="str">
            <v>Not Started</v>
          </cell>
          <cell r="C2737">
            <v>0</v>
          </cell>
          <cell r="D2737">
            <v>0</v>
          </cell>
        </row>
        <row r="2738">
          <cell r="A2738" t="str">
            <v>A2GSFPRMEC7800</v>
          </cell>
          <cell r="B2738" t="str">
            <v>Not Started</v>
          </cell>
          <cell r="C2738">
            <v>0</v>
          </cell>
          <cell r="D2738">
            <v>0</v>
          </cell>
        </row>
        <row r="2739">
          <cell r="A2739" t="str">
            <v>A2GSFPRMEC7820</v>
          </cell>
          <cell r="B2739" t="str">
            <v>Not Started</v>
          </cell>
          <cell r="C2739">
            <v>0</v>
          </cell>
          <cell r="D2739">
            <v>0</v>
          </cell>
        </row>
        <row r="2740">
          <cell r="A2740" t="str">
            <v>A2GSFPRMEC7840</v>
          </cell>
          <cell r="B2740" t="str">
            <v>Not Started</v>
          </cell>
          <cell r="C2740">
            <v>0</v>
          </cell>
          <cell r="D2740">
            <v>0</v>
          </cell>
        </row>
        <row r="2741">
          <cell r="A2741" t="str">
            <v>A2GSFPRMEC7860</v>
          </cell>
          <cell r="B2741" t="str">
            <v>Not Started</v>
          </cell>
          <cell r="C2741">
            <v>0</v>
          </cell>
          <cell r="D2741">
            <v>0</v>
          </cell>
        </row>
        <row r="2742">
          <cell r="A2742" t="str">
            <v>A2GSFPRMEC7880</v>
          </cell>
          <cell r="B2742" t="str">
            <v>Not Started</v>
          </cell>
          <cell r="C2742">
            <v>0</v>
          </cell>
          <cell r="D2742">
            <v>0</v>
          </cell>
        </row>
        <row r="2743">
          <cell r="A2743" t="str">
            <v>A2GSFPRMEC7900</v>
          </cell>
          <cell r="B2743" t="str">
            <v>Not Started</v>
          </cell>
          <cell r="C2743">
            <v>0</v>
          </cell>
          <cell r="D2743">
            <v>0</v>
          </cell>
        </row>
        <row r="2744">
          <cell r="A2744" t="str">
            <v>A2GSFPRMEC7920</v>
          </cell>
          <cell r="B2744" t="str">
            <v>Not Started</v>
          </cell>
          <cell r="C2744">
            <v>0</v>
          </cell>
          <cell r="D2744">
            <v>0</v>
          </cell>
        </row>
        <row r="2745">
          <cell r="A2745" t="str">
            <v>A2GSFPRMEC7940</v>
          </cell>
          <cell r="B2745" t="str">
            <v>Not Started</v>
          </cell>
          <cell r="C2745">
            <v>0</v>
          </cell>
          <cell r="D2745">
            <v>0</v>
          </cell>
        </row>
        <row r="2746">
          <cell r="A2746" t="str">
            <v>A2GSFPRMEC7960</v>
          </cell>
          <cell r="B2746" t="str">
            <v>Not Started</v>
          </cell>
          <cell r="C2746">
            <v>0</v>
          </cell>
          <cell r="D2746">
            <v>0</v>
          </cell>
        </row>
        <row r="2747">
          <cell r="A2747" t="str">
            <v>A2GSFPRMEC7980</v>
          </cell>
          <cell r="B2747" t="str">
            <v>Not Started</v>
          </cell>
          <cell r="C2747">
            <v>0</v>
          </cell>
          <cell r="D2747">
            <v>0</v>
          </cell>
        </row>
        <row r="2748">
          <cell r="A2748" t="str">
            <v>A2GSFPRMEC8000</v>
          </cell>
          <cell r="B2748" t="str">
            <v>Not Started</v>
          </cell>
          <cell r="C2748">
            <v>0</v>
          </cell>
          <cell r="D2748">
            <v>0</v>
          </cell>
        </row>
        <row r="2749">
          <cell r="A2749" t="str">
            <v>A2GSFPRMEC8020</v>
          </cell>
          <cell r="B2749" t="str">
            <v>Not Started</v>
          </cell>
          <cell r="C2749">
            <v>0</v>
          </cell>
          <cell r="D2749">
            <v>0</v>
          </cell>
        </row>
        <row r="2750">
          <cell r="A2750" t="str">
            <v>A2GSFPRMEC8040</v>
          </cell>
          <cell r="B2750" t="str">
            <v>In Progress</v>
          </cell>
          <cell r="C2750">
            <v>0</v>
          </cell>
          <cell r="D2750">
            <v>0.1757</v>
          </cell>
        </row>
        <row r="2751">
          <cell r="A2751" t="str">
            <v>A2GSFPRMEC8060</v>
          </cell>
          <cell r="B2751" t="str">
            <v>Not Started</v>
          </cell>
          <cell r="C2751">
            <v>0</v>
          </cell>
          <cell r="D2751">
            <v>0</v>
          </cell>
        </row>
        <row r="2752">
          <cell r="A2752" t="str">
            <v>A2GSFPRMEC8080</v>
          </cell>
          <cell r="B2752" t="str">
            <v>Not Started</v>
          </cell>
          <cell r="C2752">
            <v>0</v>
          </cell>
          <cell r="D2752">
            <v>0</v>
          </cell>
        </row>
        <row r="2753">
          <cell r="A2753" t="str">
            <v>A2GSFPRMEC8100</v>
          </cell>
          <cell r="B2753" t="str">
            <v>Not Started</v>
          </cell>
          <cell r="C2753">
            <v>0</v>
          </cell>
          <cell r="D2753">
            <v>0</v>
          </cell>
        </row>
        <row r="2754">
          <cell r="A2754" t="str">
            <v>A2GSFPRMEC8120</v>
          </cell>
          <cell r="B2754" t="str">
            <v>Not Started</v>
          </cell>
          <cell r="C2754">
            <v>0</v>
          </cell>
          <cell r="D2754">
            <v>0</v>
          </cell>
        </row>
        <row r="2755">
          <cell r="A2755" t="str">
            <v>A2GSFPRMEC8140</v>
          </cell>
          <cell r="B2755" t="str">
            <v>Not Started</v>
          </cell>
          <cell r="C2755">
            <v>0</v>
          </cell>
          <cell r="D2755">
            <v>0</v>
          </cell>
        </row>
        <row r="2756">
          <cell r="A2756" t="str">
            <v>A2GSFPRMEC8160</v>
          </cell>
          <cell r="B2756" t="str">
            <v>Not Started</v>
          </cell>
          <cell r="C2756">
            <v>0</v>
          </cell>
          <cell r="D2756">
            <v>0</v>
          </cell>
        </row>
        <row r="2757">
          <cell r="A2757" t="str">
            <v>A2GSFPRMEC8180</v>
          </cell>
          <cell r="B2757" t="str">
            <v>Not Started</v>
          </cell>
          <cell r="C2757">
            <v>0</v>
          </cell>
          <cell r="D2757">
            <v>0</v>
          </cell>
        </row>
        <row r="2758">
          <cell r="A2758" t="str">
            <v>A2GSFPRMEC8200</v>
          </cell>
          <cell r="B2758" t="str">
            <v>Not Started</v>
          </cell>
          <cell r="C2758">
            <v>0</v>
          </cell>
          <cell r="D2758">
            <v>0</v>
          </cell>
        </row>
        <row r="2759">
          <cell r="A2759" t="str">
            <v>A2GSFPRMEC8220</v>
          </cell>
          <cell r="B2759" t="str">
            <v>Not Started</v>
          </cell>
          <cell r="C2759">
            <v>0</v>
          </cell>
          <cell r="D2759">
            <v>0</v>
          </cell>
        </row>
        <row r="2760">
          <cell r="A2760" t="str">
            <v>A2GSFPRMEC8240</v>
          </cell>
          <cell r="B2760" t="str">
            <v>Not Started</v>
          </cell>
          <cell r="C2760">
            <v>0</v>
          </cell>
          <cell r="D2760">
            <v>0</v>
          </cell>
        </row>
        <row r="2761">
          <cell r="A2761" t="str">
            <v>A2GSFPRMEC8260</v>
          </cell>
          <cell r="B2761" t="str">
            <v>Not Started</v>
          </cell>
          <cell r="C2761">
            <v>0</v>
          </cell>
          <cell r="D2761">
            <v>0</v>
          </cell>
        </row>
        <row r="2762">
          <cell r="A2762" t="str">
            <v>A2GSFPRMEC8280</v>
          </cell>
          <cell r="B2762" t="str">
            <v>Not Started</v>
          </cell>
          <cell r="C2762">
            <v>0</v>
          </cell>
          <cell r="D2762">
            <v>0</v>
          </cell>
        </row>
        <row r="2763">
          <cell r="A2763" t="str">
            <v>A2GSFPRMEC8300</v>
          </cell>
          <cell r="B2763" t="str">
            <v>Not Started</v>
          </cell>
          <cell r="C2763">
            <v>0</v>
          </cell>
          <cell r="D2763">
            <v>0</v>
          </cell>
        </row>
        <row r="2764">
          <cell r="A2764" t="str">
            <v>A2GSFPRMEC8320</v>
          </cell>
          <cell r="B2764" t="str">
            <v>Not Started</v>
          </cell>
          <cell r="C2764">
            <v>0</v>
          </cell>
          <cell r="D2764">
            <v>0</v>
          </cell>
        </row>
        <row r="2765">
          <cell r="A2765" t="str">
            <v>A2GSFPRMEC8340</v>
          </cell>
          <cell r="B2765" t="str">
            <v>Not Started</v>
          </cell>
          <cell r="C2765">
            <v>0</v>
          </cell>
          <cell r="D2765">
            <v>0</v>
          </cell>
        </row>
        <row r="2766">
          <cell r="A2766" t="str">
            <v>A2GSFPRMEC8360</v>
          </cell>
          <cell r="B2766" t="str">
            <v>Not Started</v>
          </cell>
          <cell r="C2766">
            <v>0</v>
          </cell>
          <cell r="D2766">
            <v>0</v>
          </cell>
        </row>
        <row r="2767">
          <cell r="A2767" t="str">
            <v>A2GSFPRMEC8380</v>
          </cell>
          <cell r="B2767" t="str">
            <v>Not Started</v>
          </cell>
          <cell r="C2767">
            <v>0</v>
          </cell>
          <cell r="D2767">
            <v>0</v>
          </cell>
        </row>
        <row r="2768">
          <cell r="A2768" t="str">
            <v>A2GSFPRMEC8400</v>
          </cell>
          <cell r="B2768" t="str">
            <v>Not Started</v>
          </cell>
          <cell r="C2768">
            <v>0</v>
          </cell>
          <cell r="D2768">
            <v>0</v>
          </cell>
        </row>
        <row r="2769">
          <cell r="A2769" t="str">
            <v>A2GSFPRMEC8420</v>
          </cell>
          <cell r="B2769" t="str">
            <v>Not Started</v>
          </cell>
          <cell r="C2769">
            <v>0</v>
          </cell>
          <cell r="D2769">
            <v>0</v>
          </cell>
        </row>
        <row r="2770">
          <cell r="A2770" t="str">
            <v>A2GSFPRMEC8440</v>
          </cell>
          <cell r="B2770" t="str">
            <v>Not Started</v>
          </cell>
          <cell r="C2770">
            <v>0</v>
          </cell>
          <cell r="D2770">
            <v>0</v>
          </cell>
        </row>
        <row r="2771">
          <cell r="A2771" t="str">
            <v>A2GSFPRMEC8460</v>
          </cell>
          <cell r="B2771" t="str">
            <v>Not Started</v>
          </cell>
          <cell r="C2771">
            <v>0</v>
          </cell>
          <cell r="D2771">
            <v>0</v>
          </cell>
        </row>
        <row r="2772">
          <cell r="A2772" t="str">
            <v>A2GSFPRMEC8480</v>
          </cell>
          <cell r="B2772" t="str">
            <v>Not Started</v>
          </cell>
          <cell r="C2772">
            <v>0</v>
          </cell>
          <cell r="D2772">
            <v>0</v>
          </cell>
        </row>
        <row r="2773">
          <cell r="A2773" t="str">
            <v>A2GSFPRMEC8500</v>
          </cell>
          <cell r="B2773" t="str">
            <v>Not Started</v>
          </cell>
          <cell r="C2773">
            <v>0</v>
          </cell>
          <cell r="D2773">
            <v>0</v>
          </cell>
        </row>
        <row r="2774">
          <cell r="A2774" t="str">
            <v>A2GSFPRMEC8520</v>
          </cell>
          <cell r="B2774" t="str">
            <v>Not Started</v>
          </cell>
          <cell r="C2774">
            <v>0</v>
          </cell>
          <cell r="D2774">
            <v>0</v>
          </cell>
        </row>
        <row r="2775">
          <cell r="A2775" t="str">
            <v>A2GSFPRMEC8540</v>
          </cell>
          <cell r="B2775" t="str">
            <v>Not Started</v>
          </cell>
          <cell r="C2775">
            <v>0</v>
          </cell>
          <cell r="D2775">
            <v>0</v>
          </cell>
        </row>
        <row r="2776">
          <cell r="A2776" t="str">
            <v>A2GSFPRMEC8560</v>
          </cell>
          <cell r="B2776" t="str">
            <v>Not Started</v>
          </cell>
          <cell r="C2776">
            <v>0</v>
          </cell>
          <cell r="D2776">
            <v>0</v>
          </cell>
        </row>
        <row r="2777">
          <cell r="A2777" t="str">
            <v>A2GSFPRMEC8580</v>
          </cell>
          <cell r="B2777" t="str">
            <v>Not Started</v>
          </cell>
          <cell r="C2777">
            <v>0</v>
          </cell>
          <cell r="D2777">
            <v>0</v>
          </cell>
        </row>
        <row r="2778">
          <cell r="A2778" t="str">
            <v>A2GSFPRMEC8600</v>
          </cell>
          <cell r="B2778" t="str">
            <v>Not Started</v>
          </cell>
          <cell r="C2778">
            <v>0</v>
          </cell>
          <cell r="D2778">
            <v>0</v>
          </cell>
        </row>
        <row r="2779">
          <cell r="A2779" t="str">
            <v>A2MC1000</v>
          </cell>
          <cell r="B2779" t="str">
            <v>Not Started</v>
          </cell>
          <cell r="C2779">
            <v>0</v>
          </cell>
          <cell r="D2779">
            <v>0</v>
          </cell>
        </row>
        <row r="2780">
          <cell r="A2780" t="str">
            <v>A2MC1010</v>
          </cell>
          <cell r="B2780" t="str">
            <v>Not Started</v>
          </cell>
          <cell r="C2780">
            <v>0</v>
          </cell>
          <cell r="D2780">
            <v>0</v>
          </cell>
        </row>
        <row r="2781">
          <cell r="A2781" t="str">
            <v>A2MC1020</v>
          </cell>
          <cell r="B2781" t="str">
            <v>Not Started</v>
          </cell>
          <cell r="C2781">
            <v>0</v>
          </cell>
          <cell r="D2781">
            <v>0</v>
          </cell>
        </row>
        <row r="2782">
          <cell r="A2782" t="str">
            <v>A2MC1030</v>
          </cell>
          <cell r="B2782" t="str">
            <v>Not Started</v>
          </cell>
          <cell r="C2782">
            <v>0</v>
          </cell>
          <cell r="D2782">
            <v>0</v>
          </cell>
        </row>
        <row r="2783">
          <cell r="A2783" t="str">
            <v>A2MC1040</v>
          </cell>
          <cell r="B2783" t="str">
            <v>Not Started</v>
          </cell>
          <cell r="C2783">
            <v>0</v>
          </cell>
          <cell r="D2783">
            <v>0</v>
          </cell>
        </row>
        <row r="2784">
          <cell r="A2784" t="str">
            <v>A2MC1050</v>
          </cell>
          <cell r="B2784" t="str">
            <v>Not Started</v>
          </cell>
          <cell r="C2784">
            <v>0</v>
          </cell>
          <cell r="D2784">
            <v>0</v>
          </cell>
        </row>
        <row r="2785">
          <cell r="A2785" t="str">
            <v>A2MC1060</v>
          </cell>
          <cell r="B2785" t="str">
            <v>Not Started</v>
          </cell>
          <cell r="C2785">
            <v>0</v>
          </cell>
          <cell r="D2785">
            <v>0</v>
          </cell>
        </row>
        <row r="2786">
          <cell r="A2786" t="str">
            <v>A2MC1070</v>
          </cell>
          <cell r="B2786" t="str">
            <v>Not Started</v>
          </cell>
          <cell r="C2786">
            <v>0</v>
          </cell>
          <cell r="D2786">
            <v>0</v>
          </cell>
        </row>
        <row r="2787">
          <cell r="A2787" t="str">
            <v>A2MC1080</v>
          </cell>
          <cell r="B2787" t="str">
            <v>Not Started</v>
          </cell>
          <cell r="C2787">
            <v>0</v>
          </cell>
          <cell r="D2787">
            <v>0</v>
          </cell>
        </row>
        <row r="2788">
          <cell r="A2788" t="str">
            <v>A2MC1090</v>
          </cell>
          <cell r="B2788" t="str">
            <v>Not Started</v>
          </cell>
          <cell r="C2788">
            <v>0</v>
          </cell>
          <cell r="D2788">
            <v>0</v>
          </cell>
        </row>
        <row r="2789">
          <cell r="A2789" t="str">
            <v>A2MC1100</v>
          </cell>
          <cell r="B2789" t="str">
            <v>Not Started</v>
          </cell>
          <cell r="C2789">
            <v>0</v>
          </cell>
          <cell r="D2789">
            <v>0</v>
          </cell>
        </row>
        <row r="2790">
          <cell r="A2790" t="str">
            <v>A2MC1110</v>
          </cell>
          <cell r="B2790" t="str">
            <v>Not Started</v>
          </cell>
          <cell r="C2790">
            <v>0</v>
          </cell>
          <cell r="D2790">
            <v>0</v>
          </cell>
        </row>
        <row r="2791">
          <cell r="A2791" t="str">
            <v>A2MC1120</v>
          </cell>
          <cell r="B2791" t="str">
            <v>Not Started</v>
          </cell>
          <cell r="C2791">
            <v>0</v>
          </cell>
          <cell r="D2791">
            <v>0</v>
          </cell>
        </row>
        <row r="2792">
          <cell r="A2792" t="str">
            <v>A2MC1130</v>
          </cell>
          <cell r="B2792" t="str">
            <v>Not Started</v>
          </cell>
          <cell r="C2792">
            <v>0</v>
          </cell>
          <cell r="D2792">
            <v>0</v>
          </cell>
        </row>
        <row r="2793">
          <cell r="A2793" t="str">
            <v>A2MC1140</v>
          </cell>
          <cell r="B2793" t="str">
            <v>Not Started</v>
          </cell>
          <cell r="C2793">
            <v>0</v>
          </cell>
          <cell r="D2793">
            <v>0</v>
          </cell>
        </row>
        <row r="2794">
          <cell r="A2794" t="str">
            <v>A2MC1150</v>
          </cell>
          <cell r="B2794" t="str">
            <v>Not Started</v>
          </cell>
          <cell r="C2794">
            <v>0</v>
          </cell>
          <cell r="D2794">
            <v>0</v>
          </cell>
        </row>
        <row r="2795">
          <cell r="A2795">
            <v>0</v>
          </cell>
          <cell r="B2795">
            <v>0</v>
          </cell>
          <cell r="C2795">
            <v>0</v>
          </cell>
          <cell r="D2795">
            <v>0</v>
          </cell>
        </row>
        <row r="2796">
          <cell r="A2796">
            <v>0</v>
          </cell>
          <cell r="B2796">
            <v>0</v>
          </cell>
          <cell r="C2796">
            <v>0</v>
          </cell>
          <cell r="D2796">
            <v>0</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inter"/>
      <sheetName val="UnitList"/>
      <sheetName val="A(Rev.3)"/>
      <sheetName val="갑지"/>
      <sheetName val="#2CDU실행"/>
      <sheetName val="Summary Sheets"/>
      <sheetName val="CAT_5"/>
      <sheetName val="대비표"/>
      <sheetName val="설계명세서"/>
      <sheetName val="품셈표"/>
      <sheetName val="Macro1"/>
      <sheetName val="해평견적"/>
      <sheetName val="각계정원장"/>
      <sheetName val="지수"/>
      <sheetName val="costing_CV"/>
      <sheetName val="C-850R0.XLS"/>
      <sheetName val="h-013211-2"/>
      <sheetName val="Pittsburge"/>
      <sheetName val="HVAC"/>
      <sheetName val="Aweer"/>
      <sheetName val="EQUIPMENT"/>
      <sheetName val="activity"/>
      <sheetName val="원가계산"/>
      <sheetName val="일위대가목차"/>
      <sheetName val="철거산출근거"/>
      <sheetName val="총괄표"/>
      <sheetName val="CC16-내역서"/>
      <sheetName val="AILC004"/>
      <sheetName val="data"/>
      <sheetName val="cal"/>
      <sheetName val="Civil"/>
      <sheetName val="DB@Acess"/>
      <sheetName val="GEN PROG"/>
      <sheetName val="TOTAL MHRS"/>
      <sheetName val="TENDER PROG."/>
      <sheetName val="대치판정"/>
      <sheetName val="TIE-INS"/>
      <sheetName val="jobhist"/>
      <sheetName val="معد .ث"/>
      <sheetName val="Factor"/>
      <sheetName val="영업소실적"/>
      <sheetName val="TTL"/>
      <sheetName val="INPUT DATA"/>
      <sheetName val="POWER"/>
      <sheetName val="D-623D"/>
      <sheetName val="ASCEandUBC"/>
      <sheetName val="주관사업"/>
      <sheetName val="내역서"/>
      <sheetName val="장비종합부표"/>
      <sheetName val="집계표_식재"/>
      <sheetName val="부표"/>
      <sheetName val="기계내역서"/>
      <sheetName val="Testing"/>
      <sheetName val="1단계"/>
      <sheetName val="COA-17"/>
      <sheetName val="C-18"/>
      <sheetName val="calc"/>
      <sheetName val="Q5434 EQ LIST"/>
      <sheetName val="BQMPALOC"/>
      <sheetName val="TK1501"/>
      <sheetName val="D-3503"/>
      <sheetName val="Contents"/>
      <sheetName val="Summary"/>
      <sheetName val="Macro"/>
      <sheetName val="Taux"/>
      <sheetName val="Graph (LGEN)"/>
      <sheetName val="out_prog"/>
      <sheetName val="선적schedule (2)"/>
      <sheetName val="1.설계조건"/>
      <sheetName val="전기"/>
      <sheetName val="1.cs sl(150)"/>
      <sheetName val="steam table"/>
      <sheetName val="집계표(OPTION)"/>
      <sheetName val="을"/>
      <sheetName val="계약자료"/>
      <sheetName val="Panel제작명세서"/>
      <sheetName val="member design"/>
      <sheetName val="design criteria"/>
      <sheetName val="soil bearing check"/>
      <sheetName val="CA1"/>
      <sheetName val="CODE"/>
      <sheetName val="건축내역"/>
      <sheetName val="견적기준"/>
      <sheetName val="SYS_DB"/>
      <sheetName val="COVER"/>
      <sheetName val="자재코드"/>
      <sheetName val="Table"/>
      <sheetName val="기초입력"/>
      <sheetName val="M-EQPT-Z"/>
      <sheetName val="소화실적"/>
      <sheetName val="Eq. Mobilization"/>
      <sheetName val="PROCURE"/>
      <sheetName val="DATE"/>
      <sheetName val="Gia vat tu"/>
      <sheetName val="w't table"/>
      <sheetName val=" Sum"/>
      <sheetName val="BM"/>
      <sheetName val="sum"/>
      <sheetName val="단가"/>
      <sheetName val="working load at the btm ft."/>
      <sheetName val="plan&amp;section of foundation"/>
      <sheetName val="PANEL가격"/>
      <sheetName val="POL6차-PIPING"/>
      <sheetName val="Rates"/>
      <sheetName val="WITHOUT C&amp;I PROFIT (3)"/>
      <sheetName val="EIs Progress"/>
      <sheetName val="RFP003B"/>
      <sheetName val="SH-F"/>
      <sheetName val="BoQ"/>
      <sheetName val="#REF"/>
      <sheetName val="가도공"/>
      <sheetName val="INDEX"/>
      <sheetName val="Food court "/>
      <sheetName val="steel data sheet"/>
      <sheetName val="부재력정리"/>
      <sheetName val="WIND"/>
      <sheetName val="Sheet1"/>
      <sheetName val="DESIGN"/>
      <sheetName val="일위대가표"/>
      <sheetName val="cable-data"/>
      <sheetName val="EQT-ESTN"/>
      <sheetName val="IN"/>
      <sheetName val="合成単価作成表-BLDG"/>
      <sheetName val="공내역서"/>
      <sheetName val="실행"/>
      <sheetName val="SAKUB"/>
      <sheetName val="DI-ESTI"/>
      <sheetName val="Piping BQ for one turbine"/>
      <sheetName val=" 갑지"/>
      <sheetName val="데이타"/>
      <sheetName val="식재인부"/>
      <sheetName val="T RFA"/>
      <sheetName val="12CGOU"/>
      <sheetName val="PipWT"/>
      <sheetName val="Pump"/>
      <sheetName val="Chi tiet"/>
      <sheetName val="cable"/>
      <sheetName val="C1.공사개요"/>
      <sheetName val="401"/>
      <sheetName val="Sheet5"/>
      <sheetName val="도"/>
      <sheetName val="노임단가"/>
      <sheetName val="수목단가"/>
      <sheetName val="시설수량표"/>
      <sheetName val="식재수량표"/>
      <sheetName val="일위목록"/>
      <sheetName val="자재단가"/>
      <sheetName val="출금실적"/>
      <sheetName val="wg"/>
      <sheetName val="PDS U-1400"/>
      <sheetName val="공문"/>
      <sheetName val="AU"/>
      <sheetName val="SS2"/>
      <sheetName val="Hoja1"/>
      <sheetName val="Sheet2"/>
      <sheetName val="For-2"/>
      <sheetName val="piping"/>
      <sheetName val="PROCESS"/>
      <sheetName val="Welcome"/>
      <sheetName val="DESIGN CRETERIA"/>
      <sheetName val="COVERSHEET"/>
      <sheetName val="DESIGN_CRETERIA"/>
      <sheetName val="조도계산서 (도서)"/>
      <sheetName val="Spec1"/>
      <sheetName val="Unit_Name"/>
      <sheetName val="노임9월"/>
      <sheetName val="価格"/>
      <sheetName val="Compressors"/>
      <sheetName val="C3"/>
      <sheetName val="A"/>
      <sheetName val="eq_data"/>
      <sheetName val="4K - (6a) Non Manual Breakdown"/>
      <sheetName val="PRICE-COMP"/>
      <sheetName val="CBL_OD"/>
      <sheetName val="현장관리비 산출내역"/>
      <sheetName val="P3data"/>
      <sheetName val="자재단가조사표-수목"/>
      <sheetName val="PIPES"/>
      <sheetName val="PI"/>
      <sheetName val="Contract Unit Rates Rev.00"/>
      <sheetName val="Estimate"/>
      <sheetName val="A(Rev_3)"/>
      <sheetName val="معد__ث"/>
      <sheetName val="C-850R0_XLS"/>
      <sheetName val="Summary_Sheets"/>
      <sheetName val="GEN_PROG"/>
      <sheetName val="TOTAL_MHRS"/>
      <sheetName val="TENDER_PROG_"/>
      <sheetName val="Q5434_EQ_LIST"/>
      <sheetName val="A(Rev_3)1"/>
      <sheetName val="معد__ث1"/>
      <sheetName val="C-850R0_XLS1"/>
      <sheetName val="Summary_Sheets1"/>
      <sheetName val="GEN_PROG1"/>
      <sheetName val="TOTAL_MHRS1"/>
      <sheetName val="TENDER_PROG_1"/>
      <sheetName val="Q5434_EQ_LIST1"/>
      <sheetName val="Malaysia incl. RET"/>
      <sheetName val="Template Settings"/>
      <sheetName val="SILICATE"/>
      <sheetName val="WORKING SHEET SS#35"/>
      <sheetName val="RFP003A"/>
      <sheetName val="Indirect Sheets"/>
      <sheetName val="강재"/>
      <sheetName val="월현황(내자)"/>
      <sheetName val="인원현황"/>
      <sheetName val="정산서  (2)"/>
      <sheetName val="BCPAB"/>
      <sheetName val="토목(대안)"/>
      <sheetName val="할증 "/>
      <sheetName val="뜃맟뭁돽띿맟?-BLDG"/>
      <sheetName val="공정계획(내부계획25%,내부w.f)"/>
      <sheetName val="단가집"/>
      <sheetName val="Main"/>
      <sheetName val="BATCH"/>
      <sheetName val="99노임기준"/>
      <sheetName val="일위대가"/>
      <sheetName val="제잡비"/>
      <sheetName val="식재"/>
      <sheetName val="시설물"/>
      <sheetName val="식재출력용"/>
      <sheetName val="유지관리"/>
      <sheetName val="단가조사"/>
      <sheetName val="계수시트"/>
      <sheetName val="원가계산서"/>
      <sheetName val="대림경상68억"/>
      <sheetName val="시설물일위"/>
      <sheetName val="수목데이타"/>
      <sheetName val="가설공사"/>
      <sheetName val="단가결정"/>
      <sheetName val="내역아"/>
      <sheetName val="울타리"/>
      <sheetName val="Piping(Methanol)"/>
      <sheetName val="HO ENG MH CAL"/>
      <sheetName val="Variations"/>
      <sheetName val="DELIVERIES"/>
      <sheetName val="수지표"/>
      <sheetName val="셀명"/>
      <sheetName val="참고자료"/>
      <sheetName val="見積条件入力画面"/>
      <sheetName val="性能取り纏め"/>
      <sheetName val="Piping Design Data"/>
      <sheetName val="2-1. 경관조명 내역총괄표"/>
      <sheetName val="PIPE"/>
      <sheetName val="FLANGE"/>
      <sheetName val="VALVE"/>
      <sheetName val="설계"/>
      <sheetName val="SUBCON"/>
      <sheetName val="환율표"/>
      <sheetName val="뜃맟뭁돽띿맟_-BLDG"/>
      <sheetName val="Price Summary Sheet (Final BQ)"/>
      <sheetName val="Currencies"/>
      <sheetName val="PROGRESS"/>
      <sheetName val="재료비"/>
      <sheetName val="경비"/>
      <sheetName val="AREA"/>
      <sheetName val="D"/>
      <sheetName val="관련부서"/>
      <sheetName val="Report"/>
      <sheetName val="추가예산"/>
      <sheetName val="갑지(추정)"/>
      <sheetName val="공통(20-91)"/>
      <sheetName val="노임이"/>
      <sheetName val="공사_산출"/>
      <sheetName val="산출내역"/>
      <sheetName val="준공조서갑지"/>
      <sheetName val="PSV2701F"/>
      <sheetName val="Chiet tinh dz35"/>
      <sheetName val="Chiet tinh dz22"/>
      <sheetName val="CT Thang Mo"/>
      <sheetName val="CT  PL"/>
      <sheetName val="MTP"/>
      <sheetName val="MTP1"/>
      <sheetName val="8"/>
      <sheetName val="10"/>
      <sheetName val="12"/>
      <sheetName val="9"/>
      <sheetName val="11"/>
      <sheetName val="2"/>
      <sheetName val="AA"/>
      <sheetName val="도급"/>
      <sheetName val="도면자료제출일정"/>
      <sheetName val="MB(LAB_No.2)"/>
      <sheetName val="개산공사비"/>
      <sheetName val="PBS"/>
      <sheetName val="편성절차"/>
      <sheetName val="cement"/>
      <sheetName val="TOT-SUM"/>
      <sheetName val="예총"/>
      <sheetName val="UNIT PRICES"/>
      <sheetName val="Pile"/>
      <sheetName val="TRANSFER"/>
      <sheetName val="기자재집계"/>
      <sheetName val="견적대비표"/>
      <sheetName val="토공개요"/>
      <sheetName val="실행내역"/>
      <sheetName val="name"/>
      <sheetName val="設計条件"/>
      <sheetName val="BASE DE PERSONAL"/>
      <sheetName val="Facturación A"/>
      <sheetName val="TABLAS"/>
      <sheetName val="RES"/>
      <sheetName val="Precall-new"/>
      <sheetName val="A01"/>
      <sheetName val="A11"/>
      <sheetName val="A16"/>
      <sheetName val="A02"/>
      <sheetName val="A03"/>
      <sheetName val="A04"/>
      <sheetName val="A05"/>
      <sheetName val="A06"/>
      <sheetName val="A07"/>
      <sheetName val="A08a"/>
      <sheetName val="A08b"/>
      <sheetName val="CE-ORG"/>
      <sheetName val="Segment"/>
      <sheetName val="laroux"/>
      <sheetName val="단중표-ST"/>
      <sheetName val="잡비계산"/>
      <sheetName val="공사비 내역 (가)"/>
      <sheetName val="2002년12월"/>
      <sheetName val="M"/>
      <sheetName val="MEPS Structural Steel Index 비교"/>
      <sheetName val="MEPS CS Index 비교"/>
      <sheetName val="98수지배부(수정)"/>
      <sheetName val="실행철강하도"/>
      <sheetName val="wp DESCRIPTION"/>
      <sheetName val="Civil Boq"/>
      <sheetName val="_REF"/>
      <sheetName val="수주추정"/>
      <sheetName val="마감집계(창고)"/>
      <sheetName val="도장면적"/>
      <sheetName val="마감산근(창고)"/>
      <sheetName val="자금운영"/>
      <sheetName val="골조시행"/>
      <sheetName val="명세서"/>
      <sheetName val="실행내역서 "/>
      <sheetName val="Total"/>
      <sheetName val="건축명"/>
      <sheetName val="기계명"/>
      <sheetName val="전기명"/>
      <sheetName val="토목명"/>
      <sheetName val="부서코드표"/>
      <sheetName val="간접비차이_PJT"/>
      <sheetName val="자바라1"/>
      <sheetName val="상반기손익차2총괄"/>
      <sheetName val="1100-1200-1300-1910-2140-LEV 2"/>
      <sheetName val="Process Piping"/>
      <sheetName val="??-BLDG"/>
      <sheetName val="KP1590_E"/>
      <sheetName val="BOX 설계"/>
      <sheetName val="SKETCH"/>
      <sheetName val="CAL."/>
      <sheetName val="Project Details"/>
      <sheetName val="CONSTANTES"/>
      <sheetName val="대창(함평)"/>
      <sheetName val="대창(장성)"/>
      <sheetName val="경비집계"/>
      <sheetName val="ESTI."/>
      <sheetName val="96.12"/>
      <sheetName val="3514-HV-0201"/>
      <sheetName val="PROJECT"/>
      <sheetName val="Weights"/>
      <sheetName val="P2-Project Data"/>
      <sheetName val="9-1차이내역"/>
      <sheetName val="Questions to Vendor"/>
      <sheetName val="MEXICO-C"/>
      <sheetName val="15100"/>
      <sheetName val="당진1,2호기전선관설치및접지4차공사내역서-을지"/>
      <sheetName val="costing_Misc"/>
      <sheetName val="__-BLDG"/>
      <sheetName val="hGH정제"/>
      <sheetName val="거래처계좌"/>
      <sheetName val="INDIRECTS"/>
      <sheetName val="설명서 "/>
      <sheetName val="토목"/>
      <sheetName val="T_RFA"/>
      <sheetName val="w't_table"/>
      <sheetName val="INPUT_DATA"/>
      <sheetName val="1_cs_sl(150)"/>
      <sheetName val="steam_table"/>
      <sheetName val="member_design"/>
      <sheetName val="design_criteria"/>
      <sheetName val="soil_bearing_check"/>
      <sheetName val="Eq__Mobilization"/>
      <sheetName val="Gia_vat_tu"/>
      <sheetName val="1_설계조건"/>
      <sheetName val="Food_court_"/>
      <sheetName val="steel_data_sheet"/>
      <sheetName val="CLDL9131"/>
      <sheetName val="PDS_U-1400"/>
      <sheetName val="Graph_(LGEN)"/>
      <sheetName val="선적schedule_(2)"/>
      <sheetName val="_Sum"/>
      <sheetName val="WITHOUT_C&amp;I_PROFIT_(3)"/>
      <sheetName val="EIs_Progress"/>
      <sheetName val="C1_공사개요"/>
      <sheetName val="Sheet1 (2)"/>
      <sheetName val="Information"/>
      <sheetName val="D25"/>
      <sheetName val="D22"/>
      <sheetName val="STAND98"/>
      <sheetName val="WIP"/>
      <sheetName val="T_RFA1"/>
      <sheetName val="w't_table1"/>
      <sheetName val="INPUT_DATA1"/>
      <sheetName val="1_cs_sl(150)1"/>
      <sheetName val="steam_table1"/>
      <sheetName val="member_design1"/>
      <sheetName val="design_criteria1"/>
      <sheetName val="soil_bearing_check1"/>
      <sheetName val="Eq__Mobilization1"/>
      <sheetName val="Gia_vat_tu1"/>
      <sheetName val="1_설계조건1"/>
      <sheetName val="Food_court_1"/>
      <sheetName val="steel_data_sheet1"/>
      <sheetName val="Chi_tiet"/>
      <sheetName val="Contract_Unit_Rates_Rev_00"/>
      <sheetName val="working_load_at_the_btm_ft_"/>
      <sheetName val="plan&amp;section_of_foundation"/>
      <sheetName val="CABLE TRENCH"/>
      <sheetName val="manhour"/>
      <sheetName val="ANSI"/>
      <sheetName val="VALIDATION"/>
      <sheetName val="1"/>
      <sheetName val="대공종"/>
      <sheetName val="Cash Flow viking"/>
      <sheetName val="공사비_NDE"/>
      <sheetName val="DB_ET200(R. A)"/>
      <sheetName val="7-2"/>
      <sheetName val="BP"/>
      <sheetName val="DATA1"/>
      <sheetName val="왕갑지"/>
      <sheetName val="Sheet3"/>
      <sheetName val="Sheet4"/>
      <sheetName val="Sheet6"/>
      <sheetName val="Sheet7"/>
      <sheetName val="Sheet8"/>
      <sheetName val="Sheet9"/>
      <sheetName val="Sheet10"/>
      <sheetName val="Sheet11"/>
      <sheetName val="Sheet12"/>
      <sheetName val="Sheet13"/>
      <sheetName val="Sheet14"/>
      <sheetName val="Sheet15"/>
      <sheetName val="Sheet16"/>
      <sheetName val="2. Project Orgarnization(Site)"/>
      <sheetName val="Katsayılar"/>
      <sheetName val="Manpower"/>
      <sheetName val="CONST"/>
      <sheetName val="表三"/>
      <sheetName val="Purlin(7m)"/>
      <sheetName val="CLASS"/>
      <sheetName val="12(762mm)套管"/>
      <sheetName val="OUTICOLPIP"/>
      <sheetName val="pile Fabrication"/>
      <sheetName val="MFG_TAG"/>
      <sheetName val="Codes,..."/>
      <sheetName val="INNER TANK"/>
      <sheetName val="IPE"/>
      <sheetName val="INPUTS"/>
      <sheetName val="A1 Thru A11- LUMP SUM CONSTR"/>
      <sheetName val="variable"/>
      <sheetName val="Final Budget"/>
      <sheetName val="2007 EPCI 3rd Eng."/>
      <sheetName val="xSeries255"/>
      <sheetName val="OCT"/>
      <sheetName val="PILE-C1"/>
      <sheetName val="Covers"/>
      <sheetName val="Budgets"/>
      <sheetName val="100"/>
      <sheetName val="static.cal"/>
      <sheetName val="No.2LAB Unit"/>
      <sheetName val="소방"/>
      <sheetName val="내역"/>
      <sheetName val="MSH51C"/>
      <sheetName val="初期値設定"/>
      <sheetName val="纏め表"/>
      <sheetName val="見積総括表"/>
      <sheetName val="w_dn_idd"/>
      <sheetName val="C"/>
      <sheetName val="3"/>
      <sheetName val="Scope of work00"/>
      <sheetName val="Scope of work"/>
      <sheetName val="0000000000000000000000000000"/>
      <sheetName val="03. SoQ Monitoring"/>
      <sheetName val="dutoan"/>
      <sheetName val="BID"/>
      <sheetName val="금액내역서"/>
      <sheetName val="Final Staff Chart"/>
      <sheetName val="DIV2"/>
      <sheetName val="Master Liste"/>
      <sheetName val="BQ-Ext  "/>
      <sheetName val="BILL"/>
      <sheetName val="Analisa SNI STANDART "/>
      <sheetName val="Eng_Hrs (HO)"/>
      <sheetName val="HARGA MATERIAL"/>
      <sheetName val="351BQMCN"/>
      <sheetName val="钢筋"/>
      <sheetName val="SEX"/>
      <sheetName val="入力シート"/>
      <sheetName val="DATA2"/>
      <sheetName val="mu"/>
      <sheetName val="Raft"/>
      <sheetName val="UG-D"/>
      <sheetName val="Pick List"/>
      <sheetName val="InputPO_Del"/>
      <sheetName val="NLD - Assum"/>
      <sheetName val="ecc_res"/>
      <sheetName val="FORM7"/>
      <sheetName val="purpose&amp;input"/>
      <sheetName val="water prop."/>
      <sheetName val="TDTKP"/>
      <sheetName val="DK-KH"/>
      <sheetName val="Assumptions"/>
      <sheetName val="CoverShawIntl"/>
      <sheetName val="Cash_Flow_viking"/>
      <sheetName val="DB_ET200(R__A)"/>
      <sheetName val="공정계획(내부계획25%,내부w_f)"/>
      <sheetName val="CONC. RLSE."/>
      <sheetName val=" Const QMS report_J3 C2_ROGC"/>
      <sheetName val="2.00-03 Final Budget"/>
      <sheetName val="spool"/>
      <sheetName val="XLR_NoRangeSheet"/>
      <sheetName val="요약배부"/>
      <sheetName val="INVOICE_CERT EIV'S"/>
      <sheetName val="wp_DESCRIPTION"/>
      <sheetName val="할증_"/>
      <sheetName val="INVOICE_CERT_EIV'S"/>
      <sheetName val="차액보증"/>
      <sheetName val="H_param"/>
      <sheetName val="CTEMCOST"/>
      <sheetName val="FAB별"/>
      <sheetName val="X17-TOTAL"/>
      <sheetName val="견"/>
      <sheetName val="Det_IH"/>
      <sheetName val="Final(1)summary"/>
      <sheetName val="PROPOSAL"/>
      <sheetName val="Utility and Fire flange"/>
      <sheetName val="Quantity"/>
      <sheetName val="비주거용"/>
      <sheetName val="Fax"/>
      <sheetName val="COST-TZ"/>
      <sheetName val="pvc vent"/>
      <sheetName val="Status"/>
      <sheetName val="HO_ENG_MH_CAL"/>
      <sheetName val="Piping_Design_Data"/>
      <sheetName val="2-1__경관조명_내역총괄표"/>
      <sheetName val="Price_Summary_Sheet_(Final_BQ)"/>
      <sheetName val="Chiet_tinh_dz35"/>
      <sheetName val="Chiet_tinh_dz22"/>
      <sheetName val="CT_Thang_Mo"/>
      <sheetName val="CT__PL"/>
      <sheetName val="MB(LAB_No_2)"/>
      <sheetName val="UNIT_PRICES"/>
      <sheetName val="BASE_DE_PERSONAL"/>
      <sheetName val="Facturación_A"/>
      <sheetName val="실행내역서_"/>
      <sheetName val="MEPS_Structural_Steel_Index_비교"/>
      <sheetName val="MEPS_CS_Index_비교"/>
      <sheetName val="Civil_Boq"/>
      <sheetName val="공사비_내역_(가)"/>
      <sheetName val="5.) Time Delays"/>
      <sheetName val="A-12"/>
      <sheetName val="입력"/>
      <sheetName val="구조물철거타공정이월"/>
      <sheetName val="MAN-Sch"/>
      <sheetName val="RING WALL"/>
      <sheetName val="ESTI_"/>
      <sheetName val="96_12"/>
      <sheetName val="Process_Piping"/>
      <sheetName val="BOX_설계"/>
      <sheetName val="CAL_"/>
      <sheetName val="환율"/>
      <sheetName val="6.현장조직도"/>
      <sheetName val="base"/>
      <sheetName val="ANALYSER"/>
      <sheetName val="상계견적"/>
      <sheetName val="기기리스트"/>
      <sheetName val="정부노임단가"/>
      <sheetName val="PipeLines"/>
      <sheetName val="INGENIERÍA"/>
      <sheetName val="당초"/>
      <sheetName val="변경"/>
      <sheetName val="집계표"/>
      <sheetName val="CB"/>
      <sheetName val="cvr"/>
      <sheetName val="indirect"/>
      <sheetName val="bm (2)"/>
      <sheetName val="Instrument"/>
      <sheetName val="Junction Box"/>
      <sheetName val="JB_Final checked"/>
      <sheetName val="F&amp;G System"/>
      <sheetName val="F&amp;G System (Detail)"/>
      <sheetName val="MOTOR"/>
      <sheetName val="동결보온"/>
      <sheetName val=" 배관자재비-SKEC구매분"/>
      <sheetName val="제경비"/>
      <sheetName val="abc"/>
      <sheetName val="108"/>
      <sheetName val="JCS"/>
      <sheetName val="Working"/>
      <sheetName val="Datas"/>
      <sheetName val="Int. Pr.-Shell"/>
      <sheetName val="Ext. Pr.-Shell"/>
      <sheetName val="Int. Pr.-D'End"/>
      <sheetName val="Ext. Pr.-D'End"/>
      <sheetName val="Reinforcement Pad"/>
      <sheetName val="Nozzles"/>
      <sheetName val="Painting"/>
      <sheetName val="수입"/>
      <sheetName val="품셈"/>
      <sheetName val="Onerous Terms"/>
      <sheetName val="fitting"/>
      <sheetName val="Erection"/>
      <sheetName val="WORK-VOL"/>
      <sheetName val="FAB_I"/>
      <sheetName val="적용환율"/>
      <sheetName val="도급양식"/>
      <sheetName val="입찰안"/>
      <sheetName val="직원동원SCH"/>
      <sheetName val="D-3109"/>
      <sheetName val="기성내역"/>
      <sheetName val="현장지지물물량"/>
      <sheetName val="General Data"/>
      <sheetName val="COST SUMMARY"/>
      <sheetName val="bm_(2)"/>
      <sheetName val="Junction_Box"/>
      <sheetName val="JB_Final_checked"/>
      <sheetName val="F&amp;G_System"/>
      <sheetName val="F&amp;G_System_(Detail)"/>
      <sheetName val="_배관자재비-SKEC구매분"/>
      <sheetName val="extensions lookup"/>
      <sheetName val="3. Piping"/>
      <sheetName val="EQUIP"/>
      <sheetName val="작성방법"/>
      <sheetName val="자격 땡겨오기"/>
      <sheetName val="연돌일위집계"/>
      <sheetName val="ITEM"/>
      <sheetName val="영업2"/>
      <sheetName val="4300 UTILITY BLDG (2)"/>
      <sheetName val="공정율 기초 Data"/>
      <sheetName val="가격분석@1100(990104)"/>
      <sheetName val="Escalation"/>
      <sheetName val="Rate Analysis"/>
      <sheetName val="wall"/>
      <sheetName val="결재판(삭제하지말아주세요)"/>
      <sheetName val="광통신 견적내역서1"/>
      <sheetName val="공사개요"/>
      <sheetName val="기준"/>
      <sheetName val="공사비 내역 _가_"/>
      <sheetName val="BEND LOSS"/>
      <sheetName val="산출근거#2-3"/>
      <sheetName val="Dike(H=0.9m)"/>
      <sheetName val="PIPING_total"/>
      <sheetName val="VS배관내역서"/>
      <sheetName val="할증_1"/>
      <sheetName val="_Sum1"/>
      <sheetName val="공정계획(내부계획25%,내부w_f)1"/>
      <sheetName val="HO_ENG_MH_CAL1"/>
      <sheetName val="Piping_Design_Data1"/>
      <sheetName val="2-1__경관조명_내역총괄표1"/>
      <sheetName val="BASE_DE_PERSONAL1"/>
      <sheetName val="Facturación_A1"/>
      <sheetName val="Price_Summary_Sheet_(Final_BQ)1"/>
      <sheetName val="Chi_tiet1"/>
      <sheetName val="PDS_U-14001"/>
      <sheetName val="Chiet_tinh_dz351"/>
      <sheetName val="Chiet_tinh_dz221"/>
      <sheetName val="CT_Thang_Mo1"/>
      <sheetName val="CT__PL1"/>
      <sheetName val="MB(LAB_No_2)1"/>
      <sheetName val="UNIT_PRICES1"/>
      <sheetName val="공사비_내역_(가)1"/>
      <sheetName val="MEPS_Structural_Steel_Index_비교1"/>
      <sheetName val="MEPS_CS_Index_비교1"/>
      <sheetName val="wp_DESCRIPTION1"/>
      <sheetName val="Civil_Boq1"/>
      <sheetName val="실행내역서_1"/>
      <sheetName val="Process_Piping1"/>
      <sheetName val="BOX_설계1"/>
      <sheetName val="working_load_at_the_btm_ft_1"/>
      <sheetName val="plan&amp;section_of_foundation1"/>
      <sheetName val="CAL_1"/>
      <sheetName val="Project_Details"/>
      <sheetName val="ESTI_1"/>
      <sheetName val="96_121"/>
      <sheetName val="Questions_to_Vendor"/>
      <sheetName val="설명서_"/>
      <sheetName val="5_)_Time_Delays"/>
      <sheetName val="1100-1200-1300-1910-2140-LEV_2"/>
      <sheetName val="P2-Project_Data"/>
      <sheetName val="Utility_and_Fire_flange"/>
      <sheetName val="2__Project_Orgarnization(Site)"/>
      <sheetName val="INVOICE_CERT_EIV'S1"/>
      <sheetName val="공사비_내역__가_"/>
      <sheetName val="6_현장조직도"/>
      <sheetName val="w't_table2"/>
      <sheetName val="할증_2"/>
      <sheetName val="_Sum2"/>
      <sheetName val="공정계획(내부계획25%,내부w_f)2"/>
      <sheetName val="HO_ENG_MH_CAL2"/>
      <sheetName val="Gia_vat_tu2"/>
      <sheetName val="Piping_Design_Data2"/>
      <sheetName val="2-1__경관조명_내역총괄표2"/>
      <sheetName val="BASE_DE_PERSONAL2"/>
      <sheetName val="Facturación_A2"/>
      <sheetName val="Price_Summary_Sheet_(Final_BQ)2"/>
      <sheetName val="Chi_tiet2"/>
      <sheetName val="PDS_U-14002"/>
      <sheetName val="Chiet_tinh_dz352"/>
      <sheetName val="Chiet_tinh_dz222"/>
      <sheetName val="CT_Thang_Mo2"/>
      <sheetName val="CT__PL2"/>
      <sheetName val="MB(LAB_No_2)2"/>
      <sheetName val="UNIT_PRICES2"/>
      <sheetName val="Q5434_EQ_LIST2"/>
      <sheetName val="공사비_내역_(가)2"/>
      <sheetName val="MEPS_Structural_Steel_Index_비교2"/>
      <sheetName val="MEPS_CS_Index_비교2"/>
      <sheetName val="wp_DESCRIPTION2"/>
      <sheetName val="Civil_Boq2"/>
      <sheetName val="실행내역서_2"/>
      <sheetName val="Process_Piping2"/>
      <sheetName val="BOX_설계2"/>
      <sheetName val="1_설계조건2"/>
      <sheetName val="member_design2"/>
      <sheetName val="design_criteria2"/>
      <sheetName val="working_load_at_the_btm_ft_2"/>
      <sheetName val="plan&amp;section_of_foundation2"/>
      <sheetName val="soil_bearing_check2"/>
      <sheetName val="CAL_2"/>
      <sheetName val="Project_Details1"/>
      <sheetName val="ESTI_2"/>
      <sheetName val="96_122"/>
      <sheetName val="Questions_to_Vendor1"/>
      <sheetName val="설명서_1"/>
      <sheetName val="5_)_Time_Delays1"/>
      <sheetName val="1100-1200-1300-1910-2140-LEV_21"/>
      <sheetName val="P2-Project_Data1"/>
      <sheetName val="Utility_and_Fire_flange1"/>
      <sheetName val="2__Project_Orgarnization(Site)1"/>
      <sheetName val="INVOICE_CERT_EIV'S2"/>
      <sheetName val="공사비_내역__가_1"/>
      <sheetName val="6_현장조직도1"/>
      <sheetName val="NIML"/>
      <sheetName val="BGT-00F2907"/>
      <sheetName val="COLUMN"/>
      <sheetName val="DRUM"/>
      <sheetName val="TO_COST_PPS_METRIC"/>
      <sheetName val="NAMES"/>
      <sheetName val="RFP009"/>
      <sheetName val="CASE A1 CPP"/>
      <sheetName val="0110이후"/>
      <sheetName val="보수0831"/>
      <sheetName val="근거 및 가정"/>
      <sheetName val="Database"/>
      <sheetName val="NEWDRAW"/>
      <sheetName val="조명시설"/>
      <sheetName val="실행(ALT1)"/>
      <sheetName val="건축"/>
      <sheetName val="PROJECT DATA"/>
      <sheetName val="INSTR"/>
      <sheetName val="찍기"/>
      <sheetName val="갑지1"/>
      <sheetName val="인제내역"/>
      <sheetName val="vlookup - do not print"/>
      <sheetName val="EQUIPMENT ERECTION BREAKDOWN"/>
      <sheetName val="ANALYSIS"/>
      <sheetName val="RING_WALL"/>
      <sheetName val="pvc_vent"/>
      <sheetName val="bm_(2)1"/>
      <sheetName val="Junction_Box1"/>
      <sheetName val="JB_Final_checked1"/>
      <sheetName val="F&amp;G_System1"/>
      <sheetName val="F&amp;G_System_(Detail)1"/>
      <sheetName val="_배관자재비-SKEC구매분1"/>
      <sheetName val="Int__Pr_-Shell"/>
      <sheetName val="Ext__Pr_-Shell"/>
      <sheetName val="Int__Pr_-D'End"/>
      <sheetName val="Ext__Pr_-D'End"/>
      <sheetName val="Reinforcement_Pad"/>
      <sheetName val="Onerous_Terms"/>
      <sheetName val="조도계산서_(도서)"/>
      <sheetName val="General_Data"/>
      <sheetName val="COST_SUMMARY"/>
      <sheetName val="extensions_lookup"/>
      <sheetName val="3__Piping"/>
      <sheetName val="자격_땡겨오기"/>
      <sheetName val="4300_UTILITY_BLDG_(2)"/>
      <sheetName val="공정율_기초_Data"/>
      <sheetName val="Rate_Analysis"/>
      <sheetName val="광통신_견적내역서1"/>
      <sheetName val="Dike(H=0_9m)"/>
      <sheetName val="static_cal"/>
      <sheetName val="BEND_LOSS"/>
      <sheetName val="A1_Thru_A11-_LUMP_SUM_CONSTR"/>
      <sheetName val="w't_table3"/>
      <sheetName val="할증_3"/>
      <sheetName val="_Sum3"/>
      <sheetName val="공정계획(내부계획25%,내부w_f)3"/>
      <sheetName val="HO_ENG_MH_CAL3"/>
      <sheetName val="Gia_vat_tu3"/>
      <sheetName val="Piping_Design_Data3"/>
      <sheetName val="2-1__경관조명_내역총괄표3"/>
      <sheetName val="BASE_DE_PERSONAL3"/>
      <sheetName val="Facturación_A3"/>
      <sheetName val="Price_Summary_Sheet_(Final_BQ)3"/>
      <sheetName val="Chi_tiet3"/>
      <sheetName val="PDS_U-14003"/>
      <sheetName val="Chiet_tinh_dz353"/>
      <sheetName val="Chiet_tinh_dz223"/>
      <sheetName val="CT_Thang_Mo3"/>
      <sheetName val="CT__PL3"/>
      <sheetName val="MB(LAB_No_2)3"/>
      <sheetName val="UNIT_PRICES3"/>
      <sheetName val="Q5434_EQ_LIST3"/>
      <sheetName val="공사비_내역_(가)3"/>
      <sheetName val="MEPS_Structural_Steel_Index_비교3"/>
      <sheetName val="MEPS_CS_Index_비교3"/>
      <sheetName val="wp_DESCRIPTION3"/>
      <sheetName val="Civil_Boq3"/>
      <sheetName val="실행내역서_3"/>
      <sheetName val="Process_Piping3"/>
      <sheetName val="BOX_설계3"/>
      <sheetName val="1_설계조건3"/>
      <sheetName val="member_design3"/>
      <sheetName val="design_criteria3"/>
      <sheetName val="working_load_at_the_btm_ft_3"/>
      <sheetName val="plan&amp;section_of_foundation3"/>
      <sheetName val="soil_bearing_check3"/>
      <sheetName val="CAL_3"/>
      <sheetName val="Project_Details2"/>
      <sheetName val="steel_data_sheet2"/>
      <sheetName val="ESTI_3"/>
      <sheetName val="96_123"/>
      <sheetName val="Questions_to_Vendor2"/>
      <sheetName val="설명서_2"/>
      <sheetName val="5_)_Time_Delays2"/>
      <sheetName val="1100-1200-1300-1910-2140-LEV_22"/>
      <sheetName val="P2-Project_Data2"/>
      <sheetName val="Utility_and_Fire_flange2"/>
      <sheetName val="2__Project_Orgarnization(Site)2"/>
      <sheetName val="TENDER_PROG_2"/>
      <sheetName val="Summary_Sheets2"/>
      <sheetName val="INVOICE_CERT_EIV'S3"/>
      <sheetName val="공사비_내역__가_2"/>
      <sheetName val="6_현장조직도2"/>
      <sheetName val="w't_table4"/>
      <sheetName val="할증_4"/>
      <sheetName val="_Sum4"/>
      <sheetName val="공정계획(내부계획25%,내부w_f)4"/>
      <sheetName val="HO_ENG_MH_CAL4"/>
      <sheetName val="Gia_vat_tu4"/>
      <sheetName val="Piping_Design_Data4"/>
      <sheetName val="2-1__경관조명_내역총괄표4"/>
      <sheetName val="BASE_DE_PERSONAL4"/>
      <sheetName val="Facturación_A4"/>
      <sheetName val="Price_Summary_Sheet_(Final_BQ)4"/>
      <sheetName val="Chi_tiet4"/>
      <sheetName val="PDS_U-14004"/>
      <sheetName val="Chiet_tinh_dz354"/>
      <sheetName val="Chiet_tinh_dz224"/>
      <sheetName val="CT_Thang_Mo4"/>
      <sheetName val="CT__PL4"/>
      <sheetName val="MB(LAB_No_2)4"/>
      <sheetName val="UNIT_PRICES4"/>
      <sheetName val="Q5434_EQ_LIST4"/>
      <sheetName val="공사비_내역_(가)4"/>
      <sheetName val="MEPS_Structural_Steel_Index_비교4"/>
      <sheetName val="MEPS_CS_Index_비교4"/>
      <sheetName val="wp_DESCRIPTION4"/>
      <sheetName val="Civil_Boq4"/>
      <sheetName val="실행내역서_4"/>
      <sheetName val="Process_Piping4"/>
      <sheetName val="BOX_설계4"/>
      <sheetName val="1_설계조건4"/>
      <sheetName val="member_design4"/>
      <sheetName val="design_criteria4"/>
      <sheetName val="working_load_at_the_btm_ft_4"/>
      <sheetName val="plan&amp;section_of_foundation4"/>
      <sheetName val="soil_bearing_check4"/>
      <sheetName val="CAL_4"/>
      <sheetName val="Project_Details3"/>
      <sheetName val="steel_data_sheet3"/>
      <sheetName val="ESTI_4"/>
      <sheetName val="96_124"/>
      <sheetName val="Questions_to_Vendor3"/>
      <sheetName val="설명서_3"/>
      <sheetName val="5_)_Time_Delays3"/>
      <sheetName val="1100-1200-1300-1910-2140-LEV_23"/>
      <sheetName val="P2-Project_Data3"/>
      <sheetName val="Utility_and_Fire_flange3"/>
      <sheetName val="2__Project_Orgarnization(Site)3"/>
      <sheetName val="TENDER_PROG_3"/>
      <sheetName val="Summary_Sheets3"/>
      <sheetName val="INVOICE_CERT_EIV'S4"/>
      <sheetName val="공사비_내역__가_3"/>
      <sheetName val="6_현장조직도3"/>
      <sheetName val="w't_table5"/>
      <sheetName val="할증_5"/>
      <sheetName val="_Sum5"/>
      <sheetName val="공정계획(내부계획25%,내부w_f)5"/>
      <sheetName val="HO_ENG_MH_CAL5"/>
      <sheetName val="Gia_vat_tu5"/>
      <sheetName val="Piping_Design_Data5"/>
      <sheetName val="2-1__경관조명_내역총괄표5"/>
      <sheetName val="BASE_DE_PERSONAL5"/>
      <sheetName val="Facturación_A5"/>
      <sheetName val="Price_Summary_Sheet_(Final_BQ)5"/>
      <sheetName val="Chi_tiet5"/>
      <sheetName val="PDS_U-14005"/>
      <sheetName val="Chiet_tinh_dz355"/>
      <sheetName val="Chiet_tinh_dz225"/>
      <sheetName val="CT_Thang_Mo5"/>
      <sheetName val="CT__PL5"/>
      <sheetName val="MB(LAB_No_2)5"/>
      <sheetName val="UNIT_PRICES5"/>
      <sheetName val="Q5434_EQ_LIST5"/>
      <sheetName val="공사비_내역_(가)5"/>
      <sheetName val="MEPS_Structural_Steel_Index_비교5"/>
      <sheetName val="MEPS_CS_Index_비교5"/>
      <sheetName val="wp_DESCRIPTION5"/>
      <sheetName val="Civil_Boq5"/>
      <sheetName val="실행내역서_5"/>
      <sheetName val="Process_Piping5"/>
      <sheetName val="BOX_설계5"/>
      <sheetName val="1_설계조건5"/>
      <sheetName val="member_design5"/>
      <sheetName val="design_criteria5"/>
      <sheetName val="working_load_at_the_btm_ft_5"/>
      <sheetName val="plan&amp;section_of_foundation5"/>
      <sheetName val="soil_bearing_check5"/>
      <sheetName val="CAL_5"/>
      <sheetName val="Project_Details4"/>
      <sheetName val="steel_data_sheet4"/>
      <sheetName val="ESTI_5"/>
      <sheetName val="96_125"/>
      <sheetName val="Questions_to_Vendor4"/>
      <sheetName val="설명서_4"/>
      <sheetName val="5_)_Time_Delays4"/>
      <sheetName val="1100-1200-1300-1910-2140-LEV_24"/>
      <sheetName val="P2-Project_Data4"/>
      <sheetName val="Utility_and_Fire_flange4"/>
      <sheetName val="2__Project_Orgarnization(Site)4"/>
      <sheetName val="TENDER_PROG_4"/>
      <sheetName val="Summary_Sheets4"/>
      <sheetName val="INVOICE_CERT_EIV'S5"/>
      <sheetName val="공사비_내역__가_4"/>
      <sheetName val="6_현장조직도4"/>
      <sheetName val="2000.11월설계내역"/>
      <sheetName val="HP-Steamdrum"/>
      <sheetName val="손익차9월2"/>
      <sheetName val="KP_List"/>
      <sheetName val="안전장치"/>
      <sheetName val="A131neu ,CSB (S CSB=400)"/>
      <sheetName val="REDUCER"/>
      <sheetName val="WE'T"/>
      <sheetName val="95월별매출"/>
      <sheetName val="Sur Site"/>
      <sheetName val="차수"/>
      <sheetName val="118.세금과공과"/>
      <sheetName val="고정자산원본"/>
      <sheetName val="뒤차축소"/>
      <sheetName val="LS - Rev.0"/>
      <sheetName val="P-Ph3-F-002"/>
      <sheetName val="CPS"/>
      <sheetName val="PRO_A"/>
      <sheetName val="DWG"/>
      <sheetName val="ELEC_MCI"/>
      <sheetName val="INST_MCI"/>
      <sheetName val="MECH_MCI"/>
      <sheetName val="PRO"/>
      <sheetName val="세금자료"/>
      <sheetName val="BASIS"/>
      <sheetName val="Alain-Fuj"/>
      <sheetName val="BQ Working"/>
      <sheetName val="MP Plan &amp; Costs"/>
      <sheetName val="Finansal tamamlanma Eğrisi"/>
      <sheetName val="Setup"/>
      <sheetName val="결재갑지"/>
      <sheetName val="설계기준"/>
      <sheetName val="내역1"/>
      <sheetName val="간지"/>
      <sheetName val="송전재료비"/>
      <sheetName val="단면가정"/>
      <sheetName val="부대공사"/>
      <sheetName val="Home Office"/>
      <sheetName val="PropSum"/>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INS-Piping"/>
      <sheetName val="INS-Equipment"/>
      <sheetName val="ELECTRICITY"/>
      <sheetName val="INSTRUMENTATION"/>
      <sheetName val="Dashboard"/>
      <sheetName val="A-C Mapping"/>
      <sheetName val="공사내역"/>
      <sheetName val="Total Staff"/>
      <sheetName val="0. SUMMARY"/>
      <sheetName val="1. Engineering"/>
      <sheetName val="2. Check point"/>
      <sheetName val="II Changes 1"/>
      <sheetName val="III Changes 2"/>
      <sheetName val="Qty."/>
      <sheetName val="MP"/>
      <sheetName val="EQP"/>
      <sheetName val="OQC Summary"/>
      <sheetName val="6.Unit Rates"/>
      <sheetName val="BQ List"/>
      <sheetName val="F.D."/>
      <sheetName val="SOF Alternative Offer"/>
      <sheetName val="Balance Sheet"/>
      <sheetName val="Drop_Down_List"/>
      <sheetName val="Drop Down List"/>
      <sheetName val="General Information"/>
      <sheetName val="KEYFIGURES"/>
      <sheetName val="Curves"/>
      <sheetName val="Tables"/>
      <sheetName val="CASH"/>
      <sheetName val="parts-V2"/>
      <sheetName val="전익자재"/>
      <sheetName val="日本基礎96 (2)"/>
      <sheetName val="東京開発96 (2)"/>
      <sheetName val="Conn. Lib"/>
      <sheetName val="Cable Data"/>
      <sheetName val="L-TIGA"/>
      <sheetName val="PO Status - r1 procurement"/>
      <sheetName val="Fixed D400"/>
      <sheetName val="datasht"/>
      <sheetName val="COVER-P"/>
      <sheetName val="AccrueLbr&amp;Misc"/>
      <sheetName val="AssumptionValue"/>
      <sheetName val="supporting data"/>
      <sheetName val="Qall of Cooler"/>
      <sheetName val="Menu"/>
      <sheetName val="wa-pump 5S A-1"/>
      <sheetName val="JDE-522444"/>
      <sheetName val="CASE_A1_CPP"/>
      <sheetName val="Conn__Lib"/>
      <sheetName val="Cable_Data"/>
      <sheetName val="PO_Status_-_r1_procurement"/>
      <sheetName val="Fixed_D400"/>
      <sheetName val="supporting_data"/>
      <sheetName val="vessel weight"/>
      <sheetName val="API Table"/>
      <sheetName val="EXｳｪｲﾄ0"/>
      <sheetName val="arrange"/>
      <sheetName val="BlockBManpower adj"/>
      <sheetName val="All Expat"/>
      <sheetName val="FCS"/>
      <sheetName val="건축-물가변동"/>
      <sheetName val="Fill this out first..."/>
      <sheetName val="Settings"/>
      <sheetName val="D-3"/>
      <sheetName val="D 5243-ARAMCO"/>
      <sheetName val="D-4801 OXY"/>
      <sheetName val="s力シート"/>
      <sheetName val="sATA2"/>
      <sheetName val="IO LEGEND"/>
      <sheetName val="AnalisaSIPIL RIIL"/>
      <sheetName val="LWLOPT"/>
      <sheetName val="Faktor Markup"/>
      <sheetName val="rekap"/>
      <sheetName val="Perm. Test"/>
      <sheetName val="BAHAN"/>
      <sheetName val="AC"/>
      <sheetName val="Markup"/>
      <sheetName val="accu"/>
      <sheetName val="pm house"/>
      <sheetName val="flocc"/>
      <sheetName val="clari"/>
      <sheetName val="slud bsn"/>
      <sheetName val="sand"/>
      <sheetName val="res (2)"/>
      <sheetName val="pm house (2)"/>
      <sheetName val="thic"/>
      <sheetName val="chem"/>
      <sheetName val="Daf alat, bahan"/>
      <sheetName val="faktor &amp; disc"/>
      <sheetName val="Rek-Analisa"/>
      <sheetName val="NP"/>
      <sheetName val="HRG BAHAN &amp; UPAH okk"/>
      <sheetName val="Analis Kusen okk"/>
      <sheetName val="Konfirm"/>
      <sheetName val="ALAT"/>
      <sheetName val="UPAH BORONG"/>
      <sheetName val="Breakdown Analisys (Drmg I)"/>
      <sheetName val="Volume"/>
      <sheetName val="UPAH"/>
      <sheetName val="Hrg Satuan"/>
      <sheetName val="Railing Tangga Belakang"/>
      <sheetName val="ANALISA GRS TENGAH"/>
      <sheetName val="HB"/>
      <sheetName val="41,9&amp;36,3"/>
      <sheetName val="LPP-201"/>
      <sheetName val="Basic Price"/>
      <sheetName val="extern"/>
      <sheetName val="ALL"/>
      <sheetName val="Up &amp; bhn"/>
      <sheetName val="analisa (2)"/>
      <sheetName val="LINK-MAST. BASIC PRICE"/>
      <sheetName val="SCHEDULE KONTRAK"/>
      <sheetName val="TPI"/>
      <sheetName val="한라산업개발"/>
      <sheetName val="A2"/>
      <sheetName val="SH-A"/>
      <sheetName val="DATA VALIDATION"/>
      <sheetName val="Front"/>
      <sheetName val="H-PILE수량집계"/>
      <sheetName val="소비자가"/>
      <sheetName val="2.대외공문"/>
      <sheetName val="DATOS"/>
      <sheetName val="est"/>
      <sheetName val="S1BOQ"/>
      <sheetName val="Labour"/>
      <sheetName val="Material"/>
      <sheetName val=" CC26R Tender Stag BoQ"/>
      <sheetName val="Labor Plan"/>
      <sheetName val="Admin"/>
      <sheetName val="EXPAN-1"/>
      <sheetName val="회전율"/>
      <sheetName val="Data Summary"/>
      <sheetName val="표지"/>
      <sheetName val="A.1.1.2 &amp; 3 Yard Fac &amp; Supp TS"/>
      <sheetName val="Material Lookup"/>
      <sheetName val="ASTM Stress Table"/>
      <sheetName val="wordsdata"/>
      <sheetName val="Unit Cost"/>
      <sheetName val="الهيكل"/>
      <sheetName val="Indirect_Sheets"/>
      <sheetName val="Scope_of_work00"/>
      <sheetName val="Scope_of_work"/>
      <sheetName val="03__SoQ_Monitoring"/>
      <sheetName val="Unit_Cost"/>
      <sheetName val="First"/>
      <sheetName val="Ground"/>
      <sheetName val="19-PERF"/>
      <sheetName val="III"/>
      <sheetName val="総括表"/>
      <sheetName val="Name List"/>
      <sheetName val="BQLIST"/>
      <sheetName val="Cst Pkg-Eden"/>
      <sheetName val="STAFFSCHED "/>
      <sheetName val="1610_UG SEWER PIPING"/>
      <sheetName val="GRAND SUM"/>
      <sheetName val="Sheet1_(2)"/>
      <sheetName val="근거_및_가정"/>
      <sheetName val="PROJECT_DATA"/>
      <sheetName val="除灰系统表二"/>
      <sheetName val="Fin_Sched"/>
      <sheetName val="Slab_Levels"/>
      <sheetName val="Opening_Sched"/>
      <sheetName val="ESPES"/>
      <sheetName val="LEGEND"/>
      <sheetName val="4.L4-세부내역(QAR)"/>
      <sheetName val="%232CDU실행.xls"/>
      <sheetName val="PRESUPUESTO"/>
      <sheetName val="Acc Stock-INSUL"/>
      <sheetName val="COST. IND"/>
      <sheetName val="MOI"/>
      <sheetName val="RESUMEN"/>
      <sheetName val="INFORME  "/>
      <sheetName val="TD COSTOS 30-06-19"/>
      <sheetName val="AMARRE"/>
      <sheetName val="Hoja3"/>
      <sheetName val="ADICIONALES"/>
      <sheetName val="SUBC"/>
      <sheetName val="ANALISIS MM"/>
      <sheetName val="EQUIPOS Y TRANSPORTE"/>
      <sheetName val="MAT"/>
      <sheetName val="HTAS"/>
      <sheetName val="MOD"/>
      <sheetName val="RESUMEN C.D."/>
      <sheetName val="EQUIPOS PROPIOS"/>
      <sheetName val="INVENTARIO JUNIO"/>
      <sheetName val="AVANCE ODC Y ORS"/>
      <sheetName val="Hoja8"/>
      <sheetName val="contabilidad 265 28-02-2019 REV"/>
      <sheetName val="CLASIF PROCU"/>
      <sheetName val="INVENTARIO"/>
      <sheetName val="Hoja2"/>
      <sheetName val="ODC - MATERIALES"/>
      <sheetName val="BAC COSTO DIRECTO"/>
      <sheetName val="PROCUR"/>
      <sheetName val="PRESUPUESTO GRAL"/>
      <sheetName val="기성관리"/>
      <sheetName val="매출.원가"/>
      <sheetName val="VST재료산출"/>
      <sheetName val="GM &amp; TA"/>
      <sheetName val="Steel Structure "/>
      <sheetName val="N賃率-職"/>
      <sheetName val="견적서표지0204-2 (2)"/>
      <sheetName val="Piping Spool"/>
      <sheetName val="Cost Definition"/>
      <sheetName val="견적 원가 "/>
      <sheetName val="Requirement(Work Crew)"/>
      <sheetName val="입찰보고"/>
      <sheetName val="2.04"/>
      <sheetName val="2.05"/>
      <sheetName val="2.07 &amp; 2.08"/>
      <sheetName val="3.01"/>
      <sheetName val="3.02"/>
      <sheetName val="3.03"/>
      <sheetName val="ratios"/>
      <sheetName val="ecart Personnel"/>
      <sheetName val="Ecart Others"/>
      <sheetName val="Other costs"/>
      <sheetName val="Personnel"/>
      <sheetName val="3000 Steel str"/>
      <sheetName val="5000 Equipments"/>
      <sheetName val="6000 Piping"/>
      <sheetName val="7000 Instrumentation"/>
      <sheetName val="8000 Electrical"/>
      <sheetName val="per supplier"/>
      <sheetName val="Pivot ledger"/>
      <sheetName val="Ledger"/>
      <sheetName val="Pivot ENT"/>
      <sheetName val="ENT"/>
      <sheetName val="Pivot MAD"/>
      <sheetName val="MAD"/>
      <sheetName val="Prod"/>
      <sheetName val="내역서1999.8최종"/>
      <sheetName val="수량산출"/>
      <sheetName val="dongia (2)"/>
      <sheetName val="TH VL, NC, DDHT Thanhphuoc"/>
      <sheetName val="CATEGORY"/>
      <sheetName val="EQUIPMENT -2"/>
      <sheetName val="간접비내역-1"/>
      <sheetName val="대운산출"/>
      <sheetName val="면간거리&amp;사거리"/>
      <sheetName val="은행"/>
      <sheetName val="Lead"/>
      <sheetName val="XREF"/>
      <sheetName val=""/>
      <sheetName val="기안"/>
      <sheetName val="RECAP"/>
      <sheetName val="BOQ Distribution"/>
      <sheetName val="XZLC004_PART2"/>
      <sheetName val="XZLC003_PART1"/>
      <sheetName val="Definition"/>
      <sheetName val="look-up"/>
      <sheetName val="공사금액 내역 (1)"/>
      <sheetName val="사업부배부A"/>
      <sheetName val="bm_(2)2"/>
      <sheetName val="Junction_Box2"/>
      <sheetName val="JB_Final_checked2"/>
      <sheetName val="F&amp;G_System2"/>
      <sheetName val="F&amp;G_System_(Detail)2"/>
      <sheetName val="_배관자재비-SKEC구매분2"/>
      <sheetName val="Int__Pr_-Shell1"/>
      <sheetName val="Ext__Pr_-Shell1"/>
      <sheetName val="Int__Pr_-D'End1"/>
      <sheetName val="Ext__Pr_-D'End1"/>
      <sheetName val="Reinforcement_Pad1"/>
      <sheetName val="Onerous_Terms1"/>
      <sheetName val="조도계산서_(도서)1"/>
      <sheetName val="General_Data1"/>
      <sheetName val="COST_SUMMARY1"/>
      <sheetName val="extensions_lookup1"/>
      <sheetName val="3__Piping1"/>
      <sheetName val="자격_땡겨오기1"/>
      <sheetName val="4300_UTILITY_BLDG_(2)1"/>
      <sheetName val="공정율_기초_Data1"/>
      <sheetName val="Rate_Analysis1"/>
      <sheetName val="광통신_견적내역서11"/>
      <sheetName val="bm_(2)3"/>
      <sheetName val="Junction_Box3"/>
      <sheetName val="JB_Final_checked3"/>
      <sheetName val="F&amp;G_System3"/>
      <sheetName val="F&amp;G_System_(Detail)3"/>
      <sheetName val="_배관자재비-SKEC구매분3"/>
      <sheetName val="Int__Pr_-Shell2"/>
      <sheetName val="Ext__Pr_-Shell2"/>
      <sheetName val="Int__Pr_-D'End2"/>
      <sheetName val="Ext__Pr_-D'End2"/>
      <sheetName val="Reinforcement_Pad2"/>
      <sheetName val="Onerous_Terms2"/>
      <sheetName val="조도계산서_(도서)2"/>
      <sheetName val="General_Data2"/>
      <sheetName val="COST_SUMMARY2"/>
      <sheetName val="extensions_lookup2"/>
      <sheetName val="3__Piping2"/>
      <sheetName val="자격_땡겨오기2"/>
      <sheetName val="4300_UTILITY_BLDG_(2)2"/>
      <sheetName val="공정율_기초_Data2"/>
      <sheetName val="Rate_Analysis2"/>
      <sheetName val="광통신_견적내역서12"/>
      <sheetName val="b"/>
      <sheetName val="소일위대가코드표"/>
      <sheetName val="정부노임"/>
      <sheetName val="방화산출"/>
      <sheetName val="PNT-Unit Rates"/>
      <sheetName val="Precios"/>
      <sheetName val="Main Database"/>
      <sheetName val="DTCT"/>
      <sheetName val="Parameter"/>
      <sheetName val="대비"/>
      <sheetName val="Spool Index"/>
      <sheetName val="COMPRESSOR Fdn"/>
      <sheetName val="1100"/>
      <sheetName val="CIV-DWG-ADA"/>
      <sheetName val="CIV-DOC-ADA"/>
      <sheetName val="wastage"/>
      <sheetName val="ISO REPORT -PMPC"/>
      <sheetName val="Production"/>
      <sheetName val="A(Rev_3)2"/>
      <sheetName val="C-850R0_XLS2"/>
      <sheetName val="GEN_PROG2"/>
      <sheetName val="TOTAL_MHRS2"/>
      <sheetName val="معد__ث2"/>
      <sheetName val="INPUT_DATA2"/>
      <sheetName val="Graph_(LGEN)1"/>
      <sheetName val="선적schedule_(2)1"/>
      <sheetName val="1_cs_sl(150)2"/>
      <sheetName val="steam_table2"/>
      <sheetName val="Eq__Mobilization2"/>
      <sheetName val="WITHOUT_C&amp;I_PROFIT_(3)1"/>
      <sheetName val="EIs_Progress1"/>
      <sheetName val="Food_court_2"/>
      <sheetName val="Piping_BQ_for_one_turbine"/>
      <sheetName val="_갑지"/>
      <sheetName val="T_RFA2"/>
      <sheetName val="C1_공사개요1"/>
      <sheetName val="DESIGN_CRETERIA1"/>
      <sheetName val="4K_-_(6a)_Non_Manual_Breakdown"/>
      <sheetName val="Contract_Unit_Rates_Rev_001"/>
      <sheetName val="SOF_Alternative_Offer"/>
      <sheetName val="Balance_Sheet"/>
      <sheetName val="현장관리비_산출내역"/>
      <sheetName val="Template_Settings"/>
      <sheetName val="WORKING_SHEET_SS#35"/>
      <sheetName val="정산서__(2)"/>
      <sheetName val="CABLE_TRENCH"/>
      <sheetName val="pile_Fabrication"/>
      <sheetName val="Codes,___"/>
      <sheetName val="INNER_TANK"/>
      <sheetName val="Final_Budget"/>
      <sheetName val="2007_EPCI_3rd_Eng_"/>
      <sheetName val="No_2LAB_Unit"/>
      <sheetName val="Contract Rates"/>
      <sheetName val="Notes"/>
      <sheetName val="RE SEV 50"/>
      <sheetName val="Input_Tank"/>
      <sheetName val="Input_Nozzle"/>
      <sheetName val="Input_Pipe"/>
      <sheetName val="Scaff_input"/>
      <sheetName val="Eqp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refreshError="1"/>
      <sheetData sheetId="391"/>
      <sheetData sheetId="392"/>
      <sheetData sheetId="393"/>
      <sheetData sheetId="394"/>
      <sheetData sheetId="395"/>
      <sheetData sheetId="396"/>
      <sheetData sheetId="397"/>
      <sheetData sheetId="398" refreshError="1"/>
      <sheetData sheetId="399" refreshError="1"/>
      <sheetData sheetId="400" refreshError="1"/>
      <sheetData sheetId="401" refreshError="1"/>
      <sheetData sheetId="402" refreshError="1"/>
      <sheetData sheetId="403" refreshError="1"/>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sheetData sheetId="602"/>
      <sheetData sheetId="603"/>
      <sheetData sheetId="604"/>
      <sheetData sheetId="605"/>
      <sheetData sheetId="606"/>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sheetData sheetId="779"/>
      <sheetData sheetId="780"/>
      <sheetData sheetId="781"/>
      <sheetData sheetId="782"/>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refreshError="1"/>
      <sheetData sheetId="1015"/>
      <sheetData sheetId="1016"/>
      <sheetData sheetId="1017"/>
      <sheetData sheetId="1018"/>
      <sheetData sheetId="1019"/>
      <sheetData sheetId="1020"/>
      <sheetData sheetId="1021"/>
      <sheetData sheetId="1022"/>
      <sheetData sheetId="1023"/>
      <sheetData sheetId="1024"/>
      <sheetData sheetId="1025"/>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sheetData sheetId="1054"/>
      <sheetData sheetId="1055"/>
      <sheetData sheetId="1056"/>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sheetData sheetId="1148"/>
      <sheetData sheetId="1149"/>
      <sheetData sheetId="1150"/>
      <sheetData sheetId="115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sheetData sheetId="1164"/>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refreshError="1"/>
      <sheetData sheetId="1204" refreshError="1"/>
      <sheetData sheetId="1205" refreshError="1"/>
      <sheetData sheetId="1206" refreshError="1"/>
      <sheetData sheetId="1207" refreshError="1"/>
      <sheetData sheetId="1208" refreshError="1"/>
      <sheetData sheetId="1209"/>
      <sheetData sheetId="1210"/>
      <sheetData sheetId="1211"/>
      <sheetData sheetId="1212"/>
      <sheetData sheetId="1213" refreshError="1"/>
      <sheetData sheetId="1214" refreshError="1"/>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refreshError="1"/>
      <sheetData sheetId="1242"/>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ectionwise Daily Summary"/>
      <sheetName val="Sathiya"/>
      <sheetName val="essa"/>
      <sheetName val="A.R"/>
      <sheetName val="Rajeev"/>
      <sheetName val="Shanker"/>
      <sheetName val="Lijju"/>
      <sheetName val="Abhilash"/>
      <sheetName val="Asphalt"/>
      <sheetName val="Mukesh"/>
      <sheetName val="Highways"/>
      <sheetName val="Paul-str"/>
      <sheetName val="Santhosh"/>
      <sheetName val="Waqas"/>
      <sheetName val="Gopi"/>
      <sheetName val="Culvert E.M.Babu"/>
      <sheetName val="Joynal"/>
      <sheetName val="Sarvanan"/>
      <sheetName val="A.K.S Structures "/>
      <sheetName val="Utilities (Bablu)"/>
      <sheetName val="Utilities (Joseph)"/>
      <sheetName val="Projection"/>
      <sheetName val="Projection Vs Ach Summary"/>
      <sheetName val="DPR"/>
      <sheetName val="Graph STR"/>
      <sheetName val="Graph Road"/>
    </sheetNames>
    <sheetDataSet>
      <sheetData sheetId="0"/>
      <sheetData sheetId="1">
        <row r="11">
          <cell r="E11">
            <v>0</v>
          </cell>
        </row>
      </sheetData>
      <sheetData sheetId="2">
        <row r="1">
          <cell r="A1" t="str">
            <v>Projection vs Achieved for the Month of August - 2016</v>
          </cell>
        </row>
      </sheetData>
      <sheetData sheetId="3"/>
      <sheetData sheetId="4"/>
      <sheetData sheetId="5"/>
      <sheetData sheetId="6"/>
      <sheetData sheetId="7"/>
      <sheetData sheetId="8"/>
      <sheetData sheetId="9"/>
      <sheetData sheetId="10"/>
      <sheetData sheetId="11">
        <row r="11">
          <cell r="E11">
            <v>0</v>
          </cell>
        </row>
      </sheetData>
      <sheetData sheetId="12"/>
      <sheetData sheetId="13"/>
      <sheetData sheetId="14"/>
      <sheetData sheetId="15"/>
      <sheetData sheetId="16">
        <row r="11">
          <cell r="E11">
            <v>0</v>
          </cell>
        </row>
      </sheetData>
      <sheetData sheetId="17"/>
      <sheetData sheetId="18"/>
      <sheetData sheetId="19">
        <row r="11">
          <cell r="E11">
            <v>0</v>
          </cell>
        </row>
      </sheetData>
      <sheetData sheetId="20">
        <row r="9">
          <cell r="E9">
            <v>42583</v>
          </cell>
        </row>
      </sheetData>
      <sheetData sheetId="21">
        <row r="205">
          <cell r="E205">
            <v>138</v>
          </cell>
        </row>
      </sheetData>
      <sheetData sheetId="22">
        <row r="10">
          <cell r="D10">
            <v>1</v>
          </cell>
        </row>
        <row r="335">
          <cell r="E335">
            <v>6180</v>
          </cell>
          <cell r="F335">
            <v>12079.3</v>
          </cell>
          <cell r="G335">
            <v>170960</v>
          </cell>
          <cell r="H335">
            <v>131194.17546</v>
          </cell>
          <cell r="I335">
            <v>0</v>
          </cell>
          <cell r="J335">
            <v>0</v>
          </cell>
          <cell r="K335">
            <v>20350</v>
          </cell>
          <cell r="L335">
            <v>57216.89</v>
          </cell>
          <cell r="M335">
            <v>59926.5</v>
          </cell>
          <cell r="N335">
            <v>42772.14992361395</v>
          </cell>
          <cell r="O335">
            <v>20350</v>
          </cell>
          <cell r="P335">
            <v>31450.27</v>
          </cell>
          <cell r="Q335">
            <v>0</v>
          </cell>
          <cell r="R335">
            <v>0</v>
          </cell>
          <cell r="S335">
            <v>29400</v>
          </cell>
          <cell r="T335">
            <v>25228.560000000001</v>
          </cell>
          <cell r="U335">
            <v>281451.8</v>
          </cell>
          <cell r="V335">
            <v>184876.82864999998</v>
          </cell>
          <cell r="AA335">
            <v>98233.7</v>
          </cell>
          <cell r="AB335">
            <v>108301.47000000002</v>
          </cell>
          <cell r="AC335">
            <v>80204.228999999992</v>
          </cell>
          <cell r="AD335">
            <v>94966.400000000009</v>
          </cell>
          <cell r="AE335">
            <v>22176</v>
          </cell>
          <cell r="AF335">
            <v>50466.947999999997</v>
          </cell>
          <cell r="AG335">
            <v>73566.088199999998</v>
          </cell>
          <cell r="AH335">
            <v>65619.516000000003</v>
          </cell>
          <cell r="AK335">
            <v>47820.803849999997</v>
          </cell>
          <cell r="AL335">
            <v>44286.2765</v>
          </cell>
          <cell r="AM335">
            <v>39717.03</v>
          </cell>
          <cell r="AN335">
            <v>40858.505700000002</v>
          </cell>
          <cell r="AQ335">
            <v>33679.599999999999</v>
          </cell>
          <cell r="AR335">
            <v>21676.38625</v>
          </cell>
          <cell r="AS335">
            <v>263114.54000000004</v>
          </cell>
          <cell r="AT335">
            <v>232725.22630000001</v>
          </cell>
        </row>
      </sheetData>
      <sheetData sheetId="23"/>
      <sheetData sheetId="24"/>
      <sheetData sheetId="25"/>
      <sheetData sheetId="26"/>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7" Type="http://schemas.openxmlformats.org/officeDocument/2006/relationships/ctrlProp" Target="../ctrlProps/ctrlProp3.xml"/><Relationship Id="rId2" Type="http://schemas.openxmlformats.org/officeDocument/2006/relationships/printerSettings" Target="../printerSettings/printerSettings1.bin"/><Relationship Id="rId1" Type="http://schemas.openxmlformats.org/officeDocument/2006/relationships/externalLinkPath" Target="DPR/Projection%20VS%20ACH%202016/June-2016/Recovery%20file%20HO/Projection%20VS%20ACH%20June-2016%20(HO).xls" TargetMode="External"/><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J316"/>
  <sheetViews>
    <sheetView showZeros="0" tabSelected="1" topLeftCell="A219" zoomScale="80" zoomScaleNormal="80" workbookViewId="0">
      <selection activeCell="M226" sqref="M226"/>
    </sheetView>
  </sheetViews>
  <sheetFormatPr defaultColWidth="8" defaultRowHeight="16.5" customHeight="1" x14ac:dyDescent="0.3"/>
  <cols>
    <col min="1" max="1" width="11.69921875" style="4" customWidth="1"/>
    <col min="2" max="2" width="61.8984375" style="2" customWidth="1"/>
    <col min="3" max="3" width="8.3984375" style="4" customWidth="1"/>
    <col min="4" max="4" width="10.8984375" style="4" customWidth="1"/>
    <col min="5" max="5" width="9.8984375" style="4" customWidth="1"/>
    <col min="6" max="6" width="13.69921875" style="4" customWidth="1"/>
    <col min="7" max="7" width="10.09765625" style="4" customWidth="1"/>
    <col min="8" max="8" width="10.5" style="4" customWidth="1"/>
    <col min="9" max="9" width="10.3984375" style="4" customWidth="1"/>
    <col min="10" max="11" width="9.8984375" style="4" customWidth="1"/>
    <col min="12" max="12" width="11.5" style="2" bestFit="1" customWidth="1"/>
    <col min="13" max="13" width="12.3984375" style="2" bestFit="1" customWidth="1"/>
    <col min="14" max="16384" width="8" style="2"/>
  </cols>
  <sheetData>
    <row r="1" spans="1:14" ht="22.5" customHeight="1" thickTop="1" x14ac:dyDescent="0.3">
      <c r="A1" s="402" t="s">
        <v>484</v>
      </c>
      <c r="B1" s="403"/>
      <c r="C1" s="403"/>
      <c r="D1" s="403"/>
      <c r="E1" s="403"/>
      <c r="F1" s="403"/>
      <c r="G1" s="403"/>
      <c r="H1" s="403"/>
      <c r="I1" s="403"/>
      <c r="J1" s="403"/>
      <c r="K1" s="404"/>
      <c r="L1" s="1"/>
      <c r="M1" s="1"/>
      <c r="N1" s="1"/>
    </row>
    <row r="2" spans="1:14" ht="22.5" customHeight="1" x14ac:dyDescent="0.3">
      <c r="A2" s="360" t="s">
        <v>0</v>
      </c>
      <c r="B2" s="303"/>
      <c r="D2" s="3"/>
      <c r="E2" s="391" t="s">
        <v>698</v>
      </c>
      <c r="F2" s="392"/>
      <c r="G2" s="316" t="s">
        <v>699</v>
      </c>
      <c r="H2" s="316" t="s">
        <v>700</v>
      </c>
      <c r="I2" s="419" t="s">
        <v>432</v>
      </c>
      <c r="J2" s="419"/>
      <c r="K2" s="419"/>
      <c r="L2" s="1"/>
      <c r="M2" s="1"/>
      <c r="N2" s="1"/>
    </row>
    <row r="3" spans="1:14" ht="18" customHeight="1" x14ac:dyDescent="0.25">
      <c r="A3" s="2" t="s">
        <v>655</v>
      </c>
      <c r="B3" s="304"/>
      <c r="D3" s="3"/>
      <c r="E3" s="418" t="s">
        <v>708</v>
      </c>
      <c r="F3" s="418"/>
      <c r="G3" s="310"/>
      <c r="H3" s="310"/>
      <c r="I3" s="393"/>
      <c r="J3" s="394"/>
      <c r="K3" s="395"/>
    </row>
    <row r="4" spans="1:14" ht="18" customHeight="1" x14ac:dyDescent="0.3">
      <c r="A4" s="361" t="s">
        <v>481</v>
      </c>
      <c r="B4" s="304"/>
      <c r="D4" s="3"/>
      <c r="E4" s="418" t="s">
        <v>709</v>
      </c>
      <c r="F4" s="418"/>
      <c r="G4" s="311"/>
      <c r="H4" s="312"/>
      <c r="I4" s="393"/>
      <c r="J4" s="394"/>
      <c r="K4" s="395"/>
    </row>
    <row r="5" spans="1:14" ht="18" customHeight="1" x14ac:dyDescent="0.3">
      <c r="A5" s="361" t="s">
        <v>485</v>
      </c>
      <c r="B5" s="304"/>
      <c r="D5" s="3"/>
      <c r="E5" s="418" t="s">
        <v>701</v>
      </c>
      <c r="F5" s="418"/>
      <c r="G5" s="310"/>
      <c r="H5" s="313"/>
      <c r="I5" s="393"/>
      <c r="J5" s="394"/>
      <c r="K5" s="395"/>
    </row>
    <row r="6" spans="1:14" ht="18" customHeight="1" x14ac:dyDescent="0.3">
      <c r="A6" s="362" t="s">
        <v>1</v>
      </c>
      <c r="B6" s="304"/>
      <c r="D6" s="3"/>
      <c r="E6" s="418" t="s">
        <v>702</v>
      </c>
      <c r="F6" s="418"/>
      <c r="G6" s="310"/>
      <c r="H6" s="313"/>
      <c r="I6" s="393"/>
      <c r="J6" s="394"/>
      <c r="K6" s="395"/>
    </row>
    <row r="7" spans="1:14" ht="18" customHeight="1" x14ac:dyDescent="0.3">
      <c r="A7" s="362" t="s">
        <v>483</v>
      </c>
      <c r="B7" s="304"/>
      <c r="D7" s="3"/>
      <c r="E7" s="418" t="s">
        <v>703</v>
      </c>
      <c r="F7" s="418"/>
      <c r="G7" s="310"/>
      <c r="H7" s="313"/>
      <c r="I7" s="393"/>
      <c r="J7" s="394"/>
      <c r="K7" s="395"/>
    </row>
    <row r="8" spans="1:14" ht="18" customHeight="1" x14ac:dyDescent="0.3">
      <c r="A8" s="107"/>
      <c r="B8" s="304"/>
      <c r="D8" s="3"/>
      <c r="E8" s="418" t="s">
        <v>704</v>
      </c>
      <c r="F8" s="418"/>
      <c r="G8" s="310"/>
      <c r="H8" s="313"/>
      <c r="I8" s="393"/>
      <c r="J8" s="394"/>
      <c r="K8" s="395"/>
    </row>
    <row r="9" spans="1:14" ht="18" customHeight="1" x14ac:dyDescent="0.3">
      <c r="A9" s="306"/>
      <c r="B9" s="305"/>
      <c r="D9" s="3"/>
      <c r="E9" s="389" t="s">
        <v>705</v>
      </c>
      <c r="F9" s="390"/>
      <c r="G9" s="314"/>
      <c r="H9" s="315"/>
      <c r="I9" s="396"/>
      <c r="J9" s="397"/>
      <c r="K9" s="398"/>
    </row>
    <row r="10" spans="1:14" ht="13.5" customHeight="1" thickBot="1" x14ac:dyDescent="0.3">
      <c r="A10" s="5"/>
      <c r="B10" s="6"/>
      <c r="C10" s="7"/>
      <c r="D10" s="6"/>
      <c r="E10" s="307"/>
      <c r="F10" s="308"/>
      <c r="G10" s="308"/>
      <c r="H10" s="308"/>
      <c r="I10" s="8"/>
      <c r="J10" s="8"/>
      <c r="K10" s="309"/>
      <c r="N10" s="9"/>
    </row>
    <row r="11" spans="1:14" s="10" customFormat="1" ht="17.25" customHeight="1" x14ac:dyDescent="0.3">
      <c r="A11" s="405" t="s">
        <v>2</v>
      </c>
      <c r="B11" s="408" t="s">
        <v>3</v>
      </c>
      <c r="C11" s="408" t="s">
        <v>4</v>
      </c>
      <c r="D11" s="408" t="s">
        <v>718</v>
      </c>
      <c r="E11" s="411" t="s">
        <v>697</v>
      </c>
      <c r="F11" s="411"/>
      <c r="G11" s="411" t="s">
        <v>5</v>
      </c>
      <c r="H11" s="411"/>
      <c r="I11" s="411" t="s">
        <v>6</v>
      </c>
      <c r="J11" s="413"/>
      <c r="K11" s="415" t="s">
        <v>7</v>
      </c>
    </row>
    <row r="12" spans="1:14" s="10" customFormat="1" ht="27.75" customHeight="1" x14ac:dyDescent="0.3">
      <c r="A12" s="406"/>
      <c r="B12" s="409"/>
      <c r="C12" s="409"/>
      <c r="D12" s="409"/>
      <c r="E12" s="412"/>
      <c r="F12" s="412"/>
      <c r="G12" s="412"/>
      <c r="H12" s="412"/>
      <c r="I12" s="412"/>
      <c r="J12" s="414"/>
      <c r="K12" s="416"/>
    </row>
    <row r="13" spans="1:14" s="14" customFormat="1" ht="21" customHeight="1" thickBot="1" x14ac:dyDescent="0.35">
      <c r="A13" s="407"/>
      <c r="B13" s="410"/>
      <c r="C13" s="410"/>
      <c r="D13" s="410"/>
      <c r="E13" s="11" t="s">
        <v>8</v>
      </c>
      <c r="F13" s="12" t="s">
        <v>9</v>
      </c>
      <c r="G13" s="11" t="s">
        <v>8</v>
      </c>
      <c r="H13" s="12" t="s">
        <v>9</v>
      </c>
      <c r="I13" s="11" t="s">
        <v>8</v>
      </c>
      <c r="J13" s="13" t="s">
        <v>9</v>
      </c>
      <c r="K13" s="417"/>
    </row>
    <row r="14" spans="1:14" ht="22.5" customHeight="1" thickBot="1" x14ac:dyDescent="0.3">
      <c r="A14" s="327">
        <v>1</v>
      </c>
      <c r="B14" s="328" t="s">
        <v>10</v>
      </c>
      <c r="C14" s="328"/>
      <c r="D14" s="17"/>
      <c r="E14" s="18"/>
      <c r="F14" s="18"/>
      <c r="G14" s="18"/>
      <c r="H14" s="18"/>
      <c r="I14" s="18"/>
      <c r="J14" s="19"/>
      <c r="K14" s="20"/>
      <c r="L14" s="21"/>
      <c r="M14" s="21"/>
    </row>
    <row r="15" spans="1:14" ht="25.5" customHeight="1" thickTop="1" x14ac:dyDescent="0.25">
      <c r="A15" s="329" t="s">
        <v>11</v>
      </c>
      <c r="B15" s="330" t="s">
        <v>12</v>
      </c>
      <c r="C15" s="331" t="s">
        <v>13</v>
      </c>
      <c r="D15" s="17"/>
      <c r="E15" s="25"/>
      <c r="F15" s="25"/>
      <c r="G15" s="332"/>
      <c r="H15" s="25"/>
      <c r="I15" s="25"/>
      <c r="J15" s="26"/>
      <c r="K15" s="27"/>
      <c r="L15" s="21"/>
      <c r="M15" s="21"/>
    </row>
    <row r="16" spans="1:14" ht="25.5" customHeight="1" x14ac:dyDescent="0.25">
      <c r="A16" s="333" t="s">
        <v>14</v>
      </c>
      <c r="B16" s="334" t="s">
        <v>15</v>
      </c>
      <c r="C16" s="335" t="s">
        <v>16</v>
      </c>
      <c r="D16" s="17"/>
      <c r="E16" s="25"/>
      <c r="F16" s="25"/>
      <c r="G16" s="332"/>
      <c r="H16" s="25"/>
      <c r="I16" s="25"/>
      <c r="J16" s="26"/>
      <c r="K16" s="27"/>
      <c r="L16" s="21"/>
      <c r="M16" s="21"/>
    </row>
    <row r="17" spans="1:13" ht="25.5" customHeight="1" x14ac:dyDescent="0.25">
      <c r="A17" s="333" t="s">
        <v>17</v>
      </c>
      <c r="B17" s="334" t="s">
        <v>18</v>
      </c>
      <c r="C17" s="335" t="s">
        <v>16</v>
      </c>
      <c r="D17" s="17"/>
      <c r="E17" s="25"/>
      <c r="F17" s="25"/>
      <c r="G17" s="332"/>
      <c r="H17" s="25"/>
      <c r="I17" s="25"/>
      <c r="J17" s="26"/>
      <c r="K17" s="27"/>
      <c r="L17" s="21"/>
      <c r="M17" s="21"/>
    </row>
    <row r="18" spans="1:13" ht="25.5" customHeight="1" x14ac:dyDescent="0.25">
      <c r="A18" s="333" t="s">
        <v>19</v>
      </c>
      <c r="B18" s="334" t="s">
        <v>20</v>
      </c>
      <c r="C18" s="335" t="s">
        <v>21</v>
      </c>
      <c r="D18" s="17"/>
      <c r="E18" s="25"/>
      <c r="F18" s="25"/>
      <c r="G18" s="332"/>
      <c r="H18" s="25"/>
      <c r="I18" s="25"/>
      <c r="J18" s="26"/>
      <c r="K18" s="27"/>
      <c r="L18" s="21"/>
      <c r="M18" s="21"/>
    </row>
    <row r="19" spans="1:13" ht="25.5" customHeight="1" x14ac:dyDescent="0.25">
      <c r="A19" s="333" t="s">
        <v>22</v>
      </c>
      <c r="B19" s="334" t="s">
        <v>23</v>
      </c>
      <c r="C19" s="335" t="s">
        <v>16</v>
      </c>
      <c r="D19" s="17"/>
      <c r="E19" s="25"/>
      <c r="F19" s="25"/>
      <c r="G19" s="332"/>
      <c r="H19" s="25"/>
      <c r="I19" s="25"/>
      <c r="J19" s="26"/>
      <c r="K19" s="27"/>
      <c r="L19" s="21"/>
      <c r="M19" s="21"/>
    </row>
    <row r="20" spans="1:13" ht="25.5" customHeight="1" x14ac:dyDescent="0.25">
      <c r="A20" s="333" t="s">
        <v>24</v>
      </c>
      <c r="B20" s="334" t="s">
        <v>706</v>
      </c>
      <c r="C20" s="335" t="s">
        <v>13</v>
      </c>
      <c r="D20" s="17"/>
      <c r="E20" s="25"/>
      <c r="F20" s="25"/>
      <c r="G20" s="332"/>
      <c r="H20" s="25"/>
      <c r="I20" s="25"/>
      <c r="J20" s="26"/>
      <c r="K20" s="27"/>
      <c r="L20" s="21"/>
      <c r="M20" s="21"/>
    </row>
    <row r="21" spans="1:13" ht="25.5" customHeight="1" x14ac:dyDescent="0.25">
      <c r="A21" s="333" t="s">
        <v>26</v>
      </c>
      <c r="B21" s="334" t="s">
        <v>27</v>
      </c>
      <c r="C21" s="335" t="s">
        <v>13</v>
      </c>
      <c r="D21" s="17"/>
      <c r="E21" s="25"/>
      <c r="F21" s="25"/>
      <c r="G21" s="332"/>
      <c r="H21" s="25"/>
      <c r="I21" s="25"/>
      <c r="J21" s="26"/>
      <c r="K21" s="27"/>
      <c r="L21" s="21"/>
      <c r="M21" s="21"/>
    </row>
    <row r="22" spans="1:13" ht="25.5" customHeight="1" x14ac:dyDescent="0.25">
      <c r="A22" s="333" t="s">
        <v>28</v>
      </c>
      <c r="B22" s="334" t="s">
        <v>29</v>
      </c>
      <c r="C22" s="335" t="s">
        <v>30</v>
      </c>
      <c r="D22" s="17"/>
      <c r="E22" s="25"/>
      <c r="F22" s="25"/>
      <c r="G22" s="332"/>
      <c r="H22" s="25"/>
      <c r="I22" s="25"/>
      <c r="J22" s="26"/>
      <c r="K22" s="27"/>
      <c r="L22" s="21"/>
      <c r="M22" s="21"/>
    </row>
    <row r="23" spans="1:13" ht="25.5" customHeight="1" x14ac:dyDescent="0.25">
      <c r="A23" s="333" t="s">
        <v>31</v>
      </c>
      <c r="B23" s="334" t="s">
        <v>32</v>
      </c>
      <c r="C23" s="335" t="s">
        <v>30</v>
      </c>
      <c r="D23" s="17"/>
      <c r="E23" s="25"/>
      <c r="F23" s="25"/>
      <c r="G23" s="332"/>
      <c r="H23" s="25"/>
      <c r="I23" s="25"/>
      <c r="J23" s="26"/>
      <c r="K23" s="27"/>
      <c r="L23" s="21"/>
      <c r="M23" s="21"/>
    </row>
    <row r="24" spans="1:13" ht="25.5" customHeight="1" x14ac:dyDescent="0.25">
      <c r="A24" s="333" t="s">
        <v>33</v>
      </c>
      <c r="B24" s="334" t="s">
        <v>34</v>
      </c>
      <c r="C24" s="335" t="s">
        <v>35</v>
      </c>
      <c r="D24" s="17"/>
      <c r="E24" s="25"/>
      <c r="F24" s="25"/>
      <c r="G24" s="332"/>
      <c r="H24" s="25"/>
      <c r="I24" s="25"/>
      <c r="J24" s="26"/>
      <c r="K24" s="27"/>
      <c r="L24" s="21"/>
      <c r="M24" s="21"/>
    </row>
    <row r="25" spans="1:13" ht="25.5" customHeight="1" x14ac:dyDescent="0.25">
      <c r="A25" s="333" t="s">
        <v>36</v>
      </c>
      <c r="B25" s="334" t="s">
        <v>37</v>
      </c>
      <c r="C25" s="335" t="s">
        <v>35</v>
      </c>
      <c r="D25" s="17"/>
      <c r="E25" s="25"/>
      <c r="F25" s="25"/>
      <c r="G25" s="332"/>
      <c r="H25" s="25"/>
      <c r="I25" s="25"/>
      <c r="J25" s="26"/>
      <c r="K25" s="27"/>
      <c r="L25" s="21"/>
      <c r="M25" s="21"/>
    </row>
    <row r="26" spans="1:13" ht="25.5" customHeight="1" x14ac:dyDescent="0.25">
      <c r="A26" s="333" t="s">
        <v>38</v>
      </c>
      <c r="B26" s="334" t="s">
        <v>39</v>
      </c>
      <c r="C26" s="335" t="s">
        <v>40</v>
      </c>
      <c r="D26" s="17"/>
      <c r="E26" s="25"/>
      <c r="F26" s="25"/>
      <c r="G26" s="332"/>
      <c r="H26" s="25"/>
      <c r="I26" s="25"/>
      <c r="J26" s="26"/>
      <c r="K26" s="27"/>
      <c r="L26" s="21"/>
      <c r="M26" s="21"/>
    </row>
    <row r="27" spans="1:13" ht="25.5" customHeight="1" x14ac:dyDescent="0.25">
      <c r="A27" s="333" t="s">
        <v>41</v>
      </c>
      <c r="B27" s="334" t="s">
        <v>42</v>
      </c>
      <c r="C27" s="335" t="s">
        <v>30</v>
      </c>
      <c r="D27" s="17"/>
      <c r="E27" s="25"/>
      <c r="F27" s="25"/>
      <c r="G27" s="332"/>
      <c r="H27" s="25"/>
      <c r="I27" s="25"/>
      <c r="J27" s="26"/>
      <c r="K27" s="27"/>
      <c r="L27" s="21"/>
      <c r="M27" s="21"/>
    </row>
    <row r="28" spans="1:13" ht="25.5" customHeight="1" x14ac:dyDescent="0.25">
      <c r="A28" s="333" t="s">
        <v>43</v>
      </c>
      <c r="B28" s="334" t="s">
        <v>44</v>
      </c>
      <c r="C28" s="335" t="s">
        <v>30</v>
      </c>
      <c r="D28" s="17"/>
      <c r="E28" s="25"/>
      <c r="F28" s="25"/>
      <c r="G28" s="332"/>
      <c r="H28" s="25"/>
      <c r="I28" s="25"/>
      <c r="J28" s="26"/>
      <c r="K28" s="27"/>
      <c r="L28" s="21"/>
      <c r="M28" s="21"/>
    </row>
    <row r="29" spans="1:13" ht="25.5" customHeight="1" x14ac:dyDescent="0.25">
      <c r="A29" s="333" t="s">
        <v>45</v>
      </c>
      <c r="B29" s="334" t="s">
        <v>707</v>
      </c>
      <c r="C29" s="335" t="s">
        <v>13</v>
      </c>
      <c r="D29" s="17"/>
      <c r="E29" s="25"/>
      <c r="F29" s="25"/>
      <c r="G29" s="332"/>
      <c r="H29" s="25"/>
      <c r="I29" s="25"/>
      <c r="J29" s="26"/>
      <c r="K29" s="27"/>
      <c r="L29" s="21"/>
      <c r="M29" s="21"/>
    </row>
    <row r="30" spans="1:13" ht="25.5" customHeight="1" x14ac:dyDescent="0.25">
      <c r="A30" s="333" t="s">
        <v>47</v>
      </c>
      <c r="B30" s="334" t="s">
        <v>48</v>
      </c>
      <c r="C30" s="335" t="s">
        <v>16</v>
      </c>
      <c r="D30" s="17"/>
      <c r="E30" s="25"/>
      <c r="F30" s="25"/>
      <c r="G30" s="332"/>
      <c r="H30" s="25"/>
      <c r="I30" s="25"/>
      <c r="J30" s="26"/>
      <c r="K30" s="27"/>
      <c r="L30" s="21"/>
      <c r="M30" s="21"/>
    </row>
    <row r="31" spans="1:13" ht="25.5" customHeight="1" x14ac:dyDescent="0.25">
      <c r="A31" s="333" t="s">
        <v>49</v>
      </c>
      <c r="B31" s="334" t="s">
        <v>50</v>
      </c>
      <c r="C31" s="335" t="s">
        <v>16</v>
      </c>
      <c r="D31" s="17"/>
      <c r="E31" s="25"/>
      <c r="F31" s="25"/>
      <c r="G31" s="332"/>
      <c r="H31" s="25"/>
      <c r="I31" s="25"/>
      <c r="J31" s="26"/>
      <c r="K31" s="27"/>
      <c r="L31" s="21"/>
      <c r="M31" s="21"/>
    </row>
    <row r="32" spans="1:13" ht="25.5" customHeight="1" x14ac:dyDescent="0.25">
      <c r="A32" s="333" t="s">
        <v>51</v>
      </c>
      <c r="B32" s="334" t="s">
        <v>52</v>
      </c>
      <c r="C32" s="335" t="s">
        <v>13</v>
      </c>
      <c r="D32" s="17"/>
      <c r="E32" s="25"/>
      <c r="F32" s="25"/>
      <c r="G32" s="332"/>
      <c r="H32" s="25"/>
      <c r="I32" s="25"/>
      <c r="J32" s="26"/>
      <c r="K32" s="27"/>
      <c r="L32" s="21"/>
      <c r="M32" s="21"/>
    </row>
    <row r="33" spans="1:13" ht="25.5" customHeight="1" x14ac:dyDescent="0.25">
      <c r="A33" s="333" t="s">
        <v>53</v>
      </c>
      <c r="B33" s="334" t="s">
        <v>54</v>
      </c>
      <c r="C33" s="335" t="s">
        <v>55</v>
      </c>
      <c r="D33" s="17"/>
      <c r="E33" s="25"/>
      <c r="F33" s="25"/>
      <c r="G33" s="332"/>
      <c r="H33" s="25"/>
      <c r="I33" s="25"/>
      <c r="J33" s="26"/>
      <c r="K33" s="27"/>
      <c r="L33" s="21"/>
      <c r="M33" s="21"/>
    </row>
    <row r="34" spans="1:13" ht="25.5" customHeight="1" x14ac:dyDescent="0.25">
      <c r="A34" s="333" t="s">
        <v>56</v>
      </c>
      <c r="B34" s="334" t="s">
        <v>57</v>
      </c>
      <c r="C34" s="335" t="s">
        <v>16</v>
      </c>
      <c r="D34" s="17"/>
      <c r="E34" s="25"/>
      <c r="F34" s="25"/>
      <c r="G34" s="332"/>
      <c r="H34" s="25"/>
      <c r="I34" s="25"/>
      <c r="J34" s="26"/>
      <c r="K34" s="27"/>
      <c r="L34" s="21"/>
      <c r="M34" s="21"/>
    </row>
    <row r="35" spans="1:13" ht="25.5" customHeight="1" x14ac:dyDescent="0.25">
      <c r="A35" s="333" t="s">
        <v>58</v>
      </c>
      <c r="B35" s="334" t="s">
        <v>59</v>
      </c>
      <c r="C35" s="335" t="s">
        <v>60</v>
      </c>
      <c r="D35" s="17"/>
      <c r="E35" s="25"/>
      <c r="F35" s="25"/>
      <c r="G35" s="332"/>
      <c r="H35" s="25"/>
      <c r="I35" s="25"/>
      <c r="J35" s="26"/>
      <c r="K35" s="27"/>
      <c r="L35" s="21"/>
      <c r="M35" s="21"/>
    </row>
    <row r="36" spans="1:13" ht="25.5" customHeight="1" x14ac:dyDescent="0.25">
      <c r="A36" s="336" t="s">
        <v>61</v>
      </c>
      <c r="B36" s="337" t="s">
        <v>62</v>
      </c>
      <c r="C36" s="338" t="s">
        <v>21</v>
      </c>
      <c r="D36" s="17"/>
      <c r="E36" s="25"/>
      <c r="F36" s="25"/>
      <c r="G36" s="332"/>
      <c r="H36" s="25"/>
      <c r="I36" s="25"/>
      <c r="J36" s="26"/>
      <c r="K36" s="27"/>
      <c r="L36" s="21"/>
      <c r="M36" s="21"/>
    </row>
    <row r="37" spans="1:13" ht="25.5" customHeight="1" x14ac:dyDescent="0.25">
      <c r="A37" s="336" t="s">
        <v>63</v>
      </c>
      <c r="B37" s="339" t="s">
        <v>64</v>
      </c>
      <c r="C37" s="338" t="s">
        <v>55</v>
      </c>
      <c r="D37" s="17"/>
      <c r="E37" s="25"/>
      <c r="F37" s="25"/>
      <c r="G37" s="332"/>
      <c r="H37" s="25"/>
      <c r="I37" s="25"/>
      <c r="J37" s="26"/>
      <c r="K37" s="27"/>
      <c r="L37" s="21"/>
      <c r="M37" s="21"/>
    </row>
    <row r="38" spans="1:13" ht="25.5" customHeight="1" x14ac:dyDescent="0.25">
      <c r="A38" s="336" t="s">
        <v>65</v>
      </c>
      <c r="B38" s="339" t="s">
        <v>66</v>
      </c>
      <c r="C38" s="338" t="s">
        <v>35</v>
      </c>
      <c r="D38" s="17"/>
      <c r="E38" s="25"/>
      <c r="F38" s="25"/>
      <c r="G38" s="332"/>
      <c r="H38" s="25"/>
      <c r="I38" s="25"/>
      <c r="J38" s="26"/>
      <c r="K38" s="27"/>
      <c r="L38" s="21"/>
      <c r="M38" s="21"/>
    </row>
    <row r="39" spans="1:13" ht="25.5" customHeight="1" x14ac:dyDescent="0.25">
      <c r="A39" s="336" t="s">
        <v>67</v>
      </c>
      <c r="B39" s="339" t="s">
        <v>68</v>
      </c>
      <c r="C39" s="340" t="s">
        <v>21</v>
      </c>
      <c r="D39" s="17"/>
      <c r="E39" s="25"/>
      <c r="F39" s="25"/>
      <c r="G39" s="332"/>
      <c r="H39" s="25"/>
      <c r="I39" s="25"/>
      <c r="J39" s="26"/>
      <c r="K39" s="27"/>
      <c r="L39" s="21"/>
      <c r="M39" s="21"/>
    </row>
    <row r="40" spans="1:13" ht="25.5" customHeight="1" x14ac:dyDescent="0.25">
      <c r="A40" s="333" t="s">
        <v>69</v>
      </c>
      <c r="B40" s="334" t="s">
        <v>70</v>
      </c>
      <c r="C40" s="335" t="s">
        <v>16</v>
      </c>
      <c r="D40" s="17"/>
      <c r="E40" s="25"/>
      <c r="F40" s="25"/>
      <c r="G40" s="332"/>
      <c r="H40" s="25"/>
      <c r="I40" s="25"/>
      <c r="J40" s="26"/>
      <c r="K40" s="27"/>
      <c r="L40" s="21"/>
      <c r="M40" s="21"/>
    </row>
    <row r="41" spans="1:13" ht="25.5" customHeight="1" x14ac:dyDescent="0.25">
      <c r="A41" s="336" t="s">
        <v>71</v>
      </c>
      <c r="B41" s="339" t="s">
        <v>72</v>
      </c>
      <c r="C41" s="338" t="s">
        <v>16</v>
      </c>
      <c r="D41" s="17"/>
      <c r="E41" s="25"/>
      <c r="F41" s="25"/>
      <c r="G41" s="332"/>
      <c r="H41" s="25"/>
      <c r="I41" s="25"/>
      <c r="J41" s="26"/>
      <c r="K41" s="27"/>
      <c r="L41" s="21"/>
      <c r="M41" s="21"/>
    </row>
    <row r="42" spans="1:13" ht="25.5" customHeight="1" collapsed="1" x14ac:dyDescent="0.25">
      <c r="A42" s="336" t="s">
        <v>73</v>
      </c>
      <c r="B42" s="339" t="s">
        <v>74</v>
      </c>
      <c r="C42" s="338" t="s">
        <v>35</v>
      </c>
      <c r="D42" s="17"/>
      <c r="E42" s="25"/>
      <c r="F42" s="25"/>
      <c r="G42" s="332"/>
      <c r="H42" s="25"/>
      <c r="I42" s="25"/>
      <c r="J42" s="26"/>
      <c r="K42" s="27"/>
      <c r="L42" s="21"/>
      <c r="M42" s="21"/>
    </row>
    <row r="43" spans="1:13" ht="25.5" customHeight="1" x14ac:dyDescent="0.25">
      <c r="A43" s="336" t="s">
        <v>75</v>
      </c>
      <c r="B43" s="339" t="s">
        <v>76</v>
      </c>
      <c r="C43" s="338" t="s">
        <v>16</v>
      </c>
      <c r="D43" s="17"/>
      <c r="E43" s="25"/>
      <c r="F43" s="25"/>
      <c r="G43" s="332"/>
      <c r="H43" s="25"/>
      <c r="I43" s="25"/>
      <c r="J43" s="26"/>
      <c r="K43" s="27"/>
      <c r="L43" s="21"/>
      <c r="M43" s="21"/>
    </row>
    <row r="44" spans="1:13" ht="25.5" customHeight="1" x14ac:dyDescent="0.25">
      <c r="A44" s="336" t="s">
        <v>77</v>
      </c>
      <c r="B44" s="337" t="s">
        <v>78</v>
      </c>
      <c r="C44" s="338" t="s">
        <v>35</v>
      </c>
      <c r="D44" s="17"/>
      <c r="E44" s="25"/>
      <c r="F44" s="25"/>
      <c r="G44" s="332"/>
      <c r="H44" s="25"/>
      <c r="I44" s="25"/>
      <c r="J44" s="26"/>
      <c r="K44" s="27"/>
      <c r="L44" s="21"/>
      <c r="M44" s="21"/>
    </row>
    <row r="45" spans="1:13" ht="25.5" customHeight="1" x14ac:dyDescent="0.25">
      <c r="A45" s="336" t="s">
        <v>79</v>
      </c>
      <c r="B45" s="337" t="s">
        <v>80</v>
      </c>
      <c r="C45" s="338" t="s">
        <v>35</v>
      </c>
      <c r="D45" s="17"/>
      <c r="E45" s="25"/>
      <c r="F45" s="25"/>
      <c r="G45" s="332"/>
      <c r="H45" s="25"/>
      <c r="I45" s="25"/>
      <c r="J45" s="26"/>
      <c r="K45" s="27"/>
      <c r="L45" s="21"/>
      <c r="M45" s="21"/>
    </row>
    <row r="46" spans="1:13" ht="25.5" customHeight="1" x14ac:dyDescent="0.25">
      <c r="A46" s="336" t="s">
        <v>81</v>
      </c>
      <c r="B46" s="337" t="s">
        <v>82</v>
      </c>
      <c r="C46" s="338" t="s">
        <v>35</v>
      </c>
      <c r="D46" s="17"/>
      <c r="E46" s="25"/>
      <c r="F46" s="25"/>
      <c r="G46" s="332"/>
      <c r="H46" s="25"/>
      <c r="I46" s="25"/>
      <c r="J46" s="26"/>
      <c r="K46" s="27"/>
      <c r="L46" s="21"/>
      <c r="M46" s="21"/>
    </row>
    <row r="47" spans="1:13" ht="25.5" customHeight="1" x14ac:dyDescent="0.25">
      <c r="A47" s="336" t="s">
        <v>83</v>
      </c>
      <c r="B47" s="339" t="s">
        <v>84</v>
      </c>
      <c r="C47" s="338" t="s">
        <v>35</v>
      </c>
      <c r="D47" s="17"/>
      <c r="E47" s="25"/>
      <c r="F47" s="25"/>
      <c r="G47" s="332"/>
      <c r="H47" s="25"/>
      <c r="I47" s="25"/>
      <c r="J47" s="26"/>
      <c r="K47" s="27"/>
      <c r="L47" s="21"/>
      <c r="M47" s="21"/>
    </row>
    <row r="48" spans="1:13" ht="25.5" customHeight="1" x14ac:dyDescent="0.25">
      <c r="A48" s="336" t="s">
        <v>85</v>
      </c>
      <c r="B48" s="337" t="s">
        <v>86</v>
      </c>
      <c r="C48" s="340" t="s">
        <v>87</v>
      </c>
      <c r="D48" s="17"/>
      <c r="E48" s="25"/>
      <c r="F48" s="25"/>
      <c r="G48" s="332"/>
      <c r="H48" s="25"/>
      <c r="I48" s="25"/>
      <c r="J48" s="26"/>
      <c r="K48" s="27"/>
      <c r="L48" s="21"/>
      <c r="M48" s="21"/>
    </row>
    <row r="49" spans="1:15" ht="25.5" customHeight="1" x14ac:dyDescent="0.25">
      <c r="A49" s="336" t="s">
        <v>88</v>
      </c>
      <c r="B49" s="339" t="s">
        <v>89</v>
      </c>
      <c r="C49" s="340" t="s">
        <v>35</v>
      </c>
      <c r="D49" s="17"/>
      <c r="E49" s="25"/>
      <c r="F49" s="25"/>
      <c r="G49" s="332"/>
      <c r="H49" s="25"/>
      <c r="I49" s="25"/>
      <c r="J49" s="26"/>
      <c r="K49" s="27"/>
      <c r="L49" s="21"/>
      <c r="M49" s="21"/>
    </row>
    <row r="50" spans="1:15" ht="25.5" customHeight="1" x14ac:dyDescent="0.25">
      <c r="A50" s="336" t="s">
        <v>90</v>
      </c>
      <c r="B50" s="337" t="s">
        <v>91</v>
      </c>
      <c r="C50" s="338" t="s">
        <v>35</v>
      </c>
      <c r="D50" s="17"/>
      <c r="E50" s="25"/>
      <c r="F50" s="25"/>
      <c r="G50" s="332"/>
      <c r="H50" s="25"/>
      <c r="I50" s="25"/>
      <c r="J50" s="26"/>
      <c r="K50" s="27"/>
      <c r="L50" s="21"/>
      <c r="M50" s="21"/>
    </row>
    <row r="51" spans="1:15" ht="29.25" customHeight="1" x14ac:dyDescent="0.25">
      <c r="A51" s="336" t="s">
        <v>92</v>
      </c>
      <c r="B51" s="337" t="s">
        <v>93</v>
      </c>
      <c r="C51" s="340" t="s">
        <v>35</v>
      </c>
      <c r="D51" s="17"/>
      <c r="E51" s="25"/>
      <c r="F51" s="25"/>
      <c r="G51" s="332"/>
      <c r="H51" s="25"/>
      <c r="I51" s="25"/>
      <c r="J51" s="26"/>
      <c r="K51" s="27"/>
      <c r="L51" s="21"/>
      <c r="M51" s="21"/>
    </row>
    <row r="52" spans="1:15" ht="25.5" customHeight="1" x14ac:dyDescent="0.25">
      <c r="A52" s="336" t="s">
        <v>94</v>
      </c>
      <c r="B52" s="337" t="s">
        <v>95</v>
      </c>
      <c r="C52" s="338" t="s">
        <v>35</v>
      </c>
      <c r="D52" s="17"/>
      <c r="E52" s="25"/>
      <c r="F52" s="25"/>
      <c r="G52" s="332"/>
      <c r="H52" s="25"/>
      <c r="I52" s="25"/>
      <c r="J52" s="26"/>
      <c r="K52" s="27"/>
      <c r="L52" s="21"/>
      <c r="M52" s="21"/>
      <c r="O52" s="2">
        <f>31-4</f>
        <v>27</v>
      </c>
    </row>
    <row r="53" spans="1:15" ht="25.5" customHeight="1" x14ac:dyDescent="0.25">
      <c r="A53" s="336" t="s">
        <v>96</v>
      </c>
      <c r="B53" s="337" t="s">
        <v>97</v>
      </c>
      <c r="C53" s="340" t="s">
        <v>35</v>
      </c>
      <c r="D53" s="17"/>
      <c r="E53" s="25"/>
      <c r="F53" s="25"/>
      <c r="G53" s="332"/>
      <c r="H53" s="25"/>
      <c r="I53" s="25"/>
      <c r="J53" s="26"/>
      <c r="K53" s="27"/>
      <c r="L53" s="21"/>
      <c r="M53" s="21"/>
    </row>
    <row r="54" spans="1:15" ht="25.5" customHeight="1" x14ac:dyDescent="0.25">
      <c r="A54" s="336" t="s">
        <v>98</v>
      </c>
      <c r="B54" s="337" t="s">
        <v>99</v>
      </c>
      <c r="C54" s="338" t="s">
        <v>35</v>
      </c>
      <c r="D54" s="17"/>
      <c r="E54" s="25"/>
      <c r="F54" s="25"/>
      <c r="G54" s="332"/>
      <c r="H54" s="25"/>
      <c r="I54" s="25"/>
      <c r="J54" s="26"/>
      <c r="K54" s="27"/>
      <c r="L54" s="21"/>
      <c r="M54" s="21"/>
    </row>
    <row r="55" spans="1:15" ht="25.5" customHeight="1" x14ac:dyDescent="0.25">
      <c r="A55" s="336" t="s">
        <v>100</v>
      </c>
      <c r="B55" s="337" t="s">
        <v>101</v>
      </c>
      <c r="C55" s="340" t="s">
        <v>35</v>
      </c>
      <c r="D55" s="17"/>
      <c r="E55" s="25"/>
      <c r="F55" s="25"/>
      <c r="G55" s="332"/>
      <c r="H55" s="25"/>
      <c r="I55" s="25"/>
      <c r="J55" s="26"/>
      <c r="K55" s="27"/>
      <c r="L55" s="21"/>
      <c r="M55" s="21"/>
    </row>
    <row r="56" spans="1:15" ht="25.5" customHeight="1" x14ac:dyDescent="0.25">
      <c r="A56" s="336" t="s">
        <v>102</v>
      </c>
      <c r="B56" s="337" t="s">
        <v>103</v>
      </c>
      <c r="C56" s="340" t="s">
        <v>35</v>
      </c>
      <c r="D56" s="17"/>
      <c r="E56" s="25"/>
      <c r="F56" s="25"/>
      <c r="G56" s="332"/>
      <c r="H56" s="25"/>
      <c r="I56" s="25"/>
      <c r="J56" s="26"/>
      <c r="K56" s="27"/>
      <c r="L56" s="21"/>
      <c r="M56" s="21"/>
    </row>
    <row r="57" spans="1:15" ht="25.5" customHeight="1" x14ac:dyDescent="0.25">
      <c r="A57" s="336" t="s">
        <v>104</v>
      </c>
      <c r="B57" s="337" t="s">
        <v>105</v>
      </c>
      <c r="C57" s="340" t="s">
        <v>35</v>
      </c>
      <c r="D57" s="17"/>
      <c r="E57" s="25"/>
      <c r="F57" s="25"/>
      <c r="G57" s="332"/>
      <c r="H57" s="25"/>
      <c r="I57" s="25"/>
      <c r="J57" s="26"/>
      <c r="K57" s="27"/>
      <c r="L57" s="21"/>
      <c r="M57" s="21"/>
    </row>
    <row r="58" spans="1:15" ht="25.5" customHeight="1" x14ac:dyDescent="0.25">
      <c r="A58" s="336" t="s">
        <v>106</v>
      </c>
      <c r="B58" s="337" t="s">
        <v>107</v>
      </c>
      <c r="C58" s="338" t="s">
        <v>35</v>
      </c>
      <c r="D58" s="17"/>
      <c r="E58" s="25"/>
      <c r="F58" s="25"/>
      <c r="G58" s="332"/>
      <c r="H58" s="25"/>
      <c r="I58" s="25"/>
      <c r="J58" s="26"/>
      <c r="K58" s="27"/>
      <c r="L58" s="21"/>
      <c r="M58" s="21"/>
    </row>
    <row r="59" spans="1:15" ht="25.5" customHeight="1" x14ac:dyDescent="0.25">
      <c r="A59" s="336" t="s">
        <v>108</v>
      </c>
      <c r="B59" s="337" t="s">
        <v>109</v>
      </c>
      <c r="C59" s="338" t="s">
        <v>35</v>
      </c>
      <c r="D59" s="17"/>
      <c r="E59" s="25"/>
      <c r="F59" s="25"/>
      <c r="G59" s="332"/>
      <c r="H59" s="25"/>
      <c r="I59" s="25"/>
      <c r="J59" s="26"/>
      <c r="K59" s="27"/>
      <c r="L59" s="21"/>
      <c r="M59" s="21"/>
    </row>
    <row r="60" spans="1:15" ht="25.5" customHeight="1" x14ac:dyDescent="0.25">
      <c r="A60" s="336" t="s">
        <v>110</v>
      </c>
      <c r="B60" s="337" t="s">
        <v>111</v>
      </c>
      <c r="C60" s="338" t="s">
        <v>35</v>
      </c>
      <c r="D60" s="17"/>
      <c r="E60" s="25"/>
      <c r="F60" s="25"/>
      <c r="G60" s="332"/>
      <c r="H60" s="25"/>
      <c r="I60" s="25"/>
      <c r="J60" s="26"/>
      <c r="K60" s="27"/>
      <c r="L60" s="21"/>
      <c r="M60" s="21"/>
    </row>
    <row r="61" spans="1:15" ht="25.5" customHeight="1" x14ac:dyDescent="0.25">
      <c r="A61" s="336"/>
      <c r="B61" s="337" t="s">
        <v>112</v>
      </c>
      <c r="C61" s="338" t="s">
        <v>35</v>
      </c>
      <c r="D61" s="17"/>
      <c r="E61" s="25"/>
      <c r="F61" s="25"/>
      <c r="G61" s="332"/>
      <c r="H61" s="25"/>
      <c r="I61" s="25"/>
      <c r="J61" s="26"/>
      <c r="K61" s="27"/>
      <c r="L61" s="21"/>
      <c r="M61" s="21"/>
    </row>
    <row r="62" spans="1:15" ht="25.5" customHeight="1" x14ac:dyDescent="0.25">
      <c r="A62" s="336"/>
      <c r="B62" s="337" t="s">
        <v>111</v>
      </c>
      <c r="C62" s="338" t="s">
        <v>35</v>
      </c>
      <c r="D62" s="17"/>
      <c r="E62" s="25"/>
      <c r="F62" s="25"/>
      <c r="G62" s="332"/>
      <c r="H62" s="25"/>
      <c r="I62" s="25"/>
      <c r="J62" s="26"/>
      <c r="K62" s="27"/>
      <c r="L62" s="21"/>
      <c r="M62" s="21"/>
    </row>
    <row r="63" spans="1:15" ht="25.5" customHeight="1" x14ac:dyDescent="0.25">
      <c r="A63" s="336" t="s">
        <v>113</v>
      </c>
      <c r="B63" s="337" t="s">
        <v>114</v>
      </c>
      <c r="C63" s="338" t="s">
        <v>40</v>
      </c>
      <c r="D63" s="17"/>
      <c r="E63" s="25"/>
      <c r="F63" s="25"/>
      <c r="G63" s="332"/>
      <c r="H63" s="25"/>
      <c r="I63" s="25"/>
      <c r="J63" s="26"/>
      <c r="K63" s="27"/>
      <c r="L63" s="21"/>
      <c r="M63" s="21"/>
    </row>
    <row r="64" spans="1:15" ht="25.5" customHeight="1" x14ac:dyDescent="0.25">
      <c r="A64" s="336" t="s">
        <v>115</v>
      </c>
      <c r="B64" s="337" t="s">
        <v>116</v>
      </c>
      <c r="C64" s="338" t="s">
        <v>40</v>
      </c>
      <c r="D64" s="17"/>
      <c r="E64" s="25"/>
      <c r="F64" s="25"/>
      <c r="G64" s="332"/>
      <c r="H64" s="25"/>
      <c r="I64" s="25"/>
      <c r="J64" s="26"/>
      <c r="K64" s="27"/>
      <c r="L64" s="21"/>
      <c r="M64" s="21"/>
    </row>
    <row r="65" spans="1:20" ht="25.5" customHeight="1" x14ac:dyDescent="0.25">
      <c r="A65" s="336" t="s">
        <v>117</v>
      </c>
      <c r="B65" s="337" t="s">
        <v>118</v>
      </c>
      <c r="C65" s="338" t="s">
        <v>35</v>
      </c>
      <c r="D65" s="17"/>
      <c r="E65" s="25"/>
      <c r="F65" s="25"/>
      <c r="G65" s="332"/>
      <c r="H65" s="25"/>
      <c r="I65" s="25"/>
      <c r="J65" s="26"/>
      <c r="K65" s="27"/>
      <c r="L65" s="21"/>
      <c r="M65" s="21"/>
    </row>
    <row r="66" spans="1:20" ht="25.5" customHeight="1" x14ac:dyDescent="0.25">
      <c r="A66" s="336" t="s">
        <v>119</v>
      </c>
      <c r="B66" s="337" t="s">
        <v>120</v>
      </c>
      <c r="C66" s="340" t="s">
        <v>35</v>
      </c>
      <c r="D66" s="17"/>
      <c r="E66" s="25"/>
      <c r="F66" s="25"/>
      <c r="G66" s="332"/>
      <c r="H66" s="25"/>
      <c r="I66" s="25"/>
      <c r="J66" s="26"/>
      <c r="K66" s="27"/>
      <c r="L66" s="21"/>
      <c r="M66" s="21"/>
    </row>
    <row r="67" spans="1:20" ht="25.5" customHeight="1" x14ac:dyDescent="0.25">
      <c r="A67" s="336" t="s">
        <v>121</v>
      </c>
      <c r="B67" s="337" t="s">
        <v>122</v>
      </c>
      <c r="C67" s="338" t="s">
        <v>87</v>
      </c>
      <c r="D67" s="17"/>
      <c r="E67" s="25"/>
      <c r="F67" s="25"/>
      <c r="G67" s="332"/>
      <c r="H67" s="25"/>
      <c r="I67" s="25"/>
      <c r="J67" s="26"/>
      <c r="K67" s="27"/>
      <c r="L67" s="21"/>
      <c r="M67" s="21"/>
    </row>
    <row r="68" spans="1:20" ht="25.5" customHeight="1" x14ac:dyDescent="0.25">
      <c r="A68" s="336" t="s">
        <v>123</v>
      </c>
      <c r="B68" s="337" t="s">
        <v>124</v>
      </c>
      <c r="C68" s="338" t="s">
        <v>87</v>
      </c>
      <c r="D68" s="17"/>
      <c r="E68" s="25"/>
      <c r="F68" s="25"/>
      <c r="G68" s="332"/>
      <c r="H68" s="25"/>
      <c r="I68" s="25"/>
      <c r="J68" s="26"/>
      <c r="K68" s="27"/>
      <c r="L68" s="21"/>
      <c r="M68" s="21"/>
    </row>
    <row r="69" spans="1:20" ht="25.5" customHeight="1" x14ac:dyDescent="0.25">
      <c r="A69" s="336" t="s">
        <v>125</v>
      </c>
      <c r="B69" s="341" t="s">
        <v>126</v>
      </c>
      <c r="C69" s="340" t="s">
        <v>21</v>
      </c>
      <c r="D69" s="17"/>
      <c r="E69" s="25"/>
      <c r="F69" s="25"/>
      <c r="G69" s="332"/>
      <c r="H69" s="25"/>
      <c r="I69" s="25"/>
      <c r="J69" s="26"/>
      <c r="K69" s="27"/>
      <c r="L69" s="21"/>
      <c r="M69" s="21"/>
    </row>
    <row r="70" spans="1:20" ht="25.5" customHeight="1" x14ac:dyDescent="0.25">
      <c r="A70" s="336" t="s">
        <v>127</v>
      </c>
      <c r="B70" s="337" t="s">
        <v>128</v>
      </c>
      <c r="C70" s="338" t="s">
        <v>35</v>
      </c>
      <c r="D70" s="17"/>
      <c r="E70" s="25"/>
      <c r="F70" s="25"/>
      <c r="G70" s="332"/>
      <c r="H70" s="25"/>
      <c r="I70" s="25"/>
      <c r="J70" s="26"/>
      <c r="K70" s="27"/>
      <c r="L70" s="21"/>
      <c r="M70" s="21"/>
    </row>
    <row r="71" spans="1:20" s="38" customFormat="1" ht="25.5" customHeight="1" x14ac:dyDescent="0.25">
      <c r="A71" s="336" t="s">
        <v>129</v>
      </c>
      <c r="B71" s="337" t="s">
        <v>130</v>
      </c>
      <c r="C71" s="338" t="s">
        <v>35</v>
      </c>
      <c r="D71" s="17"/>
      <c r="E71" s="25"/>
      <c r="F71" s="25"/>
      <c r="G71" s="332"/>
      <c r="H71" s="25"/>
      <c r="I71" s="25"/>
      <c r="J71" s="26"/>
      <c r="K71" s="27"/>
      <c r="L71" s="37"/>
      <c r="M71" s="37"/>
      <c r="T71" s="2"/>
    </row>
    <row r="72" spans="1:20" s="38" customFormat="1" ht="25.5" customHeight="1" x14ac:dyDescent="0.25">
      <c r="A72" s="336" t="s">
        <v>131</v>
      </c>
      <c r="B72" s="337" t="s">
        <v>132</v>
      </c>
      <c r="C72" s="338" t="s">
        <v>35</v>
      </c>
      <c r="D72" s="17"/>
      <c r="E72" s="25"/>
      <c r="F72" s="25"/>
      <c r="G72" s="332"/>
      <c r="H72" s="25"/>
      <c r="I72" s="25"/>
      <c r="J72" s="26"/>
      <c r="K72" s="27"/>
      <c r="L72" s="37"/>
      <c r="M72" s="37"/>
      <c r="T72" s="2"/>
    </row>
    <row r="73" spans="1:20" s="38" customFormat="1" ht="25.5" customHeight="1" x14ac:dyDescent="0.25">
      <c r="A73" s="336" t="s">
        <v>133</v>
      </c>
      <c r="B73" s="337" t="s">
        <v>134</v>
      </c>
      <c r="C73" s="338" t="s">
        <v>35</v>
      </c>
      <c r="D73" s="17"/>
      <c r="E73" s="25"/>
      <c r="F73" s="25"/>
      <c r="G73" s="332"/>
      <c r="H73" s="25"/>
      <c r="I73" s="25"/>
      <c r="J73" s="26"/>
      <c r="K73" s="27"/>
      <c r="L73" s="37"/>
      <c r="M73" s="37"/>
      <c r="T73" s="2"/>
    </row>
    <row r="74" spans="1:20" s="38" customFormat="1" ht="25.5" customHeight="1" x14ac:dyDescent="0.25">
      <c r="A74" s="336" t="s">
        <v>135</v>
      </c>
      <c r="B74" s="339" t="s">
        <v>136</v>
      </c>
      <c r="C74" s="340" t="s">
        <v>35</v>
      </c>
      <c r="D74" s="17"/>
      <c r="E74" s="25"/>
      <c r="F74" s="25"/>
      <c r="G74" s="25"/>
      <c r="H74" s="25"/>
      <c r="I74" s="25"/>
      <c r="J74" s="26"/>
      <c r="K74" s="27"/>
      <c r="L74" s="39"/>
      <c r="M74" s="37"/>
      <c r="T74" s="2"/>
    </row>
    <row r="75" spans="1:20" s="38" customFormat="1" ht="25.5" customHeight="1" x14ac:dyDescent="0.25">
      <c r="A75" s="336" t="s">
        <v>137</v>
      </c>
      <c r="B75" s="337" t="s">
        <v>138</v>
      </c>
      <c r="C75" s="340" t="s">
        <v>87</v>
      </c>
      <c r="D75" s="17"/>
      <c r="E75" s="25"/>
      <c r="F75" s="25"/>
      <c r="G75" s="332"/>
      <c r="H75" s="25"/>
      <c r="I75" s="25"/>
      <c r="J75" s="26"/>
      <c r="K75" s="27"/>
      <c r="L75" s="37"/>
      <c r="M75" s="37"/>
      <c r="T75" s="2"/>
    </row>
    <row r="76" spans="1:20" s="38" customFormat="1" ht="25.5" customHeight="1" x14ac:dyDescent="0.25">
      <c r="A76" s="336" t="s">
        <v>139</v>
      </c>
      <c r="B76" s="337" t="s">
        <v>140</v>
      </c>
      <c r="C76" s="340" t="s">
        <v>35</v>
      </c>
      <c r="D76" s="17"/>
      <c r="E76" s="25"/>
      <c r="F76" s="25"/>
      <c r="G76" s="332"/>
      <c r="H76" s="25"/>
      <c r="I76" s="25"/>
      <c r="J76" s="26"/>
      <c r="K76" s="27"/>
      <c r="L76" s="37"/>
      <c r="M76" s="37"/>
      <c r="T76" s="2"/>
    </row>
    <row r="77" spans="1:20" s="38" customFormat="1" ht="25.5" customHeight="1" x14ac:dyDescent="0.25">
      <c r="A77" s="342" t="s">
        <v>141</v>
      </c>
      <c r="B77" s="337" t="s">
        <v>142</v>
      </c>
      <c r="C77" s="340" t="s">
        <v>13</v>
      </c>
      <c r="D77" s="17"/>
      <c r="E77" s="25"/>
      <c r="F77" s="25"/>
      <c r="G77" s="332"/>
      <c r="H77" s="25"/>
      <c r="I77" s="25"/>
      <c r="J77" s="26"/>
      <c r="K77" s="27"/>
      <c r="L77" s="37"/>
      <c r="M77" s="37"/>
      <c r="T77" s="2"/>
    </row>
    <row r="78" spans="1:20" s="38" customFormat="1" ht="25.5" customHeight="1" x14ac:dyDescent="0.25">
      <c r="A78" s="336" t="s">
        <v>143</v>
      </c>
      <c r="B78" s="337" t="s">
        <v>144</v>
      </c>
      <c r="C78" s="340" t="s">
        <v>35</v>
      </c>
      <c r="D78" s="17"/>
      <c r="E78" s="25"/>
      <c r="F78" s="25"/>
      <c r="G78" s="332"/>
      <c r="H78" s="25"/>
      <c r="I78" s="25"/>
      <c r="J78" s="26"/>
      <c r="K78" s="27"/>
      <c r="L78" s="37"/>
      <c r="M78" s="37"/>
      <c r="T78" s="2"/>
    </row>
    <row r="79" spans="1:20" s="38" customFormat="1" ht="25.5" customHeight="1" x14ac:dyDescent="0.25">
      <c r="A79" s="336" t="s">
        <v>145</v>
      </c>
      <c r="B79" s="337" t="s">
        <v>146</v>
      </c>
      <c r="C79" s="340" t="s">
        <v>35</v>
      </c>
      <c r="D79" s="17"/>
      <c r="E79" s="25"/>
      <c r="F79" s="25"/>
      <c r="G79" s="25"/>
      <c r="H79" s="25"/>
      <c r="I79" s="25"/>
      <c r="J79" s="26"/>
      <c r="K79" s="27"/>
      <c r="L79" s="37"/>
      <c r="M79" s="37"/>
      <c r="N79" s="41"/>
      <c r="T79" s="2"/>
    </row>
    <row r="80" spans="1:20" s="38" customFormat="1" ht="25.5" customHeight="1" x14ac:dyDescent="0.25">
      <c r="A80" s="336" t="s">
        <v>147</v>
      </c>
      <c r="B80" s="337" t="s">
        <v>148</v>
      </c>
      <c r="C80" s="340" t="s">
        <v>149</v>
      </c>
      <c r="D80" s="17"/>
      <c r="E80" s="25"/>
      <c r="F80" s="25"/>
      <c r="G80" s="25"/>
      <c r="H80" s="25"/>
      <c r="I80" s="25"/>
      <c r="J80" s="26"/>
      <c r="K80" s="27"/>
      <c r="L80" s="37"/>
      <c r="M80" s="37"/>
      <c r="T80" s="2"/>
    </row>
    <row r="81" spans="1:20" s="38" customFormat="1" ht="25.5" customHeight="1" x14ac:dyDescent="0.25">
      <c r="A81" s="336" t="s">
        <v>150</v>
      </c>
      <c r="B81" s="339" t="s">
        <v>151</v>
      </c>
      <c r="C81" s="338" t="s">
        <v>149</v>
      </c>
      <c r="D81" s="17"/>
      <c r="E81" s="25"/>
      <c r="F81" s="25"/>
      <c r="G81" s="25"/>
      <c r="H81" s="25"/>
      <c r="I81" s="25"/>
      <c r="J81" s="26"/>
      <c r="K81" s="27"/>
      <c r="L81" s="37"/>
      <c r="M81" s="37"/>
      <c r="T81" s="2"/>
    </row>
    <row r="82" spans="1:20" s="38" customFormat="1" ht="25.5" customHeight="1" x14ac:dyDescent="0.25">
      <c r="A82" s="336" t="s">
        <v>152</v>
      </c>
      <c r="B82" s="337" t="s">
        <v>153</v>
      </c>
      <c r="C82" s="338" t="s">
        <v>149</v>
      </c>
      <c r="D82" s="17"/>
      <c r="E82" s="25"/>
      <c r="F82" s="25"/>
      <c r="G82" s="25"/>
      <c r="H82" s="25"/>
      <c r="I82" s="25"/>
      <c r="J82" s="26"/>
      <c r="K82" s="27"/>
      <c r="L82" s="37"/>
      <c r="M82" s="37"/>
      <c r="T82" s="2"/>
    </row>
    <row r="83" spans="1:20" s="38" customFormat="1" ht="25.5" customHeight="1" x14ac:dyDescent="0.25">
      <c r="A83" s="336" t="s">
        <v>154</v>
      </c>
      <c r="B83" s="339" t="s">
        <v>155</v>
      </c>
      <c r="C83" s="338" t="s">
        <v>149</v>
      </c>
      <c r="D83" s="17"/>
      <c r="E83" s="25"/>
      <c r="F83" s="25"/>
      <c r="G83" s="332"/>
      <c r="H83" s="25"/>
      <c r="I83" s="25"/>
      <c r="J83" s="26"/>
      <c r="K83" s="27"/>
      <c r="L83" s="42"/>
      <c r="M83" s="37"/>
      <c r="T83" s="2"/>
    </row>
    <row r="84" spans="1:20" s="38" customFormat="1" ht="36" customHeight="1" x14ac:dyDescent="0.25">
      <c r="A84" s="336" t="s">
        <v>156</v>
      </c>
      <c r="B84" s="339" t="s">
        <v>157</v>
      </c>
      <c r="C84" s="338" t="s">
        <v>149</v>
      </c>
      <c r="D84" s="17"/>
      <c r="E84" s="25"/>
      <c r="F84" s="25"/>
      <c r="G84" s="332"/>
      <c r="H84" s="25"/>
      <c r="I84" s="25"/>
      <c r="J84" s="26"/>
      <c r="K84" s="27"/>
      <c r="L84" s="43"/>
      <c r="M84" s="37"/>
      <c r="T84" s="2"/>
    </row>
    <row r="85" spans="1:20" s="38" customFormat="1" ht="25.5" customHeight="1" x14ac:dyDescent="0.25">
      <c r="A85" s="336" t="s">
        <v>158</v>
      </c>
      <c r="B85" s="339" t="s">
        <v>159</v>
      </c>
      <c r="C85" s="338" t="s">
        <v>35</v>
      </c>
      <c r="D85" s="17"/>
      <c r="E85" s="25"/>
      <c r="F85" s="25"/>
      <c r="G85" s="25"/>
      <c r="H85" s="25"/>
      <c r="I85" s="25"/>
      <c r="J85" s="26"/>
      <c r="K85" s="27"/>
      <c r="L85" s="42"/>
      <c r="M85" s="37"/>
      <c r="T85" s="2"/>
    </row>
    <row r="86" spans="1:20" s="38" customFormat="1" ht="25.5" customHeight="1" x14ac:dyDescent="0.25">
      <c r="A86" s="336" t="s">
        <v>160</v>
      </c>
      <c r="B86" s="343" t="s">
        <v>161</v>
      </c>
      <c r="C86" s="338" t="s">
        <v>87</v>
      </c>
      <c r="D86" s="17"/>
      <c r="E86" s="25"/>
      <c r="F86" s="25"/>
      <c r="G86" s="332"/>
      <c r="H86" s="25"/>
      <c r="I86" s="25"/>
      <c r="J86" s="26"/>
      <c r="K86" s="27"/>
      <c r="L86" s="37"/>
      <c r="M86" s="37"/>
      <c r="T86" s="2"/>
    </row>
    <row r="87" spans="1:20" s="38" customFormat="1" ht="25.5" customHeight="1" x14ac:dyDescent="0.25">
      <c r="A87" s="336" t="s">
        <v>162</v>
      </c>
      <c r="B87" s="343" t="s">
        <v>163</v>
      </c>
      <c r="C87" s="338" t="s">
        <v>87</v>
      </c>
      <c r="D87" s="17"/>
      <c r="E87" s="25"/>
      <c r="F87" s="25"/>
      <c r="G87" s="332"/>
      <c r="H87" s="25"/>
      <c r="I87" s="25"/>
      <c r="J87" s="26"/>
      <c r="K87" s="27"/>
      <c r="L87" s="37"/>
      <c r="M87" s="37"/>
      <c r="T87" s="2"/>
    </row>
    <row r="88" spans="1:20" s="38" customFormat="1" ht="25.5" customHeight="1" x14ac:dyDescent="0.25">
      <c r="A88" s="336" t="s">
        <v>164</v>
      </c>
      <c r="B88" s="339" t="s">
        <v>165</v>
      </c>
      <c r="C88" s="338" t="s">
        <v>87</v>
      </c>
      <c r="D88" s="17"/>
      <c r="E88" s="25"/>
      <c r="F88" s="25"/>
      <c r="G88" s="332"/>
      <c r="H88" s="25"/>
      <c r="I88" s="25"/>
      <c r="J88" s="26"/>
      <c r="K88" s="27"/>
      <c r="L88" s="43"/>
      <c r="M88" s="37"/>
      <c r="T88" s="2"/>
    </row>
    <row r="89" spans="1:20" s="38" customFormat="1" ht="25.5" customHeight="1" x14ac:dyDescent="0.25">
      <c r="A89" s="336" t="s">
        <v>166</v>
      </c>
      <c r="B89" s="343" t="s">
        <v>167</v>
      </c>
      <c r="C89" s="338" t="s">
        <v>87</v>
      </c>
      <c r="D89" s="17"/>
      <c r="E89" s="25"/>
      <c r="F89" s="25"/>
      <c r="G89" s="332"/>
      <c r="H89" s="25"/>
      <c r="I89" s="25"/>
      <c r="J89" s="26"/>
      <c r="K89" s="27"/>
      <c r="L89" s="37"/>
      <c r="M89" s="37"/>
      <c r="T89" s="2"/>
    </row>
    <row r="90" spans="1:20" s="38" customFormat="1" ht="25.5" customHeight="1" x14ac:dyDescent="0.25">
      <c r="A90" s="336" t="s">
        <v>168</v>
      </c>
      <c r="B90" s="339" t="s">
        <v>169</v>
      </c>
      <c r="C90" s="338" t="s">
        <v>21</v>
      </c>
      <c r="D90" s="17"/>
      <c r="E90" s="25"/>
      <c r="F90" s="25"/>
      <c r="G90" s="332"/>
      <c r="H90" s="25"/>
      <c r="I90" s="25"/>
      <c r="J90" s="26"/>
      <c r="K90" s="27"/>
      <c r="L90" s="37"/>
      <c r="M90" s="37"/>
      <c r="T90" s="2"/>
    </row>
    <row r="91" spans="1:20" s="38" customFormat="1" ht="25.5" customHeight="1" x14ac:dyDescent="0.25">
      <c r="A91" s="336" t="s">
        <v>170</v>
      </c>
      <c r="B91" s="339" t="s">
        <v>171</v>
      </c>
      <c r="C91" s="338" t="s">
        <v>21</v>
      </c>
      <c r="D91" s="17"/>
      <c r="E91" s="25"/>
      <c r="F91" s="25"/>
      <c r="G91" s="332"/>
      <c r="H91" s="25"/>
      <c r="I91" s="25"/>
      <c r="J91" s="26"/>
      <c r="K91" s="27"/>
      <c r="L91" s="37"/>
      <c r="M91" s="37"/>
      <c r="T91" s="2"/>
    </row>
    <row r="92" spans="1:20" s="38" customFormat="1" ht="25.5" customHeight="1" x14ac:dyDescent="0.25">
      <c r="A92" s="336" t="s">
        <v>172</v>
      </c>
      <c r="B92" s="339" t="s">
        <v>173</v>
      </c>
      <c r="C92" s="338" t="s">
        <v>21</v>
      </c>
      <c r="D92" s="17"/>
      <c r="E92" s="25"/>
      <c r="F92" s="25"/>
      <c r="G92" s="332"/>
      <c r="H92" s="25"/>
      <c r="I92" s="25"/>
      <c r="J92" s="26"/>
      <c r="K92" s="27"/>
      <c r="L92" s="37"/>
      <c r="M92" s="37"/>
      <c r="T92" s="2"/>
    </row>
    <row r="93" spans="1:20" s="38" customFormat="1" ht="25.5" customHeight="1" x14ac:dyDescent="0.25">
      <c r="A93" s="336" t="s">
        <v>174</v>
      </c>
      <c r="B93" s="339" t="s">
        <v>175</v>
      </c>
      <c r="C93" s="338" t="s">
        <v>21</v>
      </c>
      <c r="D93" s="17"/>
      <c r="E93" s="25"/>
      <c r="F93" s="25"/>
      <c r="G93" s="332"/>
      <c r="H93" s="25"/>
      <c r="I93" s="25"/>
      <c r="J93" s="26"/>
      <c r="K93" s="27"/>
      <c r="L93" s="37"/>
      <c r="M93" s="37"/>
      <c r="T93" s="2"/>
    </row>
    <row r="94" spans="1:20" s="38" customFormat="1" ht="25.5" customHeight="1" x14ac:dyDescent="0.25">
      <c r="A94" s="336" t="s">
        <v>176</v>
      </c>
      <c r="B94" s="339" t="s">
        <v>177</v>
      </c>
      <c r="C94" s="338" t="s">
        <v>21</v>
      </c>
      <c r="D94" s="17"/>
      <c r="E94" s="25"/>
      <c r="F94" s="25"/>
      <c r="G94" s="332"/>
      <c r="H94" s="25"/>
      <c r="I94" s="25"/>
      <c r="J94" s="26"/>
      <c r="K94" s="27"/>
      <c r="L94" s="37"/>
      <c r="M94" s="37"/>
      <c r="T94" s="2"/>
    </row>
    <row r="95" spans="1:20" s="38" customFormat="1" ht="25.5" customHeight="1" x14ac:dyDescent="0.25">
      <c r="A95" s="336" t="s">
        <v>178</v>
      </c>
      <c r="B95" s="343" t="s">
        <v>179</v>
      </c>
      <c r="C95" s="338" t="s">
        <v>21</v>
      </c>
      <c r="D95" s="17"/>
      <c r="E95" s="25"/>
      <c r="F95" s="25"/>
      <c r="G95" s="332"/>
      <c r="H95" s="25"/>
      <c r="I95" s="25"/>
      <c r="J95" s="26"/>
      <c r="K95" s="27"/>
      <c r="L95" s="37"/>
      <c r="M95" s="37"/>
      <c r="T95" s="2"/>
    </row>
    <row r="96" spans="1:20" s="38" customFormat="1" ht="25.5" customHeight="1" x14ac:dyDescent="0.25">
      <c r="A96" s="336" t="s">
        <v>180</v>
      </c>
      <c r="B96" s="344" t="s">
        <v>181</v>
      </c>
      <c r="C96" s="340" t="s">
        <v>182</v>
      </c>
      <c r="D96" s="17"/>
      <c r="E96" s="25"/>
      <c r="F96" s="25"/>
      <c r="G96" s="332"/>
      <c r="H96" s="25"/>
      <c r="I96" s="25"/>
      <c r="J96" s="26"/>
      <c r="K96" s="27"/>
      <c r="L96" s="37"/>
      <c r="M96" s="37"/>
      <c r="T96" s="2"/>
    </row>
    <row r="97" spans="1:36" s="38" customFormat="1" ht="25.5" customHeight="1" x14ac:dyDescent="0.25">
      <c r="A97" s="336" t="s">
        <v>183</v>
      </c>
      <c r="B97" s="344" t="s">
        <v>184</v>
      </c>
      <c r="C97" s="340" t="s">
        <v>182</v>
      </c>
      <c r="D97" s="17"/>
      <c r="E97" s="25"/>
      <c r="F97" s="25"/>
      <c r="G97" s="332"/>
      <c r="H97" s="25"/>
      <c r="I97" s="25"/>
      <c r="J97" s="26"/>
      <c r="K97" s="27"/>
      <c r="L97" s="37"/>
      <c r="M97" s="37"/>
      <c r="T97" s="2"/>
    </row>
    <row r="98" spans="1:36" s="38" customFormat="1" ht="25.5" customHeight="1" x14ac:dyDescent="0.25">
      <c r="A98" s="336" t="s">
        <v>185</v>
      </c>
      <c r="B98" s="345" t="s">
        <v>186</v>
      </c>
      <c r="C98" s="340" t="s">
        <v>182</v>
      </c>
      <c r="D98" s="17"/>
      <c r="E98" s="25"/>
      <c r="F98" s="25"/>
      <c r="G98" s="25"/>
      <c r="H98" s="25"/>
      <c r="I98" s="25"/>
      <c r="J98" s="26"/>
      <c r="K98" s="27"/>
      <c r="L98" s="37"/>
      <c r="M98" s="37"/>
      <c r="T98" s="2"/>
    </row>
    <row r="99" spans="1:36" s="38" customFormat="1" ht="25.5" customHeight="1" x14ac:dyDescent="0.25">
      <c r="A99" s="336" t="s">
        <v>187</v>
      </c>
      <c r="B99" s="339" t="s">
        <v>188</v>
      </c>
      <c r="C99" s="340" t="s">
        <v>182</v>
      </c>
      <c r="D99" s="17"/>
      <c r="E99" s="25"/>
      <c r="F99" s="25"/>
      <c r="G99" s="332"/>
      <c r="H99" s="25"/>
      <c r="I99" s="25"/>
      <c r="J99" s="26"/>
      <c r="K99" s="27"/>
      <c r="L99" s="37"/>
      <c r="M99" s="37"/>
      <c r="T99" s="2"/>
    </row>
    <row r="100" spans="1:36" s="38" customFormat="1" ht="25.5" customHeight="1" x14ac:dyDescent="0.25">
      <c r="A100" s="336" t="s">
        <v>189</v>
      </c>
      <c r="B100" s="339" t="s">
        <v>190</v>
      </c>
      <c r="C100" s="340" t="s">
        <v>21</v>
      </c>
      <c r="D100" s="17"/>
      <c r="E100" s="25"/>
      <c r="F100" s="25"/>
      <c r="G100" s="332"/>
      <c r="H100" s="25"/>
      <c r="I100" s="25"/>
      <c r="J100" s="26"/>
      <c r="K100" s="27"/>
      <c r="L100" s="37"/>
      <c r="M100" s="37"/>
      <c r="T100" s="2"/>
    </row>
    <row r="101" spans="1:36" s="38" customFormat="1" ht="25.5" customHeight="1" x14ac:dyDescent="0.25">
      <c r="A101" s="336" t="s">
        <v>191</v>
      </c>
      <c r="B101" s="345" t="s">
        <v>192</v>
      </c>
      <c r="C101" s="340" t="s">
        <v>21</v>
      </c>
      <c r="D101" s="17"/>
      <c r="E101" s="25"/>
      <c r="F101" s="25"/>
      <c r="G101" s="332"/>
      <c r="H101" s="25"/>
      <c r="I101" s="25"/>
      <c r="J101" s="26"/>
      <c r="K101" s="27"/>
      <c r="L101" s="47"/>
      <c r="M101" s="37"/>
      <c r="T101" s="2"/>
    </row>
    <row r="102" spans="1:36" s="38" customFormat="1" ht="25.5" customHeight="1" x14ac:dyDescent="0.25">
      <c r="A102" s="336" t="s">
        <v>193</v>
      </c>
      <c r="B102" s="345" t="s">
        <v>194</v>
      </c>
      <c r="C102" s="340" t="s">
        <v>21</v>
      </c>
      <c r="D102" s="17"/>
      <c r="E102" s="25"/>
      <c r="F102" s="25"/>
      <c r="G102" s="332"/>
      <c r="H102" s="25"/>
      <c r="I102" s="25"/>
      <c r="J102" s="26"/>
      <c r="K102" s="27"/>
      <c r="L102" s="37"/>
      <c r="M102" s="37"/>
      <c r="T102" s="2"/>
    </row>
    <row r="103" spans="1:36" s="38" customFormat="1" ht="25.5" customHeight="1" x14ac:dyDescent="0.25">
      <c r="A103" s="336" t="s">
        <v>195</v>
      </c>
      <c r="B103" s="345" t="s">
        <v>196</v>
      </c>
      <c r="C103" s="340" t="s">
        <v>21</v>
      </c>
      <c r="D103" s="17"/>
      <c r="E103" s="25"/>
      <c r="F103" s="25"/>
      <c r="G103" s="332"/>
      <c r="H103" s="25"/>
      <c r="I103" s="25"/>
      <c r="J103" s="26"/>
      <c r="K103" s="27"/>
      <c r="L103" s="37"/>
      <c r="M103" s="37"/>
      <c r="T103" s="2"/>
    </row>
    <row r="104" spans="1:36" s="38" customFormat="1" ht="25.5" customHeight="1" x14ac:dyDescent="0.25">
      <c r="A104" s="336" t="s">
        <v>197</v>
      </c>
      <c r="B104" s="339" t="s">
        <v>198</v>
      </c>
      <c r="C104" s="340" t="s">
        <v>21</v>
      </c>
      <c r="D104" s="17"/>
      <c r="E104" s="25"/>
      <c r="F104" s="25"/>
      <c r="G104" s="25"/>
      <c r="H104" s="25"/>
      <c r="I104" s="25"/>
      <c r="J104" s="26"/>
      <c r="K104" s="27"/>
      <c r="L104" s="37"/>
      <c r="M104" s="37"/>
      <c r="T104" s="2"/>
    </row>
    <row r="105" spans="1:36" s="38" customFormat="1" ht="25.5" customHeight="1" x14ac:dyDescent="0.25">
      <c r="A105" s="336" t="s">
        <v>199</v>
      </c>
      <c r="B105" s="339" t="s">
        <v>200</v>
      </c>
      <c r="C105" s="340" t="s">
        <v>182</v>
      </c>
      <c r="D105" s="17"/>
      <c r="E105" s="25"/>
      <c r="F105" s="25"/>
      <c r="G105" s="332"/>
      <c r="H105" s="25"/>
      <c r="I105" s="25"/>
      <c r="J105" s="26"/>
      <c r="K105" s="27"/>
      <c r="L105" s="37"/>
      <c r="M105" s="37"/>
      <c r="T105" s="2"/>
    </row>
    <row r="106" spans="1:36" s="38" customFormat="1" ht="30.75" customHeight="1" x14ac:dyDescent="0.25">
      <c r="A106" s="336" t="s">
        <v>201</v>
      </c>
      <c r="B106" s="339" t="s">
        <v>202</v>
      </c>
      <c r="C106" s="340" t="s">
        <v>203</v>
      </c>
      <c r="D106" s="17"/>
      <c r="E106" s="25"/>
      <c r="F106" s="25"/>
      <c r="G106" s="332"/>
      <c r="H106" s="25"/>
      <c r="I106" s="25"/>
      <c r="J106" s="26"/>
      <c r="K106" s="27"/>
      <c r="L106" s="37"/>
      <c r="M106" s="37"/>
      <c r="T106" s="2"/>
    </row>
    <row r="107" spans="1:36" s="38" customFormat="1" ht="25.5" customHeight="1" x14ac:dyDescent="0.25">
      <c r="A107" s="336" t="s">
        <v>204</v>
      </c>
      <c r="B107" s="344" t="s">
        <v>205</v>
      </c>
      <c r="C107" s="340" t="s">
        <v>21</v>
      </c>
      <c r="D107" s="17"/>
      <c r="E107" s="25"/>
      <c r="F107" s="25"/>
      <c r="G107" s="332"/>
      <c r="H107" s="25"/>
      <c r="I107" s="25"/>
      <c r="J107" s="26"/>
      <c r="K107" s="27"/>
      <c r="L107" s="37"/>
      <c r="M107" s="37"/>
      <c r="T107" s="2"/>
    </row>
    <row r="108" spans="1:36" s="38" customFormat="1" ht="25.5" customHeight="1" x14ac:dyDescent="0.25">
      <c r="A108" s="336" t="s">
        <v>206</v>
      </c>
      <c r="B108" s="344" t="s">
        <v>207</v>
      </c>
      <c r="C108" s="340" t="s">
        <v>182</v>
      </c>
      <c r="D108" s="17"/>
      <c r="E108" s="25"/>
      <c r="F108" s="25"/>
      <c r="G108" s="332"/>
      <c r="H108" s="25"/>
      <c r="I108" s="25"/>
      <c r="J108" s="26"/>
      <c r="K108" s="27"/>
      <c r="L108" s="37"/>
      <c r="M108" s="37"/>
      <c r="T108" s="2"/>
    </row>
    <row r="109" spans="1:36" s="38" customFormat="1" ht="25.5" customHeight="1" x14ac:dyDescent="0.25">
      <c r="A109" s="336" t="s">
        <v>208</v>
      </c>
      <c r="B109" s="344" t="s">
        <v>209</v>
      </c>
      <c r="C109" s="340" t="s">
        <v>182</v>
      </c>
      <c r="D109" s="17"/>
      <c r="E109" s="25"/>
      <c r="F109" s="25"/>
      <c r="G109" s="25"/>
      <c r="H109" s="25"/>
      <c r="I109" s="25"/>
      <c r="J109" s="26"/>
      <c r="K109" s="27"/>
      <c r="L109" s="37"/>
      <c r="M109" s="37"/>
      <c r="T109" s="2"/>
      <c r="AJ109" s="48"/>
    </row>
    <row r="110" spans="1:36" s="38" customFormat="1" ht="25.5" customHeight="1" x14ac:dyDescent="0.25">
      <c r="A110" s="336" t="s">
        <v>210</v>
      </c>
      <c r="B110" s="343" t="s">
        <v>211</v>
      </c>
      <c r="C110" s="340" t="s">
        <v>182</v>
      </c>
      <c r="D110" s="17"/>
      <c r="E110" s="25"/>
      <c r="F110" s="25"/>
      <c r="G110" s="332"/>
      <c r="H110" s="25"/>
      <c r="I110" s="25"/>
      <c r="J110" s="26"/>
      <c r="K110" s="27"/>
      <c r="L110" s="37"/>
      <c r="M110" s="37"/>
      <c r="T110" s="2"/>
    </row>
    <row r="111" spans="1:36" s="38" customFormat="1" ht="25.5" customHeight="1" x14ac:dyDescent="0.25">
      <c r="A111" s="336" t="s">
        <v>212</v>
      </c>
      <c r="B111" s="343" t="s">
        <v>213</v>
      </c>
      <c r="C111" s="340" t="s">
        <v>21</v>
      </c>
      <c r="D111" s="17"/>
      <c r="E111" s="25"/>
      <c r="F111" s="25"/>
      <c r="G111" s="332"/>
      <c r="H111" s="25"/>
      <c r="I111" s="25"/>
      <c r="J111" s="26"/>
      <c r="K111" s="27"/>
      <c r="L111" s="37"/>
      <c r="M111" s="37"/>
      <c r="T111" s="2"/>
    </row>
    <row r="112" spans="1:36" s="38" customFormat="1" ht="25.5" customHeight="1" x14ac:dyDescent="0.25">
      <c r="A112" s="336" t="s">
        <v>214</v>
      </c>
      <c r="B112" s="339" t="s">
        <v>215</v>
      </c>
      <c r="C112" s="340" t="s">
        <v>21</v>
      </c>
      <c r="D112" s="17"/>
      <c r="E112" s="25"/>
      <c r="F112" s="25"/>
      <c r="G112" s="332"/>
      <c r="H112" s="25"/>
      <c r="I112" s="25"/>
      <c r="J112" s="26"/>
      <c r="K112" s="27"/>
      <c r="L112" s="37"/>
      <c r="M112" s="37"/>
      <c r="T112" s="2"/>
    </row>
    <row r="113" spans="1:20" s="38" customFormat="1" ht="25.5" customHeight="1" x14ac:dyDescent="0.25">
      <c r="A113" s="336" t="s">
        <v>216</v>
      </c>
      <c r="B113" s="337" t="s">
        <v>217</v>
      </c>
      <c r="C113" s="340" t="s">
        <v>21</v>
      </c>
      <c r="D113" s="17"/>
      <c r="E113" s="25"/>
      <c r="F113" s="25"/>
      <c r="G113" s="332"/>
      <c r="H113" s="25"/>
      <c r="I113" s="25"/>
      <c r="J113" s="26"/>
      <c r="K113" s="27"/>
      <c r="L113" s="37"/>
      <c r="M113" s="37"/>
      <c r="T113" s="2"/>
    </row>
    <row r="114" spans="1:20" s="38" customFormat="1" ht="25.5" customHeight="1" x14ac:dyDescent="0.25">
      <c r="A114" s="336" t="s">
        <v>218</v>
      </c>
      <c r="B114" s="337" t="s">
        <v>219</v>
      </c>
      <c r="C114" s="340" t="s">
        <v>220</v>
      </c>
      <c r="D114" s="17"/>
      <c r="E114" s="25"/>
      <c r="F114" s="25"/>
      <c r="G114" s="332"/>
      <c r="H114" s="25"/>
      <c r="I114" s="25"/>
      <c r="J114" s="26"/>
      <c r="K114" s="27"/>
      <c r="L114" s="37"/>
      <c r="M114" s="37"/>
      <c r="T114" s="2"/>
    </row>
    <row r="115" spans="1:20" s="38" customFormat="1" ht="25.5" customHeight="1" x14ac:dyDescent="0.25">
      <c r="A115" s="336" t="s">
        <v>221</v>
      </c>
      <c r="B115" s="339" t="s">
        <v>222</v>
      </c>
      <c r="C115" s="340" t="s">
        <v>220</v>
      </c>
      <c r="D115" s="17"/>
      <c r="E115" s="25"/>
      <c r="F115" s="25"/>
      <c r="G115" s="332"/>
      <c r="H115" s="25"/>
      <c r="I115" s="25"/>
      <c r="J115" s="26"/>
      <c r="K115" s="27"/>
      <c r="L115" s="37"/>
      <c r="M115" s="37"/>
      <c r="T115" s="2"/>
    </row>
    <row r="116" spans="1:20" s="38" customFormat="1" ht="25.5" customHeight="1" x14ac:dyDescent="0.25">
      <c r="A116" s="336" t="s">
        <v>223</v>
      </c>
      <c r="B116" s="339" t="s">
        <v>224</v>
      </c>
      <c r="C116" s="340" t="s">
        <v>220</v>
      </c>
      <c r="D116" s="17"/>
      <c r="E116" s="25"/>
      <c r="F116" s="25"/>
      <c r="G116" s="332"/>
      <c r="H116" s="25"/>
      <c r="I116" s="25"/>
      <c r="J116" s="26"/>
      <c r="K116" s="27"/>
      <c r="L116" s="37"/>
      <c r="M116" s="37"/>
      <c r="T116" s="2"/>
    </row>
    <row r="117" spans="1:20" s="38" customFormat="1" ht="25.5" customHeight="1" x14ac:dyDescent="0.25">
      <c r="A117" s="336" t="s">
        <v>225</v>
      </c>
      <c r="B117" s="339" t="s">
        <v>226</v>
      </c>
      <c r="C117" s="340" t="s">
        <v>227</v>
      </c>
      <c r="D117" s="17"/>
      <c r="E117" s="25"/>
      <c r="F117" s="25"/>
      <c r="G117" s="332"/>
      <c r="H117" s="25"/>
      <c r="I117" s="25"/>
      <c r="J117" s="26"/>
      <c r="K117" s="27"/>
      <c r="L117" s="37"/>
      <c r="M117" s="37"/>
      <c r="T117" s="2"/>
    </row>
    <row r="118" spans="1:20" s="38" customFormat="1" ht="25.5" customHeight="1" x14ac:dyDescent="0.25">
      <c r="A118" s="336" t="s">
        <v>228</v>
      </c>
      <c r="B118" s="339" t="s">
        <v>229</v>
      </c>
      <c r="C118" s="340" t="s">
        <v>227</v>
      </c>
      <c r="D118" s="17"/>
      <c r="E118" s="25"/>
      <c r="F118" s="25"/>
      <c r="G118" s="25"/>
      <c r="H118" s="25"/>
      <c r="I118" s="25"/>
      <c r="J118" s="26"/>
      <c r="K118" s="27"/>
      <c r="L118" s="37"/>
      <c r="M118" s="37"/>
      <c r="T118" s="2"/>
    </row>
    <row r="119" spans="1:20" s="38" customFormat="1" ht="25.5" customHeight="1" x14ac:dyDescent="0.25">
      <c r="A119" s="336" t="s">
        <v>230</v>
      </c>
      <c r="B119" s="339" t="s">
        <v>231</v>
      </c>
      <c r="C119" s="340" t="s">
        <v>227</v>
      </c>
      <c r="D119" s="17"/>
      <c r="E119" s="25"/>
      <c r="F119" s="25"/>
      <c r="G119" s="25"/>
      <c r="H119" s="25"/>
      <c r="I119" s="25"/>
      <c r="J119" s="26"/>
      <c r="K119" s="27"/>
      <c r="L119" s="37"/>
      <c r="M119" s="37"/>
      <c r="T119" s="2"/>
    </row>
    <row r="120" spans="1:20" s="38" customFormat="1" ht="25.5" customHeight="1" x14ac:dyDescent="0.25">
      <c r="A120" s="336" t="s">
        <v>232</v>
      </c>
      <c r="B120" s="339" t="s">
        <v>233</v>
      </c>
      <c r="C120" s="340" t="s">
        <v>35</v>
      </c>
      <c r="D120" s="17"/>
      <c r="E120" s="25"/>
      <c r="F120" s="25"/>
      <c r="G120" s="332"/>
      <c r="H120" s="25"/>
      <c r="I120" s="25"/>
      <c r="J120" s="26"/>
      <c r="K120" s="27"/>
      <c r="L120" s="37"/>
      <c r="M120" s="37"/>
      <c r="T120" s="2"/>
    </row>
    <row r="121" spans="1:20" s="38" customFormat="1" ht="25.5" customHeight="1" x14ac:dyDescent="0.25">
      <c r="A121" s="336" t="s">
        <v>234</v>
      </c>
      <c r="B121" s="346" t="s">
        <v>235</v>
      </c>
      <c r="C121" s="340" t="s">
        <v>35</v>
      </c>
      <c r="D121" s="17"/>
      <c r="E121" s="25"/>
      <c r="F121" s="25"/>
      <c r="G121" s="332"/>
      <c r="H121" s="25"/>
      <c r="I121" s="25"/>
      <c r="J121" s="26"/>
      <c r="K121" s="27"/>
      <c r="L121" s="37"/>
      <c r="M121" s="37"/>
      <c r="T121" s="2"/>
    </row>
    <row r="122" spans="1:20" s="38" customFormat="1" ht="25.5" customHeight="1" x14ac:dyDescent="0.25">
      <c r="A122" s="336" t="s">
        <v>236</v>
      </c>
      <c r="B122" s="339" t="s">
        <v>237</v>
      </c>
      <c r="C122" s="340" t="s">
        <v>35</v>
      </c>
      <c r="D122" s="17"/>
      <c r="E122" s="25"/>
      <c r="F122" s="25"/>
      <c r="G122" s="332"/>
      <c r="H122" s="25"/>
      <c r="I122" s="25"/>
      <c r="J122" s="26"/>
      <c r="K122" s="27"/>
      <c r="L122" s="37"/>
      <c r="M122" s="37"/>
      <c r="T122" s="2"/>
    </row>
    <row r="123" spans="1:20" s="38" customFormat="1" ht="25.5" customHeight="1" x14ac:dyDescent="0.25">
      <c r="A123" s="336" t="s">
        <v>238</v>
      </c>
      <c r="B123" s="339" t="s">
        <v>239</v>
      </c>
      <c r="C123" s="340" t="s">
        <v>87</v>
      </c>
      <c r="D123" s="17"/>
      <c r="E123" s="25"/>
      <c r="F123" s="25"/>
      <c r="G123" s="332"/>
      <c r="H123" s="25"/>
      <c r="I123" s="25"/>
      <c r="J123" s="26"/>
      <c r="K123" s="27"/>
      <c r="L123" s="37"/>
      <c r="M123" s="37"/>
      <c r="T123" s="2"/>
    </row>
    <row r="124" spans="1:20" s="38" customFormat="1" ht="25.5" customHeight="1" x14ac:dyDescent="0.25">
      <c r="A124" s="336" t="s">
        <v>240</v>
      </c>
      <c r="B124" s="339" t="s">
        <v>241</v>
      </c>
      <c r="C124" s="340" t="s">
        <v>242</v>
      </c>
      <c r="D124" s="17"/>
      <c r="E124" s="25"/>
      <c r="F124" s="25"/>
      <c r="G124" s="332"/>
      <c r="H124" s="25"/>
      <c r="I124" s="25"/>
      <c r="J124" s="26"/>
      <c r="K124" s="27"/>
      <c r="L124" s="37"/>
      <c r="M124" s="37"/>
      <c r="T124" s="2"/>
    </row>
    <row r="125" spans="1:20" s="38" customFormat="1" ht="25.5" customHeight="1" x14ac:dyDescent="0.25">
      <c r="A125" s="336" t="s">
        <v>243</v>
      </c>
      <c r="B125" s="347" t="s">
        <v>244</v>
      </c>
      <c r="C125" s="338" t="s">
        <v>227</v>
      </c>
      <c r="D125" s="17"/>
      <c r="E125" s="25"/>
      <c r="F125" s="25"/>
      <c r="G125" s="332"/>
      <c r="H125" s="25"/>
      <c r="I125" s="25"/>
      <c r="J125" s="26"/>
      <c r="K125" s="27"/>
      <c r="L125" s="37"/>
      <c r="M125" s="37"/>
      <c r="T125" s="2"/>
    </row>
    <row r="126" spans="1:20" s="38" customFormat="1" ht="25.5" customHeight="1" x14ac:dyDescent="0.25">
      <c r="A126" s="336" t="s">
        <v>245</v>
      </c>
      <c r="B126" s="347" t="s">
        <v>246</v>
      </c>
      <c r="C126" s="338" t="s">
        <v>227</v>
      </c>
      <c r="D126" s="17"/>
      <c r="E126" s="25"/>
      <c r="F126" s="25"/>
      <c r="G126" s="25"/>
      <c r="H126" s="25"/>
      <c r="I126" s="25"/>
      <c r="J126" s="26"/>
      <c r="K126" s="27"/>
      <c r="L126" s="37"/>
      <c r="M126" s="37"/>
      <c r="T126" s="2"/>
    </row>
    <row r="127" spans="1:20" s="38" customFormat="1" ht="25.5" customHeight="1" x14ac:dyDescent="0.25">
      <c r="A127" s="336" t="s">
        <v>247</v>
      </c>
      <c r="B127" s="347" t="s">
        <v>248</v>
      </c>
      <c r="C127" s="338" t="s">
        <v>220</v>
      </c>
      <c r="D127" s="17"/>
      <c r="E127" s="25"/>
      <c r="F127" s="25"/>
      <c r="G127" s="332"/>
      <c r="H127" s="25"/>
      <c r="I127" s="25"/>
      <c r="J127" s="26"/>
      <c r="K127" s="27"/>
      <c r="L127" s="37"/>
      <c r="M127" s="37"/>
      <c r="T127" s="2"/>
    </row>
    <row r="128" spans="1:20" s="38" customFormat="1" ht="25.5" customHeight="1" x14ac:dyDescent="0.25">
      <c r="A128" s="342" t="s">
        <v>249</v>
      </c>
      <c r="B128" s="337" t="s">
        <v>250</v>
      </c>
      <c r="C128" s="338" t="s">
        <v>227</v>
      </c>
      <c r="D128" s="17"/>
      <c r="E128" s="25"/>
      <c r="F128" s="25"/>
      <c r="G128" s="332"/>
      <c r="H128" s="25"/>
      <c r="I128" s="25"/>
      <c r="J128" s="26"/>
      <c r="K128" s="27"/>
      <c r="L128" s="37"/>
      <c r="M128" s="37"/>
      <c r="T128" s="2"/>
    </row>
    <row r="129" spans="1:20" s="38" customFormat="1" ht="25.5" customHeight="1" x14ac:dyDescent="0.25">
      <c r="A129" s="342" t="s">
        <v>251</v>
      </c>
      <c r="B129" s="337" t="s">
        <v>252</v>
      </c>
      <c r="C129" s="338" t="s">
        <v>87</v>
      </c>
      <c r="D129" s="17"/>
      <c r="E129" s="25"/>
      <c r="F129" s="25"/>
      <c r="G129" s="332"/>
      <c r="H129" s="25"/>
      <c r="I129" s="25"/>
      <c r="J129" s="26"/>
      <c r="K129" s="27"/>
      <c r="L129" s="37"/>
      <c r="M129" s="37"/>
      <c r="T129" s="2"/>
    </row>
    <row r="130" spans="1:20" s="38" customFormat="1" ht="25.5" customHeight="1" x14ac:dyDescent="0.25">
      <c r="A130" s="342" t="s">
        <v>253</v>
      </c>
      <c r="B130" s="337" t="s">
        <v>254</v>
      </c>
      <c r="C130" s="338" t="s">
        <v>87</v>
      </c>
      <c r="D130" s="17"/>
      <c r="E130" s="25"/>
      <c r="F130" s="25"/>
      <c r="G130" s="332"/>
      <c r="H130" s="25"/>
      <c r="I130" s="25"/>
      <c r="J130" s="26"/>
      <c r="K130" s="27"/>
      <c r="L130" s="37"/>
      <c r="M130" s="37"/>
      <c r="T130" s="2"/>
    </row>
    <row r="131" spans="1:20" s="38" customFormat="1" ht="25.5" customHeight="1" x14ac:dyDescent="0.25">
      <c r="A131" s="336" t="s">
        <v>255</v>
      </c>
      <c r="B131" s="339" t="s">
        <v>256</v>
      </c>
      <c r="C131" s="338" t="s">
        <v>21</v>
      </c>
      <c r="D131" s="17"/>
      <c r="E131" s="25"/>
      <c r="F131" s="25"/>
      <c r="G131" s="332"/>
      <c r="H131" s="25"/>
      <c r="I131" s="25"/>
      <c r="J131" s="26"/>
      <c r="K131" s="27"/>
      <c r="L131" s="37"/>
      <c r="M131" s="37"/>
      <c r="T131" s="2"/>
    </row>
    <row r="132" spans="1:20" s="38" customFormat="1" ht="25.5" customHeight="1" x14ac:dyDescent="0.25">
      <c r="A132" s="348" t="s">
        <v>257</v>
      </c>
      <c r="B132" s="339" t="s">
        <v>258</v>
      </c>
      <c r="C132" s="349" t="s">
        <v>87</v>
      </c>
      <c r="D132" s="17"/>
      <c r="E132" s="25"/>
      <c r="F132" s="25"/>
      <c r="G132" s="332"/>
      <c r="H132" s="25"/>
      <c r="I132" s="25"/>
      <c r="J132" s="26"/>
      <c r="K132" s="27"/>
      <c r="L132" s="37"/>
      <c r="M132" s="37"/>
      <c r="T132" s="2"/>
    </row>
    <row r="133" spans="1:20" s="38" customFormat="1" ht="25.5" customHeight="1" x14ac:dyDescent="0.25">
      <c r="A133" s="336" t="s">
        <v>259</v>
      </c>
      <c r="B133" s="339" t="s">
        <v>260</v>
      </c>
      <c r="C133" s="340" t="s">
        <v>87</v>
      </c>
      <c r="D133" s="17"/>
      <c r="E133" s="25"/>
      <c r="F133" s="25"/>
      <c r="G133" s="332"/>
      <c r="H133" s="25"/>
      <c r="I133" s="25"/>
      <c r="J133" s="26"/>
      <c r="K133" s="27"/>
      <c r="L133" s="37"/>
      <c r="M133" s="37"/>
      <c r="T133" s="2"/>
    </row>
    <row r="134" spans="1:20" s="38" customFormat="1" ht="25.5" customHeight="1" x14ac:dyDescent="0.25">
      <c r="A134" s="336" t="s">
        <v>261</v>
      </c>
      <c r="B134" s="339" t="s">
        <v>262</v>
      </c>
      <c r="C134" s="340" t="s">
        <v>227</v>
      </c>
      <c r="D134" s="17"/>
      <c r="E134" s="25"/>
      <c r="F134" s="25"/>
      <c r="G134" s="332"/>
      <c r="H134" s="25"/>
      <c r="I134" s="25"/>
      <c r="J134" s="26"/>
      <c r="K134" s="27"/>
      <c r="L134" s="37"/>
      <c r="M134" s="37"/>
      <c r="T134" s="2"/>
    </row>
    <row r="135" spans="1:20" s="38" customFormat="1" ht="25.5" customHeight="1" x14ac:dyDescent="0.25">
      <c r="A135" s="336" t="s">
        <v>263</v>
      </c>
      <c r="B135" s="350" t="s">
        <v>264</v>
      </c>
      <c r="C135" s="351" t="s">
        <v>227</v>
      </c>
      <c r="D135" s="17"/>
      <c r="E135" s="25"/>
      <c r="F135" s="25"/>
      <c r="G135" s="332"/>
      <c r="H135" s="25"/>
      <c r="I135" s="25"/>
      <c r="J135" s="26"/>
      <c r="K135" s="27"/>
      <c r="L135" s="37"/>
      <c r="M135" s="37"/>
      <c r="T135" s="2"/>
    </row>
    <row r="136" spans="1:20" s="38" customFormat="1" ht="25.5" customHeight="1" x14ac:dyDescent="0.25">
      <c r="A136" s="336" t="s">
        <v>265</v>
      </c>
      <c r="B136" s="350" t="s">
        <v>266</v>
      </c>
      <c r="C136" s="351" t="s">
        <v>21</v>
      </c>
      <c r="D136" s="17"/>
      <c r="E136" s="25"/>
      <c r="F136" s="25"/>
      <c r="G136" s="332"/>
      <c r="H136" s="25"/>
      <c r="I136" s="25"/>
      <c r="J136" s="26"/>
      <c r="K136" s="27"/>
      <c r="L136" s="37"/>
      <c r="M136" s="37"/>
      <c r="T136" s="2"/>
    </row>
    <row r="137" spans="1:20" s="38" customFormat="1" ht="25.5" customHeight="1" x14ac:dyDescent="0.25">
      <c r="A137" s="336" t="s">
        <v>267</v>
      </c>
      <c r="B137" s="339" t="s">
        <v>268</v>
      </c>
      <c r="C137" s="351" t="s">
        <v>21</v>
      </c>
      <c r="D137" s="17"/>
      <c r="E137" s="25"/>
      <c r="F137" s="25"/>
      <c r="G137" s="332"/>
      <c r="H137" s="25"/>
      <c r="I137" s="25"/>
      <c r="J137" s="26"/>
      <c r="K137" s="27"/>
      <c r="L137" s="37"/>
      <c r="M137" s="37"/>
      <c r="T137" s="2"/>
    </row>
    <row r="138" spans="1:20" s="38" customFormat="1" ht="25.5" customHeight="1" x14ac:dyDescent="0.25">
      <c r="A138" s="336" t="s">
        <v>269</v>
      </c>
      <c r="B138" s="339" t="s">
        <v>270</v>
      </c>
      <c r="C138" s="351" t="s">
        <v>21</v>
      </c>
      <c r="D138" s="17"/>
      <c r="E138" s="25"/>
      <c r="F138" s="25"/>
      <c r="G138" s="332"/>
      <c r="H138" s="25"/>
      <c r="I138" s="25"/>
      <c r="J138" s="26"/>
      <c r="K138" s="27"/>
      <c r="L138" s="37"/>
      <c r="M138" s="37"/>
      <c r="T138" s="2"/>
    </row>
    <row r="139" spans="1:20" s="38" customFormat="1" ht="25.5" customHeight="1" x14ac:dyDescent="0.25">
      <c r="A139" s="336" t="s">
        <v>271</v>
      </c>
      <c r="B139" s="339" t="s">
        <v>272</v>
      </c>
      <c r="C139" s="351" t="s">
        <v>21</v>
      </c>
      <c r="D139" s="17"/>
      <c r="E139" s="25"/>
      <c r="F139" s="25"/>
      <c r="G139" s="332"/>
      <c r="H139" s="25"/>
      <c r="I139" s="25"/>
      <c r="J139" s="26"/>
      <c r="K139" s="27"/>
      <c r="L139" s="37"/>
      <c r="M139" s="37"/>
      <c r="T139" s="2"/>
    </row>
    <row r="140" spans="1:20" s="38" customFormat="1" ht="25.5" customHeight="1" x14ac:dyDescent="0.25">
      <c r="A140" s="336" t="s">
        <v>273</v>
      </c>
      <c r="B140" s="339" t="s">
        <v>274</v>
      </c>
      <c r="C140" s="351" t="s">
        <v>21</v>
      </c>
      <c r="D140" s="17"/>
      <c r="E140" s="25"/>
      <c r="F140" s="25"/>
      <c r="G140" s="332"/>
      <c r="H140" s="25"/>
      <c r="I140" s="25"/>
      <c r="J140" s="26"/>
      <c r="K140" s="27"/>
      <c r="L140" s="37"/>
      <c r="M140" s="37"/>
      <c r="T140" s="2"/>
    </row>
    <row r="141" spans="1:20" s="38" customFormat="1" ht="25.5" customHeight="1" x14ac:dyDescent="0.25">
      <c r="A141" s="336" t="s">
        <v>275</v>
      </c>
      <c r="B141" s="337" t="s">
        <v>276</v>
      </c>
      <c r="C141" s="351" t="s">
        <v>220</v>
      </c>
      <c r="D141" s="17"/>
      <c r="E141" s="25"/>
      <c r="F141" s="25"/>
      <c r="G141" s="332"/>
      <c r="H141" s="25"/>
      <c r="I141" s="25"/>
      <c r="J141" s="26"/>
      <c r="K141" s="27"/>
      <c r="L141" s="37"/>
      <c r="M141" s="37"/>
      <c r="T141" s="2"/>
    </row>
    <row r="142" spans="1:20" s="38" customFormat="1" ht="25.5" customHeight="1" x14ac:dyDescent="0.25">
      <c r="A142" s="336" t="s">
        <v>277</v>
      </c>
      <c r="B142" s="341" t="s">
        <v>278</v>
      </c>
      <c r="C142" s="351" t="s">
        <v>203</v>
      </c>
      <c r="D142" s="17"/>
      <c r="E142" s="25"/>
      <c r="F142" s="25"/>
      <c r="G142" s="332"/>
      <c r="H142" s="25"/>
      <c r="I142" s="25"/>
      <c r="J142" s="26"/>
      <c r="K142" s="27"/>
      <c r="L142" s="37"/>
      <c r="M142" s="37"/>
      <c r="T142" s="2"/>
    </row>
    <row r="143" spans="1:20" s="38" customFormat="1" ht="25.5" customHeight="1" x14ac:dyDescent="0.25">
      <c r="A143" s="336" t="s">
        <v>279</v>
      </c>
      <c r="B143" s="339" t="s">
        <v>280</v>
      </c>
      <c r="C143" s="338" t="s">
        <v>203</v>
      </c>
      <c r="D143" s="17"/>
      <c r="E143" s="25"/>
      <c r="F143" s="25"/>
      <c r="G143" s="332"/>
      <c r="H143" s="25"/>
      <c r="I143" s="25"/>
      <c r="J143" s="26"/>
      <c r="K143" s="27"/>
      <c r="L143" s="37"/>
      <c r="M143" s="37"/>
      <c r="T143" s="2"/>
    </row>
    <row r="144" spans="1:20" s="38" customFormat="1" ht="25.5" customHeight="1" x14ac:dyDescent="0.25">
      <c r="A144" s="336" t="s">
        <v>281</v>
      </c>
      <c r="B144" s="339" t="s">
        <v>282</v>
      </c>
      <c r="C144" s="338" t="s">
        <v>220</v>
      </c>
      <c r="D144" s="17"/>
      <c r="E144" s="25"/>
      <c r="F144" s="25"/>
      <c r="G144" s="332"/>
      <c r="H144" s="25"/>
      <c r="I144" s="25"/>
      <c r="J144" s="26"/>
      <c r="K144" s="27"/>
      <c r="L144" s="37"/>
      <c r="M144" s="37"/>
      <c r="T144" s="2"/>
    </row>
    <row r="145" spans="1:20" s="38" customFormat="1" ht="25.5" customHeight="1" x14ac:dyDescent="0.25">
      <c r="A145" s="336" t="s">
        <v>283</v>
      </c>
      <c r="B145" s="339" t="s">
        <v>284</v>
      </c>
      <c r="C145" s="338" t="s">
        <v>220</v>
      </c>
      <c r="D145" s="17"/>
      <c r="E145" s="25"/>
      <c r="F145" s="25"/>
      <c r="G145" s="332"/>
      <c r="H145" s="25"/>
      <c r="I145" s="25"/>
      <c r="J145" s="26"/>
      <c r="K145" s="27"/>
      <c r="L145" s="37"/>
      <c r="M145" s="37"/>
      <c r="T145" s="2"/>
    </row>
    <row r="146" spans="1:20" s="38" customFormat="1" ht="25.5" customHeight="1" x14ac:dyDescent="0.25">
      <c r="A146" s="336" t="s">
        <v>285</v>
      </c>
      <c r="B146" s="339" t="s">
        <v>286</v>
      </c>
      <c r="C146" s="338" t="s">
        <v>203</v>
      </c>
      <c r="D146" s="17"/>
      <c r="E146" s="25"/>
      <c r="F146" s="25"/>
      <c r="G146" s="332"/>
      <c r="H146" s="25"/>
      <c r="I146" s="25"/>
      <c r="J146" s="26"/>
      <c r="K146" s="27"/>
      <c r="L146" s="37"/>
      <c r="M146" s="37"/>
      <c r="T146" s="2"/>
    </row>
    <row r="147" spans="1:20" s="38" customFormat="1" ht="25.5" customHeight="1" x14ac:dyDescent="0.25">
      <c r="A147" s="336" t="s">
        <v>287</v>
      </c>
      <c r="B147" s="339" t="s">
        <v>288</v>
      </c>
      <c r="C147" s="338" t="s">
        <v>203</v>
      </c>
      <c r="D147" s="17"/>
      <c r="E147" s="25"/>
      <c r="F147" s="25"/>
      <c r="G147" s="332"/>
      <c r="H147" s="25"/>
      <c r="I147" s="25"/>
      <c r="J147" s="26"/>
      <c r="K147" s="27"/>
      <c r="L147" s="37"/>
      <c r="M147" s="37"/>
      <c r="T147" s="2"/>
    </row>
    <row r="148" spans="1:20" s="38" customFormat="1" ht="25.5" customHeight="1" x14ac:dyDescent="0.25">
      <c r="A148" s="336" t="s">
        <v>289</v>
      </c>
      <c r="B148" s="339" t="s">
        <v>290</v>
      </c>
      <c r="C148" s="338" t="s">
        <v>21</v>
      </c>
      <c r="D148" s="17"/>
      <c r="E148" s="25"/>
      <c r="F148" s="25"/>
      <c r="G148" s="332"/>
      <c r="H148" s="25"/>
      <c r="I148" s="25"/>
      <c r="J148" s="26"/>
      <c r="K148" s="27"/>
      <c r="L148" s="37"/>
      <c r="M148" s="37"/>
      <c r="T148" s="2"/>
    </row>
    <row r="149" spans="1:20" s="38" customFormat="1" ht="25.5" customHeight="1" x14ac:dyDescent="0.25">
      <c r="A149" s="336" t="s">
        <v>291</v>
      </c>
      <c r="B149" s="339" t="s">
        <v>292</v>
      </c>
      <c r="C149" s="340" t="s">
        <v>21</v>
      </c>
      <c r="D149" s="17"/>
      <c r="E149" s="25"/>
      <c r="F149" s="25"/>
      <c r="G149" s="332"/>
      <c r="H149" s="25"/>
      <c r="I149" s="25"/>
      <c r="J149" s="26"/>
      <c r="K149" s="27"/>
      <c r="L149" s="37"/>
      <c r="M149" s="37"/>
      <c r="T149" s="2"/>
    </row>
    <row r="150" spans="1:20" s="38" customFormat="1" ht="25.5" customHeight="1" x14ac:dyDescent="0.25">
      <c r="A150" s="336" t="s">
        <v>293</v>
      </c>
      <c r="B150" s="339" t="s">
        <v>294</v>
      </c>
      <c r="C150" s="340" t="s">
        <v>21</v>
      </c>
      <c r="D150" s="17"/>
      <c r="E150" s="25"/>
      <c r="F150" s="25"/>
      <c r="G150" s="332"/>
      <c r="H150" s="25"/>
      <c r="I150" s="25"/>
      <c r="J150" s="26"/>
      <c r="K150" s="27"/>
      <c r="L150" s="37"/>
      <c r="M150" s="37"/>
      <c r="T150" s="2"/>
    </row>
    <row r="151" spans="1:20" s="38" customFormat="1" ht="25.5" customHeight="1" x14ac:dyDescent="0.25">
      <c r="A151" s="336" t="s">
        <v>295</v>
      </c>
      <c r="B151" s="339" t="s">
        <v>296</v>
      </c>
      <c r="C151" s="340" t="s">
        <v>182</v>
      </c>
      <c r="D151" s="17"/>
      <c r="E151" s="25"/>
      <c r="F151" s="25"/>
      <c r="G151" s="332"/>
      <c r="H151" s="25"/>
      <c r="I151" s="25"/>
      <c r="J151" s="26"/>
      <c r="K151" s="27"/>
      <c r="L151" s="37"/>
      <c r="M151" s="37"/>
      <c r="T151" s="2"/>
    </row>
    <row r="152" spans="1:20" s="38" customFormat="1" ht="25.5" customHeight="1" x14ac:dyDescent="0.25">
      <c r="A152" s="336" t="s">
        <v>297</v>
      </c>
      <c r="B152" s="339" t="s">
        <v>298</v>
      </c>
      <c r="C152" s="338" t="s">
        <v>182</v>
      </c>
      <c r="D152" s="17"/>
      <c r="E152" s="25"/>
      <c r="F152" s="25"/>
      <c r="G152" s="332"/>
      <c r="H152" s="25"/>
      <c r="I152" s="25"/>
      <c r="J152" s="26"/>
      <c r="K152" s="27"/>
      <c r="L152" s="37"/>
      <c r="M152" s="37"/>
      <c r="T152" s="2"/>
    </row>
    <row r="153" spans="1:20" s="38" customFormat="1" ht="25.5" customHeight="1" x14ac:dyDescent="0.25">
      <c r="A153" s="336" t="s">
        <v>299</v>
      </c>
      <c r="B153" s="339" t="s">
        <v>300</v>
      </c>
      <c r="C153" s="338" t="s">
        <v>182</v>
      </c>
      <c r="D153" s="17"/>
      <c r="E153" s="25"/>
      <c r="F153" s="25"/>
      <c r="G153" s="332"/>
      <c r="H153" s="25"/>
      <c r="I153" s="25"/>
      <c r="J153" s="26"/>
      <c r="K153" s="27"/>
      <c r="L153" s="43"/>
      <c r="M153" s="37"/>
      <c r="T153" s="2"/>
    </row>
    <row r="154" spans="1:20" s="38" customFormat="1" ht="25.5" customHeight="1" x14ac:dyDescent="0.25">
      <c r="A154" s="336" t="s">
        <v>301</v>
      </c>
      <c r="B154" s="339" t="s">
        <v>302</v>
      </c>
      <c r="C154" s="338" t="s">
        <v>182</v>
      </c>
      <c r="D154" s="17"/>
      <c r="E154" s="25"/>
      <c r="F154" s="25"/>
      <c r="G154" s="332"/>
      <c r="H154" s="25"/>
      <c r="I154" s="25"/>
      <c r="J154" s="26"/>
      <c r="K154" s="27"/>
      <c r="L154" s="37"/>
      <c r="M154" s="37"/>
      <c r="T154" s="2"/>
    </row>
    <row r="155" spans="1:20" s="38" customFormat="1" ht="25.5" customHeight="1" x14ac:dyDescent="0.25">
      <c r="A155" s="336" t="s">
        <v>303</v>
      </c>
      <c r="B155" s="339" t="s">
        <v>304</v>
      </c>
      <c r="C155" s="338" t="s">
        <v>87</v>
      </c>
      <c r="D155" s="17"/>
      <c r="E155" s="25"/>
      <c r="F155" s="25"/>
      <c r="G155" s="332"/>
      <c r="H155" s="25"/>
      <c r="I155" s="25"/>
      <c r="J155" s="26"/>
      <c r="K155" s="27"/>
      <c r="L155" s="37"/>
      <c r="M155" s="37"/>
      <c r="T155" s="2"/>
    </row>
    <row r="156" spans="1:20" s="38" customFormat="1" ht="25.5" customHeight="1" x14ac:dyDescent="0.25">
      <c r="A156" s="336" t="s">
        <v>305</v>
      </c>
      <c r="B156" s="339" t="s">
        <v>306</v>
      </c>
      <c r="C156" s="338" t="s">
        <v>182</v>
      </c>
      <c r="D156" s="17"/>
      <c r="E156" s="25"/>
      <c r="F156" s="25"/>
      <c r="G156" s="332"/>
      <c r="H156" s="25"/>
      <c r="I156" s="25"/>
      <c r="J156" s="26"/>
      <c r="K156" s="27"/>
      <c r="L156" s="37"/>
      <c r="M156" s="37"/>
      <c r="T156" s="2"/>
    </row>
    <row r="157" spans="1:20" s="38" customFormat="1" ht="25.5" customHeight="1" x14ac:dyDescent="0.25">
      <c r="A157" s="336" t="s">
        <v>307</v>
      </c>
      <c r="B157" s="337" t="s">
        <v>308</v>
      </c>
      <c r="C157" s="338" t="s">
        <v>203</v>
      </c>
      <c r="D157" s="17"/>
      <c r="E157" s="25"/>
      <c r="F157" s="25"/>
      <c r="G157" s="332"/>
      <c r="H157" s="25"/>
      <c r="I157" s="25"/>
      <c r="J157" s="26"/>
      <c r="K157" s="27"/>
      <c r="L157" s="37"/>
      <c r="M157" s="37"/>
      <c r="T157" s="2"/>
    </row>
    <row r="158" spans="1:20" s="38" customFormat="1" ht="25.5" customHeight="1" x14ac:dyDescent="0.25">
      <c r="A158" s="336" t="s">
        <v>309</v>
      </c>
      <c r="B158" s="337" t="s">
        <v>310</v>
      </c>
      <c r="C158" s="340" t="s">
        <v>203</v>
      </c>
      <c r="D158" s="17"/>
      <c r="E158" s="25"/>
      <c r="F158" s="25"/>
      <c r="G158" s="332"/>
      <c r="H158" s="25"/>
      <c r="I158" s="25"/>
      <c r="J158" s="26"/>
      <c r="K158" s="27"/>
      <c r="L158" s="37"/>
      <c r="M158" s="37"/>
      <c r="T158" s="2"/>
    </row>
    <row r="159" spans="1:20" s="38" customFormat="1" ht="25.5" customHeight="1" x14ac:dyDescent="0.25">
      <c r="A159" s="336" t="s">
        <v>311</v>
      </c>
      <c r="B159" s="339" t="s">
        <v>312</v>
      </c>
      <c r="C159" s="340" t="s">
        <v>203</v>
      </c>
      <c r="D159" s="17"/>
      <c r="E159" s="25"/>
      <c r="F159" s="25"/>
      <c r="G159" s="332"/>
      <c r="H159" s="25"/>
      <c r="I159" s="25"/>
      <c r="J159" s="26"/>
      <c r="K159" s="27"/>
      <c r="L159" s="37"/>
      <c r="M159" s="37"/>
      <c r="T159" s="2"/>
    </row>
    <row r="160" spans="1:20" s="38" customFormat="1" ht="25.5" customHeight="1" x14ac:dyDescent="0.25">
      <c r="A160" s="336" t="s">
        <v>313</v>
      </c>
      <c r="B160" s="339" t="s">
        <v>314</v>
      </c>
      <c r="C160" s="340" t="s">
        <v>203</v>
      </c>
      <c r="D160" s="17"/>
      <c r="E160" s="25"/>
      <c r="F160" s="25"/>
      <c r="G160" s="332"/>
      <c r="H160" s="25"/>
      <c r="I160" s="25"/>
      <c r="J160" s="26"/>
      <c r="K160" s="27"/>
      <c r="L160" s="37"/>
      <c r="M160" s="37"/>
      <c r="T160" s="2"/>
    </row>
    <row r="161" spans="1:20" s="38" customFormat="1" ht="25.5" customHeight="1" x14ac:dyDescent="0.25">
      <c r="A161" s="336" t="s">
        <v>315</v>
      </c>
      <c r="B161" s="339" t="s">
        <v>316</v>
      </c>
      <c r="C161" s="340" t="s">
        <v>203</v>
      </c>
      <c r="D161" s="17"/>
      <c r="E161" s="25"/>
      <c r="F161" s="25"/>
      <c r="G161" s="332"/>
      <c r="H161" s="25"/>
      <c r="I161" s="25"/>
      <c r="J161" s="26"/>
      <c r="K161" s="27"/>
      <c r="L161" s="37"/>
      <c r="M161" s="37"/>
      <c r="T161" s="2"/>
    </row>
    <row r="162" spans="1:20" s="38" customFormat="1" ht="25.5" customHeight="1" x14ac:dyDescent="0.25">
      <c r="A162" s="336" t="s">
        <v>317</v>
      </c>
      <c r="B162" s="339" t="s">
        <v>318</v>
      </c>
      <c r="C162" s="340" t="s">
        <v>203</v>
      </c>
      <c r="D162" s="17"/>
      <c r="E162" s="25"/>
      <c r="F162" s="25"/>
      <c r="G162" s="332"/>
      <c r="H162" s="25"/>
      <c r="I162" s="25"/>
      <c r="J162" s="26"/>
      <c r="K162" s="27"/>
      <c r="L162" s="37"/>
      <c r="M162" s="37"/>
      <c r="T162" s="2"/>
    </row>
    <row r="163" spans="1:20" s="38" customFormat="1" ht="25.5" customHeight="1" x14ac:dyDescent="0.25">
      <c r="A163" s="336" t="s">
        <v>319</v>
      </c>
      <c r="B163" s="339" t="s">
        <v>320</v>
      </c>
      <c r="C163" s="338" t="s">
        <v>227</v>
      </c>
      <c r="D163" s="17"/>
      <c r="E163" s="25"/>
      <c r="F163" s="25"/>
      <c r="G163" s="332"/>
      <c r="H163" s="25"/>
      <c r="I163" s="25"/>
      <c r="J163" s="26"/>
      <c r="K163" s="27"/>
      <c r="L163" s="37"/>
      <c r="M163" s="37"/>
      <c r="T163" s="2"/>
    </row>
    <row r="164" spans="1:20" s="38" customFormat="1" ht="25.5" customHeight="1" x14ac:dyDescent="0.25">
      <c r="A164" s="336" t="s">
        <v>321</v>
      </c>
      <c r="B164" s="339" t="s">
        <v>322</v>
      </c>
      <c r="C164" s="338" t="s">
        <v>227</v>
      </c>
      <c r="D164" s="17"/>
      <c r="E164" s="25"/>
      <c r="F164" s="25"/>
      <c r="G164" s="332"/>
      <c r="H164" s="25"/>
      <c r="I164" s="25"/>
      <c r="J164" s="26"/>
      <c r="K164" s="27"/>
      <c r="L164" s="37"/>
      <c r="M164" s="37"/>
      <c r="T164" s="2"/>
    </row>
    <row r="165" spans="1:20" s="38" customFormat="1" ht="25.5" customHeight="1" x14ac:dyDescent="0.25">
      <c r="A165" s="336" t="s">
        <v>323</v>
      </c>
      <c r="B165" s="339" t="s">
        <v>324</v>
      </c>
      <c r="C165" s="338" t="s">
        <v>227</v>
      </c>
      <c r="D165" s="17"/>
      <c r="E165" s="25"/>
      <c r="F165" s="25"/>
      <c r="G165" s="332"/>
      <c r="H165" s="25"/>
      <c r="I165" s="25"/>
      <c r="J165" s="26"/>
      <c r="K165" s="27"/>
      <c r="L165" s="37"/>
      <c r="M165" s="37"/>
      <c r="T165" s="2"/>
    </row>
    <row r="166" spans="1:20" s="38" customFormat="1" ht="25.5" customHeight="1" x14ac:dyDescent="0.25">
      <c r="A166" s="336" t="s">
        <v>325</v>
      </c>
      <c r="B166" s="339" t="s">
        <v>326</v>
      </c>
      <c r="C166" s="338" t="s">
        <v>227</v>
      </c>
      <c r="D166" s="17"/>
      <c r="E166" s="25"/>
      <c r="F166" s="25"/>
      <c r="G166" s="332"/>
      <c r="H166" s="25"/>
      <c r="I166" s="25"/>
      <c r="J166" s="26"/>
      <c r="K166" s="27"/>
      <c r="L166" s="37"/>
      <c r="M166" s="37"/>
      <c r="T166" s="2"/>
    </row>
    <row r="167" spans="1:20" s="38" customFormat="1" ht="25.5" customHeight="1" x14ac:dyDescent="0.25">
      <c r="A167" s="336" t="s">
        <v>327</v>
      </c>
      <c r="B167" s="339" t="s">
        <v>328</v>
      </c>
      <c r="C167" s="338" t="s">
        <v>203</v>
      </c>
      <c r="D167" s="17"/>
      <c r="E167" s="25"/>
      <c r="F167" s="25"/>
      <c r="G167" s="332"/>
      <c r="H167" s="25"/>
      <c r="I167" s="25"/>
      <c r="J167" s="26"/>
      <c r="K167" s="27"/>
      <c r="L167" s="37"/>
      <c r="M167" s="37"/>
      <c r="T167" s="2"/>
    </row>
    <row r="168" spans="1:20" s="38" customFormat="1" ht="25.5" customHeight="1" x14ac:dyDescent="0.25">
      <c r="A168" s="336" t="s">
        <v>329</v>
      </c>
      <c r="B168" s="339" t="s">
        <v>330</v>
      </c>
      <c r="C168" s="338" t="s">
        <v>203</v>
      </c>
      <c r="D168" s="17"/>
      <c r="E168" s="25"/>
      <c r="F168" s="25"/>
      <c r="G168" s="25"/>
      <c r="H168" s="25"/>
      <c r="I168" s="25"/>
      <c r="J168" s="26"/>
      <c r="K168" s="27"/>
      <c r="L168" s="37"/>
      <c r="M168" s="37"/>
      <c r="T168" s="2"/>
    </row>
    <row r="169" spans="1:20" s="38" customFormat="1" ht="25.5" customHeight="1" x14ac:dyDescent="0.25">
      <c r="A169" s="336" t="s">
        <v>331</v>
      </c>
      <c r="B169" s="343" t="s">
        <v>332</v>
      </c>
      <c r="C169" s="338" t="s">
        <v>203</v>
      </c>
      <c r="D169" s="17"/>
      <c r="E169" s="25"/>
      <c r="F169" s="25"/>
      <c r="G169" s="25"/>
      <c r="H169" s="25"/>
      <c r="I169" s="25"/>
      <c r="J169" s="26"/>
      <c r="K169" s="27"/>
      <c r="L169" s="37"/>
      <c r="M169" s="37"/>
      <c r="T169" s="2"/>
    </row>
    <row r="170" spans="1:20" s="38" customFormat="1" ht="25.5" customHeight="1" x14ac:dyDescent="0.25">
      <c r="A170" s="336" t="s">
        <v>333</v>
      </c>
      <c r="B170" s="346" t="s">
        <v>334</v>
      </c>
      <c r="C170" s="338" t="s">
        <v>203</v>
      </c>
      <c r="D170" s="17"/>
      <c r="E170" s="25"/>
      <c r="F170" s="25"/>
      <c r="G170" s="25"/>
      <c r="H170" s="25"/>
      <c r="I170" s="25"/>
      <c r="J170" s="26"/>
      <c r="K170" s="27"/>
      <c r="L170" s="37"/>
      <c r="M170" s="37"/>
      <c r="T170" s="2"/>
    </row>
    <row r="171" spans="1:20" s="38" customFormat="1" ht="25.5" customHeight="1" x14ac:dyDescent="0.25">
      <c r="A171" s="336" t="s">
        <v>335</v>
      </c>
      <c r="B171" s="339" t="s">
        <v>336</v>
      </c>
      <c r="C171" s="338" t="s">
        <v>203</v>
      </c>
      <c r="D171" s="17"/>
      <c r="E171" s="25"/>
      <c r="F171" s="25"/>
      <c r="G171" s="25"/>
      <c r="H171" s="25"/>
      <c r="I171" s="25"/>
      <c r="J171" s="26"/>
      <c r="K171" s="27"/>
      <c r="L171" s="37"/>
      <c r="M171" s="37"/>
      <c r="N171" s="37"/>
      <c r="T171" s="2"/>
    </row>
    <row r="172" spans="1:20" s="38" customFormat="1" ht="25.5" customHeight="1" x14ac:dyDescent="0.25">
      <c r="A172" s="336" t="s">
        <v>337</v>
      </c>
      <c r="B172" s="339" t="s">
        <v>338</v>
      </c>
      <c r="C172" s="340" t="s">
        <v>203</v>
      </c>
      <c r="D172" s="17"/>
      <c r="E172" s="25"/>
      <c r="F172" s="25"/>
      <c r="G172" s="25"/>
      <c r="H172" s="25"/>
      <c r="I172" s="25"/>
      <c r="J172" s="26"/>
      <c r="K172" s="27"/>
      <c r="L172" s="37"/>
      <c r="M172" s="37"/>
      <c r="T172" s="2"/>
    </row>
    <row r="173" spans="1:20" s="38" customFormat="1" ht="25.5" customHeight="1" x14ac:dyDescent="0.25">
      <c r="A173" s="336" t="s">
        <v>339</v>
      </c>
      <c r="B173" s="337" t="s">
        <v>340</v>
      </c>
      <c r="C173" s="340" t="s">
        <v>203</v>
      </c>
      <c r="D173" s="17"/>
      <c r="E173" s="25"/>
      <c r="F173" s="25"/>
      <c r="G173" s="25"/>
      <c r="H173" s="25"/>
      <c r="I173" s="25"/>
      <c r="J173" s="26"/>
      <c r="K173" s="27"/>
      <c r="L173" s="37"/>
      <c r="M173" s="37"/>
      <c r="T173" s="2"/>
    </row>
    <row r="174" spans="1:20" s="38" customFormat="1" ht="25.5" customHeight="1" x14ac:dyDescent="0.25">
      <c r="A174" s="336" t="s">
        <v>341</v>
      </c>
      <c r="B174" s="337" t="s">
        <v>342</v>
      </c>
      <c r="C174" s="338" t="s">
        <v>220</v>
      </c>
      <c r="D174" s="17"/>
      <c r="E174" s="25"/>
      <c r="F174" s="25"/>
      <c r="G174" s="25"/>
      <c r="H174" s="25"/>
      <c r="I174" s="25"/>
      <c r="J174" s="26"/>
      <c r="K174" s="27"/>
      <c r="L174" s="37"/>
      <c r="M174" s="37"/>
      <c r="T174" s="2"/>
    </row>
    <row r="175" spans="1:20" s="38" customFormat="1" ht="25.5" customHeight="1" x14ac:dyDescent="0.25">
      <c r="A175" s="352" t="s">
        <v>343</v>
      </c>
      <c r="B175" s="337" t="s">
        <v>344</v>
      </c>
      <c r="C175" s="338" t="s">
        <v>220</v>
      </c>
      <c r="D175" s="17"/>
      <c r="E175" s="25"/>
      <c r="F175" s="25"/>
      <c r="G175" s="25"/>
      <c r="H175" s="25"/>
      <c r="I175" s="25"/>
      <c r="J175" s="26"/>
      <c r="K175" s="27"/>
      <c r="L175" s="37"/>
      <c r="M175" s="37"/>
      <c r="T175" s="2"/>
    </row>
    <row r="176" spans="1:20" s="38" customFormat="1" ht="25.5" customHeight="1" x14ac:dyDescent="0.25">
      <c r="A176" s="352" t="s">
        <v>345</v>
      </c>
      <c r="B176" s="337" t="s">
        <v>346</v>
      </c>
      <c r="C176" s="353" t="s">
        <v>220</v>
      </c>
      <c r="D176" s="17"/>
      <c r="E176" s="25"/>
      <c r="F176" s="25"/>
      <c r="G176" s="25"/>
      <c r="H176" s="25"/>
      <c r="I176" s="25"/>
      <c r="J176" s="26"/>
      <c r="K176" s="27"/>
      <c r="L176" s="37"/>
      <c r="M176" s="37"/>
      <c r="T176" s="2"/>
    </row>
    <row r="177" spans="1:20" s="38" customFormat="1" ht="25.5" customHeight="1" x14ac:dyDescent="0.25">
      <c r="A177" s="352" t="s">
        <v>347</v>
      </c>
      <c r="B177" s="337" t="s">
        <v>348</v>
      </c>
      <c r="C177" s="340" t="s">
        <v>220</v>
      </c>
      <c r="D177" s="17"/>
      <c r="E177" s="25"/>
      <c r="F177" s="25"/>
      <c r="G177" s="25"/>
      <c r="H177" s="25"/>
      <c r="I177" s="25"/>
      <c r="J177" s="26"/>
      <c r="K177" s="27"/>
      <c r="L177" s="37"/>
      <c r="M177" s="37"/>
      <c r="T177" s="2"/>
    </row>
    <row r="178" spans="1:20" s="38" customFormat="1" ht="25.5" customHeight="1" x14ac:dyDescent="0.25">
      <c r="A178" s="336" t="s">
        <v>349</v>
      </c>
      <c r="B178" s="337" t="s">
        <v>350</v>
      </c>
      <c r="C178" s="340" t="s">
        <v>220</v>
      </c>
      <c r="D178" s="17"/>
      <c r="E178" s="25"/>
      <c r="F178" s="25"/>
      <c r="G178" s="25"/>
      <c r="H178" s="25"/>
      <c r="I178" s="25"/>
      <c r="J178" s="26"/>
      <c r="K178" s="27"/>
      <c r="L178" s="37"/>
      <c r="M178" s="37"/>
      <c r="T178" s="2"/>
    </row>
    <row r="179" spans="1:20" s="38" customFormat="1" ht="25.5" customHeight="1" x14ac:dyDescent="0.25">
      <c r="A179" s="336" t="s">
        <v>351</v>
      </c>
      <c r="B179" s="337" t="s">
        <v>352</v>
      </c>
      <c r="C179" s="340" t="s">
        <v>203</v>
      </c>
      <c r="D179" s="17"/>
      <c r="E179" s="25"/>
      <c r="F179" s="25"/>
      <c r="G179" s="25"/>
      <c r="H179" s="25"/>
      <c r="I179" s="25"/>
      <c r="J179" s="26"/>
      <c r="K179" s="27"/>
      <c r="L179" s="37"/>
      <c r="M179" s="37"/>
      <c r="T179" s="2"/>
    </row>
    <row r="180" spans="1:20" s="38" customFormat="1" ht="25.5" customHeight="1" x14ac:dyDescent="0.25">
      <c r="A180" s="336" t="s">
        <v>353</v>
      </c>
      <c r="B180" s="337" t="s">
        <v>354</v>
      </c>
      <c r="C180" s="340" t="s">
        <v>203</v>
      </c>
      <c r="D180" s="17"/>
      <c r="E180" s="25"/>
      <c r="F180" s="25"/>
      <c r="G180" s="25"/>
      <c r="H180" s="25"/>
      <c r="I180" s="25"/>
      <c r="J180" s="26"/>
      <c r="K180" s="27"/>
      <c r="L180" s="37"/>
      <c r="M180" s="37"/>
      <c r="T180" s="2"/>
    </row>
    <row r="181" spans="1:20" s="38" customFormat="1" ht="25.5" customHeight="1" x14ac:dyDescent="0.25">
      <c r="A181" s="336" t="s">
        <v>355</v>
      </c>
      <c r="B181" s="337" t="s">
        <v>356</v>
      </c>
      <c r="C181" s="340" t="s">
        <v>203</v>
      </c>
      <c r="D181" s="17"/>
      <c r="E181" s="25"/>
      <c r="F181" s="25"/>
      <c r="G181" s="25"/>
      <c r="H181" s="25"/>
      <c r="I181" s="25"/>
      <c r="J181" s="26"/>
      <c r="K181" s="27"/>
      <c r="L181" s="37"/>
      <c r="M181" s="37"/>
      <c r="T181" s="2"/>
    </row>
    <row r="182" spans="1:20" s="38" customFormat="1" ht="25.5" customHeight="1" x14ac:dyDescent="0.25">
      <c r="A182" s="336" t="s">
        <v>357</v>
      </c>
      <c r="B182" s="337" t="s">
        <v>358</v>
      </c>
      <c r="C182" s="340" t="s">
        <v>203</v>
      </c>
      <c r="D182" s="17"/>
      <c r="E182" s="25"/>
      <c r="F182" s="25"/>
      <c r="G182" s="25"/>
      <c r="H182" s="25"/>
      <c r="I182" s="25"/>
      <c r="J182" s="26"/>
      <c r="K182" s="27"/>
      <c r="L182" s="37">
        <f>400/3</f>
        <v>133.33333333333334</v>
      </c>
      <c r="M182" s="37"/>
      <c r="T182" s="2"/>
    </row>
    <row r="183" spans="1:20" s="38" customFormat="1" ht="25.5" customHeight="1" x14ac:dyDescent="0.25">
      <c r="A183" s="336" t="s">
        <v>359</v>
      </c>
      <c r="B183" s="337" t="s">
        <v>360</v>
      </c>
      <c r="C183" s="340" t="s">
        <v>203</v>
      </c>
      <c r="D183" s="17"/>
      <c r="E183" s="25"/>
      <c r="F183" s="25"/>
      <c r="G183" s="25"/>
      <c r="H183" s="25"/>
      <c r="I183" s="25"/>
      <c r="J183" s="26"/>
      <c r="K183" s="27"/>
      <c r="L183" s="37"/>
      <c r="M183" s="37"/>
      <c r="T183" s="2"/>
    </row>
    <row r="184" spans="1:20" s="38" customFormat="1" ht="25.5" customHeight="1" x14ac:dyDescent="0.25">
      <c r="A184" s="336" t="s">
        <v>361</v>
      </c>
      <c r="B184" s="337" t="s">
        <v>362</v>
      </c>
      <c r="C184" s="340" t="s">
        <v>203</v>
      </c>
      <c r="D184" s="17"/>
      <c r="E184" s="25"/>
      <c r="F184" s="25"/>
      <c r="G184" s="25"/>
      <c r="H184" s="25"/>
      <c r="I184" s="25"/>
      <c r="J184" s="26"/>
      <c r="K184" s="27"/>
      <c r="L184" s="37"/>
      <c r="M184" s="37"/>
      <c r="T184" s="2"/>
    </row>
    <row r="185" spans="1:20" s="38" customFormat="1" ht="25.5" customHeight="1" x14ac:dyDescent="0.25">
      <c r="A185" s="336" t="s">
        <v>363</v>
      </c>
      <c r="B185" s="337" t="s">
        <v>364</v>
      </c>
      <c r="C185" s="340" t="s">
        <v>203</v>
      </c>
      <c r="D185" s="17"/>
      <c r="E185" s="25"/>
      <c r="F185" s="25"/>
      <c r="G185" s="25"/>
      <c r="H185" s="25"/>
      <c r="I185" s="25"/>
      <c r="J185" s="26"/>
      <c r="K185" s="27"/>
      <c r="L185" s="37"/>
      <c r="M185" s="37"/>
      <c r="T185" s="2"/>
    </row>
    <row r="186" spans="1:20" s="38" customFormat="1" ht="25.5" customHeight="1" x14ac:dyDescent="0.25">
      <c r="A186" s="336" t="s">
        <v>365</v>
      </c>
      <c r="B186" s="337" t="s">
        <v>366</v>
      </c>
      <c r="C186" s="340" t="s">
        <v>203</v>
      </c>
      <c r="D186" s="17"/>
      <c r="E186" s="25"/>
      <c r="F186" s="25"/>
      <c r="G186" s="25"/>
      <c r="H186" s="25"/>
      <c r="I186" s="25"/>
      <c r="J186" s="26"/>
      <c r="K186" s="27"/>
      <c r="L186" s="37"/>
      <c r="M186" s="37"/>
      <c r="T186" s="2"/>
    </row>
    <row r="187" spans="1:20" s="38" customFormat="1" ht="25.5" customHeight="1" x14ac:dyDescent="0.25">
      <c r="A187" s="336" t="s">
        <v>367</v>
      </c>
      <c r="B187" s="337" t="s">
        <v>368</v>
      </c>
      <c r="C187" s="340" t="s">
        <v>203</v>
      </c>
      <c r="D187" s="17"/>
      <c r="E187" s="25"/>
      <c r="F187" s="25"/>
      <c r="G187" s="25"/>
      <c r="H187" s="25"/>
      <c r="I187" s="25"/>
      <c r="J187" s="26"/>
      <c r="K187" s="27"/>
      <c r="L187" s="37"/>
      <c r="M187" s="37"/>
      <c r="T187" s="2"/>
    </row>
    <row r="188" spans="1:20" s="38" customFormat="1" ht="25.5" customHeight="1" x14ac:dyDescent="0.25">
      <c r="A188" s="336" t="s">
        <v>369</v>
      </c>
      <c r="B188" s="337" t="s">
        <v>370</v>
      </c>
      <c r="C188" s="340" t="s">
        <v>203</v>
      </c>
      <c r="D188" s="17"/>
      <c r="E188" s="25"/>
      <c r="F188" s="25"/>
      <c r="G188" s="25"/>
      <c r="H188" s="25"/>
      <c r="I188" s="25"/>
      <c r="J188" s="26"/>
      <c r="K188" s="27"/>
      <c r="L188" s="37"/>
      <c r="M188" s="37"/>
      <c r="T188" s="2"/>
    </row>
    <row r="189" spans="1:20" s="38" customFormat="1" ht="25.5" customHeight="1" x14ac:dyDescent="0.25">
      <c r="A189" s="336" t="s">
        <v>371</v>
      </c>
      <c r="B189" s="337" t="s">
        <v>372</v>
      </c>
      <c r="C189" s="340" t="s">
        <v>220</v>
      </c>
      <c r="D189" s="17"/>
      <c r="E189" s="25"/>
      <c r="F189" s="25"/>
      <c r="G189" s="25"/>
      <c r="H189" s="25"/>
      <c r="I189" s="25"/>
      <c r="J189" s="26"/>
      <c r="K189" s="27"/>
      <c r="L189" s="37"/>
      <c r="M189" s="37"/>
      <c r="T189" s="2"/>
    </row>
    <row r="190" spans="1:20" s="38" customFormat="1" ht="25.5" customHeight="1" x14ac:dyDescent="0.25">
      <c r="A190" s="336" t="s">
        <v>373</v>
      </c>
      <c r="B190" s="337" t="s">
        <v>374</v>
      </c>
      <c r="C190" s="340" t="s">
        <v>220</v>
      </c>
      <c r="D190" s="17"/>
      <c r="E190" s="25"/>
      <c r="F190" s="25"/>
      <c r="G190" s="25"/>
      <c r="H190" s="25"/>
      <c r="I190" s="25"/>
      <c r="J190" s="26"/>
      <c r="K190" s="27"/>
      <c r="L190" s="37"/>
      <c r="M190" s="37"/>
      <c r="T190" s="2"/>
    </row>
    <row r="191" spans="1:20" s="38" customFormat="1" ht="32.25" customHeight="1" x14ac:dyDescent="0.25">
      <c r="A191" s="336" t="s">
        <v>375</v>
      </c>
      <c r="B191" s="337" t="s">
        <v>376</v>
      </c>
      <c r="C191" s="340" t="s">
        <v>220</v>
      </c>
      <c r="D191" s="17"/>
      <c r="E191" s="25"/>
      <c r="F191" s="25"/>
      <c r="G191" s="25"/>
      <c r="H191" s="25"/>
      <c r="I191" s="25"/>
      <c r="J191" s="26"/>
      <c r="K191" s="27"/>
      <c r="L191" s="37"/>
      <c r="M191" s="37"/>
      <c r="T191" s="2"/>
    </row>
    <row r="192" spans="1:20" s="38" customFormat="1" ht="25.5" customHeight="1" x14ac:dyDescent="0.25">
      <c r="A192" s="336" t="s">
        <v>377</v>
      </c>
      <c r="B192" s="337" t="s">
        <v>378</v>
      </c>
      <c r="C192" s="340" t="s">
        <v>203</v>
      </c>
      <c r="D192" s="17"/>
      <c r="E192" s="25"/>
      <c r="F192" s="25"/>
      <c r="G192" s="25"/>
      <c r="H192" s="25"/>
      <c r="I192" s="25"/>
      <c r="J192" s="26"/>
      <c r="K192" s="27"/>
      <c r="L192" s="37"/>
      <c r="M192" s="37"/>
      <c r="T192" s="2"/>
    </row>
    <row r="193" spans="1:20" s="38" customFormat="1" ht="25.5" customHeight="1" x14ac:dyDescent="0.25">
      <c r="A193" s="336" t="s">
        <v>379</v>
      </c>
      <c r="B193" s="337" t="s">
        <v>380</v>
      </c>
      <c r="C193" s="340" t="s">
        <v>203</v>
      </c>
      <c r="D193" s="17"/>
      <c r="E193" s="25"/>
      <c r="F193" s="25"/>
      <c r="G193" s="25"/>
      <c r="H193" s="25"/>
      <c r="I193" s="25"/>
      <c r="J193" s="26"/>
      <c r="K193" s="27"/>
      <c r="L193" s="37"/>
      <c r="M193" s="37"/>
      <c r="T193" s="2"/>
    </row>
    <row r="194" spans="1:20" s="38" customFormat="1" ht="25.5" customHeight="1" x14ac:dyDescent="0.25">
      <c r="A194" s="336" t="s">
        <v>381</v>
      </c>
      <c r="B194" s="337" t="s">
        <v>382</v>
      </c>
      <c r="C194" s="340" t="s">
        <v>203</v>
      </c>
      <c r="D194" s="17"/>
      <c r="E194" s="25"/>
      <c r="F194" s="25"/>
      <c r="G194" s="25"/>
      <c r="H194" s="25"/>
      <c r="I194" s="25"/>
      <c r="J194" s="26"/>
      <c r="K194" s="27"/>
      <c r="L194" s="37"/>
      <c r="M194" s="37"/>
      <c r="T194" s="2"/>
    </row>
    <row r="195" spans="1:20" s="38" customFormat="1" ht="25.5" customHeight="1" x14ac:dyDescent="0.25">
      <c r="A195" s="336" t="s">
        <v>383</v>
      </c>
      <c r="B195" s="337" t="s">
        <v>384</v>
      </c>
      <c r="C195" s="340" t="s">
        <v>203</v>
      </c>
      <c r="D195" s="17"/>
      <c r="E195" s="25"/>
      <c r="F195" s="25"/>
      <c r="G195" s="25"/>
      <c r="H195" s="25"/>
      <c r="I195" s="25"/>
      <c r="J195" s="26"/>
      <c r="K195" s="27"/>
      <c r="L195" s="37"/>
      <c r="M195" s="37"/>
      <c r="T195" s="2"/>
    </row>
    <row r="196" spans="1:20" s="38" customFormat="1" ht="41.25" customHeight="1" x14ac:dyDescent="0.25">
      <c r="A196" s="336" t="s">
        <v>385</v>
      </c>
      <c r="B196" s="337" t="s">
        <v>386</v>
      </c>
      <c r="C196" s="340" t="s">
        <v>220</v>
      </c>
      <c r="D196" s="17"/>
      <c r="E196" s="25"/>
      <c r="F196" s="25"/>
      <c r="G196" s="25"/>
      <c r="H196" s="25"/>
      <c r="I196" s="25"/>
      <c r="J196" s="26"/>
      <c r="K196" s="27"/>
      <c r="L196" s="37"/>
      <c r="M196" s="37"/>
      <c r="T196" s="2"/>
    </row>
    <row r="197" spans="1:20" s="38" customFormat="1" ht="25.5" customHeight="1" x14ac:dyDescent="0.25">
      <c r="A197" s="336" t="s">
        <v>387</v>
      </c>
      <c r="B197" s="337" t="s">
        <v>388</v>
      </c>
      <c r="C197" s="351" t="s">
        <v>220</v>
      </c>
      <c r="D197" s="17"/>
      <c r="E197" s="25"/>
      <c r="F197" s="25"/>
      <c r="G197" s="25"/>
      <c r="H197" s="25"/>
      <c r="I197" s="25"/>
      <c r="J197" s="26"/>
      <c r="K197" s="27"/>
      <c r="L197" s="37"/>
      <c r="M197" s="37"/>
      <c r="T197" s="2"/>
    </row>
    <row r="198" spans="1:20" s="38" customFormat="1" ht="36" customHeight="1" x14ac:dyDescent="0.25">
      <c r="A198" s="336" t="s">
        <v>389</v>
      </c>
      <c r="B198" s="337" t="s">
        <v>390</v>
      </c>
      <c r="C198" s="351" t="s">
        <v>220</v>
      </c>
      <c r="D198" s="17"/>
      <c r="E198" s="25"/>
      <c r="F198" s="25"/>
      <c r="G198" s="25"/>
      <c r="H198" s="25"/>
      <c r="I198" s="25"/>
      <c r="J198" s="26"/>
      <c r="K198" s="27"/>
      <c r="L198" s="37"/>
      <c r="M198" s="37"/>
      <c r="T198" s="2"/>
    </row>
    <row r="199" spans="1:20" s="38" customFormat="1" ht="25.5" customHeight="1" x14ac:dyDescent="0.25">
      <c r="A199" s="336" t="s">
        <v>391</v>
      </c>
      <c r="B199" s="337" t="s">
        <v>392</v>
      </c>
      <c r="C199" s="340" t="s">
        <v>203</v>
      </c>
      <c r="D199" s="17"/>
      <c r="E199" s="25"/>
      <c r="F199" s="25"/>
      <c r="G199" s="25"/>
      <c r="H199" s="25"/>
      <c r="I199" s="25"/>
      <c r="J199" s="26"/>
      <c r="K199" s="27"/>
      <c r="L199" s="37"/>
      <c r="M199" s="37"/>
      <c r="T199" s="2"/>
    </row>
    <row r="200" spans="1:20" s="38" customFormat="1" ht="25.5" customHeight="1" x14ac:dyDescent="0.25">
      <c r="A200" s="336" t="s">
        <v>393</v>
      </c>
      <c r="B200" s="337" t="s">
        <v>394</v>
      </c>
      <c r="C200" s="340" t="s">
        <v>203</v>
      </c>
      <c r="D200" s="17"/>
      <c r="E200" s="25"/>
      <c r="F200" s="25"/>
      <c r="G200" s="25"/>
      <c r="H200" s="25"/>
      <c r="I200" s="25"/>
      <c r="J200" s="26"/>
      <c r="K200" s="27"/>
      <c r="L200" s="37"/>
      <c r="M200" s="37"/>
      <c r="T200" s="2"/>
    </row>
    <row r="201" spans="1:20" s="38" customFormat="1" ht="25.5" customHeight="1" x14ac:dyDescent="0.25">
      <c r="A201" s="336" t="s">
        <v>395</v>
      </c>
      <c r="B201" s="337" t="s">
        <v>396</v>
      </c>
      <c r="C201" s="340" t="s">
        <v>203</v>
      </c>
      <c r="D201" s="17"/>
      <c r="E201" s="25"/>
      <c r="F201" s="25"/>
      <c r="G201" s="25"/>
      <c r="H201" s="25"/>
      <c r="I201" s="25"/>
      <c r="J201" s="26"/>
      <c r="K201" s="27"/>
      <c r="L201" s="37"/>
      <c r="M201" s="37"/>
      <c r="T201" s="2"/>
    </row>
    <row r="202" spans="1:20" s="38" customFormat="1" ht="25.5" customHeight="1" x14ac:dyDescent="0.25">
      <c r="A202" s="336" t="s">
        <v>397</v>
      </c>
      <c r="B202" s="337" t="s">
        <v>398</v>
      </c>
      <c r="C202" s="340" t="s">
        <v>220</v>
      </c>
      <c r="D202" s="17"/>
      <c r="E202" s="25"/>
      <c r="F202" s="25"/>
      <c r="G202" s="25"/>
      <c r="H202" s="25"/>
      <c r="I202" s="25"/>
      <c r="J202" s="26"/>
      <c r="K202" s="27"/>
      <c r="L202" s="37"/>
      <c r="M202" s="37"/>
      <c r="T202" s="2"/>
    </row>
    <row r="203" spans="1:20" s="38" customFormat="1" ht="25.5" customHeight="1" x14ac:dyDescent="0.25">
      <c r="A203" s="336" t="s">
        <v>399</v>
      </c>
      <c r="B203" s="337" t="s">
        <v>400</v>
      </c>
      <c r="C203" s="340" t="s">
        <v>220</v>
      </c>
      <c r="D203" s="17"/>
      <c r="E203" s="25"/>
      <c r="F203" s="25"/>
      <c r="G203" s="54"/>
      <c r="H203" s="25"/>
      <c r="I203" s="54"/>
      <c r="J203" s="26"/>
      <c r="K203" s="27"/>
      <c r="L203" s="37"/>
      <c r="M203" s="37"/>
      <c r="T203" s="2"/>
    </row>
    <row r="204" spans="1:20" s="38" customFormat="1" ht="25.5" customHeight="1" x14ac:dyDescent="0.25">
      <c r="A204" s="336" t="s">
        <v>401</v>
      </c>
      <c r="B204" s="337" t="s">
        <v>402</v>
      </c>
      <c r="C204" s="340" t="s">
        <v>220</v>
      </c>
      <c r="D204" s="17"/>
      <c r="E204" s="25"/>
      <c r="F204" s="25"/>
      <c r="G204" s="25"/>
      <c r="H204" s="25"/>
      <c r="I204" s="25"/>
      <c r="J204" s="26"/>
      <c r="K204" s="27"/>
      <c r="L204" s="37"/>
      <c r="M204" s="37"/>
      <c r="T204" s="2"/>
    </row>
    <row r="205" spans="1:20" s="38" customFormat="1" ht="25.5" customHeight="1" x14ac:dyDescent="0.25">
      <c r="A205" s="336" t="s">
        <v>403</v>
      </c>
      <c r="B205" s="337" t="s">
        <v>404</v>
      </c>
      <c r="C205" s="340" t="s">
        <v>220</v>
      </c>
      <c r="D205" s="17"/>
      <c r="E205" s="25"/>
      <c r="F205" s="25"/>
      <c r="G205" s="54"/>
      <c r="H205" s="25"/>
      <c r="I205" s="25"/>
      <c r="J205" s="26"/>
      <c r="K205" s="27"/>
      <c r="L205" s="37"/>
      <c r="M205" s="37"/>
      <c r="T205" s="2"/>
    </row>
    <row r="206" spans="1:20" s="38" customFormat="1" ht="25.5" customHeight="1" x14ac:dyDescent="0.25">
      <c r="A206" s="336" t="s">
        <v>405</v>
      </c>
      <c r="B206" s="337" t="s">
        <v>406</v>
      </c>
      <c r="C206" s="340" t="s">
        <v>220</v>
      </c>
      <c r="D206" s="17"/>
      <c r="E206" s="25"/>
      <c r="F206" s="25"/>
      <c r="G206" s="25"/>
      <c r="H206" s="25"/>
      <c r="I206" s="25"/>
      <c r="J206" s="26"/>
      <c r="K206" s="27"/>
      <c r="L206" s="37"/>
      <c r="M206" s="37"/>
      <c r="T206" s="2"/>
    </row>
    <row r="207" spans="1:20" s="38" customFormat="1" ht="25.5" customHeight="1" x14ac:dyDescent="0.25">
      <c r="A207" s="336" t="s">
        <v>407</v>
      </c>
      <c r="B207" s="354" t="s">
        <v>408</v>
      </c>
      <c r="C207" s="340" t="s">
        <v>220</v>
      </c>
      <c r="D207" s="17"/>
      <c r="E207" s="25"/>
      <c r="F207" s="25"/>
      <c r="G207" s="25"/>
      <c r="H207" s="25"/>
      <c r="I207" s="25"/>
      <c r="J207" s="26"/>
      <c r="K207" s="27"/>
      <c r="L207" s="37"/>
      <c r="M207" s="37"/>
      <c r="T207" s="2"/>
    </row>
    <row r="208" spans="1:20" s="38" customFormat="1" ht="25.5" customHeight="1" x14ac:dyDescent="0.25">
      <c r="A208" s="336"/>
      <c r="B208" s="354" t="s">
        <v>409</v>
      </c>
      <c r="C208" s="340" t="s">
        <v>220</v>
      </c>
      <c r="D208" s="17"/>
      <c r="E208" s="25"/>
      <c r="F208" s="25"/>
      <c r="G208" s="25"/>
      <c r="H208" s="25"/>
      <c r="I208" s="25"/>
      <c r="J208" s="26"/>
      <c r="K208" s="27"/>
      <c r="L208" s="37"/>
      <c r="M208" s="37"/>
      <c r="T208" s="2"/>
    </row>
    <row r="209" spans="1:20" s="38" customFormat="1" ht="25.5" customHeight="1" x14ac:dyDescent="0.25">
      <c r="A209" s="336" t="s">
        <v>410</v>
      </c>
      <c r="B209" s="354" t="s">
        <v>411</v>
      </c>
      <c r="C209" s="340" t="s">
        <v>220</v>
      </c>
      <c r="D209" s="17"/>
      <c r="E209" s="25"/>
      <c r="F209" s="25"/>
      <c r="G209" s="25"/>
      <c r="H209" s="25"/>
      <c r="I209" s="25"/>
      <c r="J209" s="26"/>
      <c r="K209" s="27"/>
      <c r="L209" s="37"/>
      <c r="M209" s="37"/>
      <c r="T209" s="2"/>
    </row>
    <row r="210" spans="1:20" s="38" customFormat="1" ht="25.5" customHeight="1" x14ac:dyDescent="0.25">
      <c r="A210" s="336" t="s">
        <v>412</v>
      </c>
      <c r="B210" s="354" t="s">
        <v>413</v>
      </c>
      <c r="C210" s="340" t="s">
        <v>220</v>
      </c>
      <c r="D210" s="17"/>
      <c r="E210" s="25"/>
      <c r="F210" s="25"/>
      <c r="G210" s="25"/>
      <c r="H210" s="25"/>
      <c r="I210" s="25"/>
      <c r="J210" s="26"/>
      <c r="K210" s="27"/>
      <c r="L210" s="37"/>
      <c r="M210" s="37"/>
      <c r="T210" s="2"/>
    </row>
    <row r="211" spans="1:20" s="38" customFormat="1" ht="25.5" customHeight="1" x14ac:dyDescent="0.25">
      <c r="A211" s="336" t="s">
        <v>414</v>
      </c>
      <c r="B211" s="354" t="s">
        <v>415</v>
      </c>
      <c r="C211" s="338" t="s">
        <v>220</v>
      </c>
      <c r="D211" s="17"/>
      <c r="E211" s="25"/>
      <c r="F211" s="25"/>
      <c r="G211" s="25"/>
      <c r="H211" s="25"/>
      <c r="I211" s="25"/>
      <c r="J211" s="26"/>
      <c r="K211" s="27"/>
      <c r="L211" s="37"/>
      <c r="M211" s="37"/>
      <c r="T211" s="2"/>
    </row>
    <row r="212" spans="1:20" s="38" customFormat="1" ht="25.5" customHeight="1" x14ac:dyDescent="0.25">
      <c r="A212" s="336" t="s">
        <v>416</v>
      </c>
      <c r="B212" s="339" t="s">
        <v>417</v>
      </c>
      <c r="C212" s="340" t="s">
        <v>220</v>
      </c>
      <c r="D212" s="17"/>
      <c r="E212" s="25"/>
      <c r="F212" s="25"/>
      <c r="G212" s="25"/>
      <c r="H212" s="25"/>
      <c r="I212" s="25"/>
      <c r="J212" s="26"/>
      <c r="K212" s="27"/>
      <c r="L212" s="37"/>
      <c r="M212" s="37"/>
      <c r="T212" s="2"/>
    </row>
    <row r="213" spans="1:20" s="38" customFormat="1" ht="25.5" customHeight="1" x14ac:dyDescent="0.25">
      <c r="A213" s="336" t="s">
        <v>418</v>
      </c>
      <c r="B213" s="354" t="s">
        <v>419</v>
      </c>
      <c r="C213" s="340" t="s">
        <v>220</v>
      </c>
      <c r="D213" s="17"/>
      <c r="E213" s="25"/>
      <c r="F213" s="25"/>
      <c r="G213" s="25"/>
      <c r="H213" s="25"/>
      <c r="I213" s="25"/>
      <c r="J213" s="26"/>
      <c r="K213" s="27"/>
      <c r="L213" s="37"/>
      <c r="M213" s="37"/>
      <c r="T213" s="2"/>
    </row>
    <row r="214" spans="1:20" s="38" customFormat="1" ht="25.5" customHeight="1" x14ac:dyDescent="0.25">
      <c r="A214" s="336" t="s">
        <v>420</v>
      </c>
      <c r="B214" s="337" t="s">
        <v>421</v>
      </c>
      <c r="C214" s="340" t="s">
        <v>220</v>
      </c>
      <c r="D214" s="17"/>
      <c r="E214" s="25"/>
      <c r="F214" s="25"/>
      <c r="G214" s="25"/>
      <c r="H214" s="25"/>
      <c r="I214" s="25"/>
      <c r="J214" s="26"/>
      <c r="K214" s="27"/>
      <c r="L214" s="37"/>
      <c r="M214" s="37"/>
      <c r="T214" s="2"/>
    </row>
    <row r="215" spans="1:20" s="38" customFormat="1" ht="25.5" customHeight="1" x14ac:dyDescent="0.25">
      <c r="A215" s="352" t="s">
        <v>422</v>
      </c>
      <c r="B215" s="337" t="s">
        <v>423</v>
      </c>
      <c r="C215" s="353" t="s">
        <v>220</v>
      </c>
      <c r="D215" s="17"/>
      <c r="E215" s="25"/>
      <c r="F215" s="25"/>
      <c r="G215" s="25"/>
      <c r="H215" s="25"/>
      <c r="I215" s="25"/>
      <c r="J215" s="26"/>
      <c r="K215" s="27"/>
      <c r="L215" s="37"/>
      <c r="M215" s="37"/>
      <c r="T215" s="2"/>
    </row>
    <row r="216" spans="1:20" s="38" customFormat="1" ht="25.5" customHeight="1" x14ac:dyDescent="0.25">
      <c r="A216" s="352" t="s">
        <v>424</v>
      </c>
      <c r="B216" s="337" t="s">
        <v>425</v>
      </c>
      <c r="C216" s="353" t="s">
        <v>220</v>
      </c>
      <c r="D216" s="17"/>
      <c r="E216" s="25"/>
      <c r="F216" s="25"/>
      <c r="G216" s="25"/>
      <c r="H216" s="25"/>
      <c r="I216" s="25"/>
      <c r="J216" s="26"/>
      <c r="K216" s="27"/>
      <c r="L216" s="37"/>
      <c r="M216" s="37"/>
      <c r="T216" s="2"/>
    </row>
    <row r="217" spans="1:20" s="38" customFormat="1" ht="25.5" customHeight="1" x14ac:dyDescent="0.25">
      <c r="A217" s="336" t="s">
        <v>426</v>
      </c>
      <c r="B217" s="350" t="s">
        <v>427</v>
      </c>
      <c r="C217" s="338" t="s">
        <v>220</v>
      </c>
      <c r="D217" s="17"/>
      <c r="E217" s="25"/>
      <c r="F217" s="25"/>
      <c r="G217" s="25"/>
      <c r="H217" s="25"/>
      <c r="I217" s="25"/>
      <c r="J217" s="26"/>
      <c r="K217" s="27"/>
      <c r="L217" s="37"/>
      <c r="M217" s="37"/>
      <c r="T217" s="2"/>
    </row>
    <row r="218" spans="1:20" s="38" customFormat="1" ht="25.5" customHeight="1" x14ac:dyDescent="0.25">
      <c r="A218" s="336" t="s">
        <v>428</v>
      </c>
      <c r="B218" s="354" t="s">
        <v>429</v>
      </c>
      <c r="C218" s="338" t="s">
        <v>220</v>
      </c>
      <c r="D218" s="17"/>
      <c r="E218" s="25"/>
      <c r="F218" s="25"/>
      <c r="G218" s="25"/>
      <c r="H218" s="25"/>
      <c r="I218" s="25"/>
      <c r="J218" s="26"/>
      <c r="K218" s="27"/>
      <c r="L218" s="37"/>
      <c r="M218" s="37"/>
      <c r="T218" s="2"/>
    </row>
    <row r="219" spans="1:20" s="38" customFormat="1" ht="25.5" customHeight="1" thickBot="1" x14ac:dyDescent="0.3">
      <c r="A219" s="336"/>
      <c r="B219" s="354"/>
      <c r="C219" s="338"/>
      <c r="D219" s="17"/>
      <c r="E219" s="25"/>
      <c r="F219" s="25"/>
      <c r="G219" s="25"/>
      <c r="H219" s="25"/>
      <c r="I219" s="25"/>
      <c r="J219" s="26"/>
      <c r="K219" s="27"/>
      <c r="L219" s="37"/>
      <c r="M219" s="37"/>
      <c r="T219" s="2"/>
    </row>
    <row r="220" spans="1:20" s="14" customFormat="1" ht="18.75" customHeight="1" collapsed="1" x14ac:dyDescent="0.25">
      <c r="A220" s="57"/>
      <c r="B220" s="58" t="s">
        <v>430</v>
      </c>
      <c r="C220" s="59"/>
      <c r="D220" s="60"/>
      <c r="E220" s="61"/>
      <c r="F220" s="62">
        <f>SUM(F14:F219)</f>
        <v>0</v>
      </c>
      <c r="G220" s="61"/>
      <c r="H220" s="62">
        <f>SUM(H14:H219)</f>
        <v>0</v>
      </c>
      <c r="I220" s="61"/>
      <c r="J220" s="63">
        <f>SUM(J14:J219)</f>
        <v>0</v>
      </c>
      <c r="K220" s="64"/>
      <c r="L220" s="65"/>
      <c r="M220" s="65"/>
    </row>
    <row r="221" spans="1:20" s="73" customFormat="1" ht="18.75" customHeight="1" thickBot="1" x14ac:dyDescent="0.35">
      <c r="A221" s="66"/>
      <c r="B221" s="67" t="s">
        <v>431</v>
      </c>
      <c r="C221" s="68"/>
      <c r="D221" s="68"/>
      <c r="E221" s="69"/>
      <c r="F221" s="69"/>
      <c r="G221" s="69"/>
      <c r="H221" s="69">
        <f>+IFERROR(H220/F220,0)</f>
        <v>0</v>
      </c>
      <c r="I221" s="69"/>
      <c r="J221" s="70">
        <f>+IFERROR(J220/F220,0)</f>
        <v>0</v>
      </c>
      <c r="K221" s="71"/>
      <c r="L221" s="72"/>
      <c r="M221" s="72"/>
      <c r="N221" s="72"/>
    </row>
    <row r="222" spans="1:20" ht="21" customHeight="1" x14ac:dyDescent="0.25">
      <c r="A222" s="74" t="s">
        <v>719</v>
      </c>
      <c r="B222" s="75"/>
      <c r="C222" s="76"/>
      <c r="D222" s="77"/>
      <c r="E222" s="78"/>
      <c r="F222" s="79"/>
      <c r="G222" s="79"/>
      <c r="H222" s="79"/>
      <c r="I222" s="80"/>
      <c r="J222" s="80"/>
      <c r="K222" s="81"/>
      <c r="L222" s="21"/>
      <c r="M222" s="21"/>
    </row>
    <row r="223" spans="1:20" ht="41.25" customHeight="1" x14ac:dyDescent="0.3">
      <c r="A223" s="375"/>
      <c r="B223" s="376"/>
      <c r="C223" s="376"/>
      <c r="D223" s="377"/>
      <c r="E223" s="399" t="s">
        <v>433</v>
      </c>
      <c r="F223" s="399"/>
      <c r="G223" s="82" t="s">
        <v>434</v>
      </c>
      <c r="H223" s="83" t="s">
        <v>435</v>
      </c>
      <c r="I223" s="83" t="s">
        <v>436</v>
      </c>
      <c r="J223" s="80"/>
      <c r="K223" s="81"/>
      <c r="L223" s="72"/>
      <c r="M223" s="21"/>
    </row>
    <row r="224" spans="1:20" ht="21" customHeight="1" x14ac:dyDescent="0.3">
      <c r="A224" s="375"/>
      <c r="B224" s="376"/>
      <c r="C224" s="376"/>
      <c r="D224" s="377"/>
      <c r="E224" s="400" t="s">
        <v>720</v>
      </c>
      <c r="F224" s="400"/>
      <c r="G224" s="84"/>
      <c r="H224" s="85"/>
      <c r="I224" s="85"/>
      <c r="J224" s="80"/>
      <c r="K224" s="81"/>
      <c r="L224" s="21"/>
      <c r="M224" s="21"/>
      <c r="P224" s="355"/>
    </row>
    <row r="225" spans="1:16" ht="21" customHeight="1" x14ac:dyDescent="0.3">
      <c r="A225" s="375"/>
      <c r="B225" s="376"/>
      <c r="C225" s="376"/>
      <c r="D225" s="377"/>
      <c r="E225" s="400" t="s">
        <v>721</v>
      </c>
      <c r="F225" s="400"/>
      <c r="G225" s="84"/>
      <c r="H225" s="85"/>
      <c r="I225" s="85"/>
      <c r="J225" s="80"/>
      <c r="K225" s="81"/>
      <c r="L225" s="21"/>
      <c r="M225" s="21"/>
    </row>
    <row r="226" spans="1:16" ht="21" customHeight="1" x14ac:dyDescent="0.3">
      <c r="A226" s="375"/>
      <c r="B226" s="376"/>
      <c r="C226" s="376"/>
      <c r="D226" s="377"/>
      <c r="E226" s="400" t="s">
        <v>722</v>
      </c>
      <c r="F226" s="400"/>
      <c r="G226" s="84"/>
      <c r="H226" s="85"/>
      <c r="I226" s="85"/>
      <c r="J226" s="80"/>
      <c r="K226" s="81"/>
      <c r="L226" s="21"/>
      <c r="M226" s="21"/>
    </row>
    <row r="227" spans="1:16" ht="21" customHeight="1" x14ac:dyDescent="0.3">
      <c r="A227" s="375"/>
      <c r="B227" s="376"/>
      <c r="C227" s="376"/>
      <c r="D227" s="377"/>
      <c r="E227" s="401" t="s">
        <v>488</v>
      </c>
      <c r="F227" s="401"/>
      <c r="G227" s="84"/>
      <c r="H227" s="85">
        <f>H213+H211+H209</f>
        <v>0</v>
      </c>
      <c r="I227" s="85"/>
      <c r="J227" s="80"/>
      <c r="K227" s="81"/>
      <c r="L227" s="21"/>
      <c r="M227" s="21"/>
    </row>
    <row r="228" spans="1:16" ht="21" customHeight="1" x14ac:dyDescent="0.3">
      <c r="A228" s="386" t="s">
        <v>716</v>
      </c>
      <c r="B228" s="387"/>
      <c r="C228" s="387"/>
      <c r="D228" s="388"/>
      <c r="E228" s="369" t="s">
        <v>710</v>
      </c>
      <c r="F228" s="369"/>
      <c r="G228" s="369"/>
      <c r="H228" s="369"/>
      <c r="I228" s="369" t="s">
        <v>714</v>
      </c>
      <c r="J228" s="369"/>
      <c r="K228" s="369"/>
      <c r="L228" s="21"/>
      <c r="M228" s="21"/>
    </row>
    <row r="229" spans="1:16" ht="21" customHeight="1" x14ac:dyDescent="0.25">
      <c r="A229" s="317"/>
      <c r="B229" s="318"/>
      <c r="C229" s="318"/>
      <c r="D229" s="318"/>
      <c r="E229" s="378" t="s">
        <v>711</v>
      </c>
      <c r="F229" s="379"/>
      <c r="G229" s="356" t="s">
        <v>712</v>
      </c>
      <c r="H229" s="356" t="s">
        <v>713</v>
      </c>
      <c r="I229" s="363" t="s">
        <v>715</v>
      </c>
      <c r="J229" s="370"/>
      <c r="K229" s="364"/>
      <c r="L229" s="21"/>
      <c r="M229" s="21"/>
    </row>
    <row r="230" spans="1:16" ht="21" customHeight="1" x14ac:dyDescent="0.25">
      <c r="A230" s="317"/>
      <c r="B230" s="318"/>
      <c r="C230" s="318"/>
      <c r="D230" s="318"/>
      <c r="E230" s="380"/>
      <c r="F230" s="381"/>
      <c r="G230" s="384"/>
      <c r="H230" s="384"/>
      <c r="I230" s="371"/>
      <c r="J230" s="372"/>
      <c r="K230" s="373"/>
      <c r="L230" s="21"/>
      <c r="M230" s="21"/>
    </row>
    <row r="231" spans="1:16" ht="21" customHeight="1" x14ac:dyDescent="0.25">
      <c r="A231" s="317"/>
      <c r="B231" s="318"/>
      <c r="C231" s="318"/>
      <c r="D231" s="318"/>
      <c r="E231" s="382"/>
      <c r="F231" s="383"/>
      <c r="G231" s="385"/>
      <c r="H231" s="385"/>
      <c r="I231" s="371"/>
      <c r="J231" s="372"/>
      <c r="K231" s="373"/>
      <c r="L231" s="21"/>
      <c r="M231" s="21"/>
    </row>
    <row r="232" spans="1:16" ht="21" customHeight="1" x14ac:dyDescent="0.25">
      <c r="A232" s="323" t="b">
        <v>0</v>
      </c>
      <c r="B232" s="324" t="b">
        <v>0</v>
      </c>
      <c r="C232" s="319"/>
      <c r="D232" s="320"/>
      <c r="E232" s="363"/>
      <c r="F232" s="364"/>
      <c r="G232" s="367"/>
      <c r="H232" s="367" t="s">
        <v>717</v>
      </c>
      <c r="I232" s="371"/>
      <c r="J232" s="372"/>
      <c r="K232" s="373"/>
      <c r="L232" s="21"/>
      <c r="M232" s="21"/>
    </row>
    <row r="233" spans="1:16" ht="15" customHeight="1" thickBot="1" x14ac:dyDescent="0.35">
      <c r="A233" s="321"/>
      <c r="B233" s="357"/>
      <c r="C233" s="322"/>
      <c r="D233" s="319"/>
      <c r="E233" s="365"/>
      <c r="F233" s="366"/>
      <c r="G233" s="368"/>
      <c r="H233" s="368"/>
      <c r="I233" s="365"/>
      <c r="J233" s="374"/>
      <c r="K233" s="366"/>
      <c r="L233" s="21"/>
      <c r="M233" s="21"/>
    </row>
    <row r="234" spans="1:16" ht="15" customHeight="1" x14ac:dyDescent="0.3">
      <c r="A234" s="325"/>
      <c r="B234" s="358"/>
      <c r="C234" s="326"/>
      <c r="D234" s="3"/>
      <c r="E234" s="359"/>
      <c r="F234" s="359"/>
      <c r="G234" s="359"/>
      <c r="H234" s="359"/>
      <c r="I234" s="359"/>
      <c r="J234" s="359"/>
      <c r="K234" s="359"/>
      <c r="L234" s="21"/>
      <c r="M234" s="21"/>
    </row>
    <row r="235" spans="1:16" ht="15" customHeight="1" x14ac:dyDescent="0.3">
      <c r="A235" s="86" t="s">
        <v>437</v>
      </c>
      <c r="B235" s="14"/>
      <c r="E235" s="80"/>
      <c r="F235" s="80"/>
      <c r="G235" s="80"/>
      <c r="H235" s="80"/>
      <c r="I235" s="87" t="s">
        <v>438</v>
      </c>
      <c r="K235" s="88"/>
      <c r="L235" s="21"/>
      <c r="M235" s="21"/>
    </row>
    <row r="236" spans="1:16" ht="15" customHeight="1" thickBot="1" x14ac:dyDescent="0.35">
      <c r="A236" s="89"/>
      <c r="B236" s="90"/>
      <c r="C236" s="91"/>
      <c r="D236" s="91"/>
      <c r="E236" s="92"/>
      <c r="F236" s="92"/>
      <c r="G236" s="92"/>
      <c r="H236" s="92"/>
      <c r="I236" s="92"/>
      <c r="J236" s="92"/>
      <c r="K236" s="93"/>
      <c r="L236" s="21"/>
      <c r="M236" s="21"/>
    </row>
    <row r="237" spans="1:16" ht="16.5" customHeight="1" thickTop="1" x14ac:dyDescent="0.3">
      <c r="E237" s="80"/>
      <c r="F237" s="80"/>
      <c r="G237" s="80"/>
      <c r="H237" s="80"/>
      <c r="I237" s="80"/>
      <c r="J237" s="80"/>
      <c r="K237" s="80"/>
      <c r="L237" s="21"/>
      <c r="M237" s="21"/>
    </row>
    <row r="238" spans="1:16" ht="16.5" customHeight="1" x14ac:dyDescent="0.3">
      <c r="B238" s="94"/>
      <c r="E238" s="80"/>
      <c r="F238" s="80"/>
      <c r="G238" s="80"/>
      <c r="H238" s="80"/>
      <c r="I238" s="80"/>
      <c r="J238" s="80"/>
      <c r="K238" s="80"/>
      <c r="L238" s="21"/>
      <c r="M238" s="21"/>
    </row>
    <row r="239" spans="1:16" ht="16.5" customHeight="1" x14ac:dyDescent="0.3">
      <c r="B239" s="94"/>
      <c r="E239" s="80"/>
      <c r="F239" s="80"/>
      <c r="G239" s="80"/>
      <c r="H239" s="80"/>
      <c r="I239" s="80"/>
      <c r="J239" s="80"/>
      <c r="K239" s="80"/>
      <c r="L239" s="21"/>
      <c r="M239" s="21"/>
    </row>
    <row r="240" spans="1:16" ht="16.5" customHeight="1" x14ac:dyDescent="0.3">
      <c r="E240" s="80"/>
      <c r="F240" s="80"/>
      <c r="G240" s="80"/>
      <c r="H240" s="80"/>
      <c r="I240" s="80"/>
      <c r="J240" s="80"/>
      <c r="K240" s="80"/>
      <c r="L240" s="21"/>
      <c r="M240" s="21"/>
      <c r="P240" s="2">
        <f>P239*160</f>
        <v>0</v>
      </c>
    </row>
    <row r="241" spans="2:13" ht="16.5" customHeight="1" x14ac:dyDescent="0.3">
      <c r="E241" s="80"/>
      <c r="F241" s="80"/>
      <c r="G241" s="80"/>
      <c r="H241" s="80"/>
      <c r="I241" s="80"/>
      <c r="J241" s="80"/>
      <c r="K241" s="80"/>
      <c r="L241" s="21"/>
      <c r="M241" s="21"/>
    </row>
    <row r="242" spans="2:13" ht="16.5" customHeight="1" x14ac:dyDescent="0.3">
      <c r="E242" s="80"/>
      <c r="F242" s="80"/>
      <c r="G242" s="80"/>
      <c r="H242" s="80"/>
      <c r="I242" s="80"/>
      <c r="J242" s="80"/>
      <c r="K242" s="80"/>
      <c r="L242" s="21"/>
      <c r="M242" s="21"/>
    </row>
    <row r="243" spans="2:13" ht="16.5" customHeight="1" x14ac:dyDescent="0.3">
      <c r="E243" s="80"/>
      <c r="F243" s="80"/>
      <c r="G243" s="80"/>
      <c r="H243" s="80"/>
      <c r="I243" s="80"/>
      <c r="J243" s="80"/>
      <c r="K243" s="80"/>
      <c r="L243" s="21"/>
      <c r="M243" s="21"/>
    </row>
    <row r="244" spans="2:13" ht="16.5" customHeight="1" x14ac:dyDescent="0.3">
      <c r="B244" s="94"/>
      <c r="E244" s="80"/>
      <c r="F244" s="80"/>
      <c r="G244" s="80"/>
      <c r="H244" s="80"/>
      <c r="I244" s="80"/>
      <c r="J244" s="80"/>
      <c r="K244" s="80"/>
      <c r="L244" s="21"/>
      <c r="M244" s="21"/>
    </row>
    <row r="245" spans="2:13" ht="16.5" customHeight="1" x14ac:dyDescent="0.3">
      <c r="E245" s="80"/>
      <c r="F245" s="80"/>
      <c r="G245" s="80"/>
      <c r="H245" s="80"/>
      <c r="I245" s="80"/>
      <c r="J245" s="80"/>
      <c r="K245" s="80"/>
      <c r="L245" s="21"/>
      <c r="M245" s="21"/>
    </row>
    <row r="246" spans="2:13" ht="16.5" customHeight="1" x14ac:dyDescent="0.3">
      <c r="E246" s="80"/>
      <c r="G246" s="80"/>
      <c r="H246" s="80"/>
      <c r="I246" s="80"/>
      <c r="J246" s="80"/>
      <c r="K246" s="80"/>
      <c r="L246" s="21"/>
      <c r="M246" s="21"/>
    </row>
    <row r="247" spans="2:13" ht="16.5" customHeight="1" x14ac:dyDescent="0.3">
      <c r="E247" s="80"/>
      <c r="G247" s="80"/>
      <c r="H247" s="80"/>
      <c r="I247" s="80"/>
      <c r="J247" s="80"/>
      <c r="K247" s="80"/>
      <c r="L247" s="21"/>
      <c r="M247" s="21"/>
    </row>
    <row r="248" spans="2:13" ht="16.5" customHeight="1" x14ac:dyDescent="0.3">
      <c r="E248" s="80"/>
      <c r="G248" s="80"/>
      <c r="H248" s="80"/>
      <c r="I248" s="80"/>
      <c r="J248" s="80"/>
      <c r="K248" s="80"/>
      <c r="L248" s="21"/>
      <c r="M248" s="21"/>
    </row>
    <row r="249" spans="2:13" ht="16.5" customHeight="1" x14ac:dyDescent="0.3">
      <c r="E249" s="80"/>
      <c r="G249" s="80"/>
      <c r="H249" s="80"/>
      <c r="I249" s="80"/>
      <c r="J249" s="80"/>
      <c r="K249" s="80"/>
      <c r="L249" s="21"/>
      <c r="M249" s="21"/>
    </row>
    <row r="250" spans="2:13" ht="16.5" customHeight="1" x14ac:dyDescent="0.3">
      <c r="E250" s="80"/>
      <c r="G250" s="80"/>
      <c r="H250" s="80"/>
      <c r="I250" s="80"/>
      <c r="J250" s="80"/>
      <c r="K250" s="80"/>
      <c r="L250" s="21"/>
      <c r="M250" s="21"/>
    </row>
    <row r="251" spans="2:13" ht="16.5" customHeight="1" x14ac:dyDescent="0.3">
      <c r="E251" s="80"/>
      <c r="G251" s="80"/>
      <c r="H251" s="80"/>
      <c r="I251" s="80"/>
      <c r="J251" s="80"/>
      <c r="K251" s="80"/>
      <c r="L251" s="21"/>
      <c r="M251" s="21"/>
    </row>
    <row r="252" spans="2:13" ht="16.5" customHeight="1" x14ac:dyDescent="0.3">
      <c r="E252" s="80"/>
      <c r="G252" s="80"/>
      <c r="H252" s="80"/>
      <c r="I252" s="80"/>
      <c r="J252" s="80"/>
      <c r="K252" s="80"/>
      <c r="L252" s="21"/>
      <c r="M252" s="21"/>
    </row>
    <row r="253" spans="2:13" ht="16.5" customHeight="1" x14ac:dyDescent="0.3">
      <c r="E253" s="80"/>
      <c r="F253" s="80"/>
      <c r="G253" s="80"/>
      <c r="H253" s="80"/>
      <c r="I253" s="80"/>
      <c r="J253" s="80"/>
      <c r="K253" s="80"/>
      <c r="L253" s="21"/>
      <c r="M253" s="21"/>
    </row>
    <row r="254" spans="2:13" ht="16.5" customHeight="1" x14ac:dyDescent="0.3">
      <c r="E254" s="80"/>
      <c r="F254" s="80"/>
      <c r="G254" s="80"/>
      <c r="H254" s="80"/>
      <c r="I254" s="80"/>
      <c r="J254" s="80"/>
      <c r="K254" s="80"/>
      <c r="L254" s="21"/>
      <c r="M254" s="21"/>
    </row>
    <row r="255" spans="2:13" ht="16.5" customHeight="1" x14ac:dyDescent="0.3">
      <c r="E255" s="80"/>
      <c r="F255" s="80"/>
      <c r="G255" s="80"/>
      <c r="H255" s="80"/>
      <c r="I255" s="80"/>
      <c r="J255" s="80"/>
      <c r="K255" s="80"/>
      <c r="L255" s="21"/>
      <c r="M255" s="21"/>
    </row>
    <row r="256" spans="2:13" ht="16.5" customHeight="1" x14ac:dyDescent="0.3">
      <c r="E256" s="80"/>
      <c r="F256" s="80"/>
      <c r="G256" s="80"/>
      <c r="H256" s="80"/>
      <c r="I256" s="80"/>
      <c r="J256" s="80"/>
      <c r="K256" s="80"/>
      <c r="L256" s="21"/>
      <c r="M256" s="21"/>
    </row>
    <row r="257" spans="5:13" ht="16.5" customHeight="1" x14ac:dyDescent="0.3">
      <c r="E257" s="80"/>
      <c r="F257" s="80"/>
      <c r="G257" s="80"/>
      <c r="H257" s="80"/>
      <c r="I257" s="80"/>
      <c r="J257" s="80"/>
      <c r="K257" s="80"/>
      <c r="L257" s="21"/>
      <c r="M257" s="21"/>
    </row>
    <row r="258" spans="5:13" ht="16.5" customHeight="1" x14ac:dyDescent="0.3">
      <c r="E258" s="80"/>
      <c r="F258" s="80"/>
      <c r="G258" s="80"/>
      <c r="H258" s="80"/>
      <c r="I258" s="80"/>
      <c r="J258" s="80"/>
      <c r="K258" s="80"/>
      <c r="L258" s="21"/>
      <c r="M258" s="21"/>
    </row>
    <row r="259" spans="5:13" ht="16.5" customHeight="1" x14ac:dyDescent="0.3">
      <c r="E259" s="80"/>
      <c r="F259" s="80"/>
      <c r="G259" s="80"/>
      <c r="H259" s="80"/>
      <c r="I259" s="80"/>
      <c r="J259" s="80"/>
      <c r="K259" s="80"/>
      <c r="L259" s="21"/>
      <c r="M259" s="21"/>
    </row>
    <row r="260" spans="5:13" ht="16.5" customHeight="1" x14ac:dyDescent="0.3">
      <c r="E260" s="80"/>
      <c r="F260" s="80"/>
      <c r="G260" s="80"/>
      <c r="H260" s="80"/>
      <c r="I260" s="80"/>
      <c r="J260" s="80"/>
      <c r="K260" s="80"/>
      <c r="L260" s="21"/>
      <c r="M260" s="21"/>
    </row>
    <row r="261" spans="5:13" ht="16.5" customHeight="1" x14ac:dyDescent="0.3">
      <c r="E261" s="80"/>
      <c r="F261" s="80"/>
      <c r="G261" s="80"/>
      <c r="H261" s="80"/>
      <c r="I261" s="80"/>
      <c r="J261" s="80"/>
      <c r="K261" s="80"/>
      <c r="L261" s="21"/>
      <c r="M261" s="21"/>
    </row>
    <row r="262" spans="5:13" ht="16.5" customHeight="1" x14ac:dyDescent="0.3">
      <c r="E262" s="80"/>
      <c r="F262" s="80"/>
      <c r="G262" s="80"/>
      <c r="H262" s="80"/>
      <c r="I262" s="80"/>
      <c r="J262" s="80"/>
      <c r="K262" s="80"/>
      <c r="L262" s="21"/>
      <c r="M262" s="21"/>
    </row>
    <row r="263" spans="5:13" ht="16.5" customHeight="1" x14ac:dyDescent="0.3">
      <c r="E263" s="80"/>
      <c r="F263" s="80"/>
      <c r="G263" s="80"/>
      <c r="H263" s="80"/>
      <c r="I263" s="80"/>
      <c r="J263" s="80"/>
      <c r="K263" s="80"/>
      <c r="L263" s="21"/>
      <c r="M263" s="21"/>
    </row>
    <row r="264" spans="5:13" ht="16.5" customHeight="1" x14ac:dyDescent="0.3">
      <c r="E264" s="80"/>
      <c r="F264" s="80"/>
      <c r="G264" s="80"/>
      <c r="H264" s="80"/>
      <c r="I264" s="80"/>
      <c r="J264" s="80"/>
      <c r="K264" s="80"/>
      <c r="L264" s="21"/>
      <c r="M264" s="21"/>
    </row>
    <row r="265" spans="5:13" ht="16.5" customHeight="1" x14ac:dyDescent="0.3">
      <c r="E265" s="80"/>
      <c r="F265" s="80"/>
      <c r="G265" s="80"/>
      <c r="H265" s="80"/>
      <c r="I265" s="80"/>
      <c r="J265" s="80"/>
      <c r="K265" s="80"/>
      <c r="L265" s="21"/>
      <c r="M265" s="21"/>
    </row>
    <row r="266" spans="5:13" ht="16.5" customHeight="1" x14ac:dyDescent="0.3">
      <c r="E266" s="80"/>
      <c r="F266" s="80"/>
      <c r="G266" s="80"/>
      <c r="H266" s="80"/>
      <c r="I266" s="80"/>
      <c r="J266" s="80"/>
      <c r="K266" s="80"/>
      <c r="L266" s="21"/>
      <c r="M266" s="21"/>
    </row>
    <row r="267" spans="5:13" ht="16.5" customHeight="1" x14ac:dyDescent="0.3">
      <c r="E267" s="80"/>
      <c r="F267" s="80"/>
      <c r="G267" s="80"/>
      <c r="H267" s="80"/>
      <c r="I267" s="80"/>
      <c r="J267" s="80"/>
      <c r="K267" s="80"/>
      <c r="L267" s="21"/>
      <c r="M267" s="21"/>
    </row>
    <row r="268" spans="5:13" ht="16.5" customHeight="1" x14ac:dyDescent="0.3">
      <c r="E268" s="80"/>
      <c r="F268" s="80"/>
      <c r="G268" s="80"/>
      <c r="H268" s="80"/>
      <c r="I268" s="80"/>
      <c r="J268" s="80"/>
      <c r="K268" s="80"/>
      <c r="L268" s="21"/>
      <c r="M268" s="21"/>
    </row>
    <row r="269" spans="5:13" ht="16.5" customHeight="1" x14ac:dyDescent="0.3">
      <c r="E269" s="80"/>
      <c r="F269" s="80"/>
      <c r="G269" s="80"/>
      <c r="H269" s="80"/>
      <c r="I269" s="80"/>
      <c r="J269" s="80"/>
      <c r="K269" s="80"/>
      <c r="L269" s="21"/>
      <c r="M269" s="21"/>
    </row>
    <row r="270" spans="5:13" ht="16.5" customHeight="1" x14ac:dyDescent="0.3">
      <c r="E270" s="80"/>
      <c r="F270" s="80"/>
      <c r="G270" s="80"/>
      <c r="H270" s="80"/>
      <c r="I270" s="80"/>
      <c r="J270" s="80"/>
      <c r="K270" s="80"/>
      <c r="L270" s="21"/>
      <c r="M270" s="21"/>
    </row>
    <row r="271" spans="5:13" ht="16.5" customHeight="1" x14ac:dyDescent="0.3">
      <c r="E271" s="80"/>
      <c r="F271" s="80"/>
      <c r="G271" s="80"/>
      <c r="H271" s="80"/>
      <c r="I271" s="80"/>
      <c r="J271" s="80"/>
      <c r="K271" s="80"/>
      <c r="L271" s="21"/>
      <c r="M271" s="21"/>
    </row>
    <row r="272" spans="5:13" ht="16.5" customHeight="1" x14ac:dyDescent="0.3">
      <c r="E272" s="80"/>
      <c r="F272" s="80"/>
      <c r="G272" s="80"/>
      <c r="H272" s="80"/>
      <c r="I272" s="80"/>
      <c r="J272" s="80"/>
      <c r="K272" s="80"/>
      <c r="L272" s="21"/>
      <c r="M272" s="21"/>
    </row>
    <row r="273" spans="5:13" ht="16.5" customHeight="1" x14ac:dyDescent="0.3">
      <c r="E273" s="80"/>
      <c r="F273" s="80"/>
      <c r="G273" s="80"/>
      <c r="H273" s="80"/>
      <c r="I273" s="80"/>
      <c r="J273" s="80"/>
      <c r="K273" s="80"/>
      <c r="L273" s="21"/>
      <c r="M273" s="21"/>
    </row>
    <row r="274" spans="5:13" ht="16.5" customHeight="1" x14ac:dyDescent="0.3">
      <c r="E274" s="80"/>
      <c r="F274" s="80"/>
      <c r="G274" s="80"/>
      <c r="H274" s="80"/>
      <c r="I274" s="80"/>
      <c r="J274" s="80"/>
      <c r="K274" s="80"/>
      <c r="L274" s="21"/>
      <c r="M274" s="21"/>
    </row>
    <row r="275" spans="5:13" ht="16.5" customHeight="1" x14ac:dyDescent="0.3">
      <c r="E275" s="80"/>
      <c r="F275" s="80"/>
      <c r="G275" s="80"/>
      <c r="H275" s="80"/>
      <c r="I275" s="80"/>
      <c r="J275" s="80"/>
      <c r="K275" s="80"/>
      <c r="L275" s="21"/>
      <c r="M275" s="21"/>
    </row>
    <row r="276" spans="5:13" ht="16.5" customHeight="1" x14ac:dyDescent="0.3">
      <c r="E276" s="80"/>
      <c r="F276" s="80"/>
      <c r="G276" s="80"/>
      <c r="H276" s="80"/>
      <c r="I276" s="80"/>
      <c r="J276" s="80"/>
      <c r="K276" s="80"/>
      <c r="L276" s="21"/>
      <c r="M276" s="21"/>
    </row>
    <row r="277" spans="5:13" ht="16.5" customHeight="1" x14ac:dyDescent="0.3">
      <c r="E277" s="80"/>
      <c r="F277" s="80"/>
      <c r="G277" s="80"/>
      <c r="H277" s="80"/>
      <c r="I277" s="80"/>
      <c r="J277" s="80"/>
      <c r="K277" s="80"/>
      <c r="L277" s="21"/>
      <c r="M277" s="21"/>
    </row>
    <row r="278" spans="5:13" ht="16.5" customHeight="1" x14ac:dyDescent="0.3">
      <c r="E278" s="80"/>
      <c r="F278" s="80"/>
      <c r="G278" s="80"/>
      <c r="H278" s="80"/>
      <c r="I278" s="80"/>
      <c r="J278" s="80"/>
      <c r="K278" s="80"/>
      <c r="L278" s="21"/>
      <c r="M278" s="21"/>
    </row>
    <row r="279" spans="5:13" ht="16.5" customHeight="1" x14ac:dyDescent="0.3">
      <c r="E279" s="80"/>
      <c r="F279" s="80"/>
      <c r="G279" s="80"/>
      <c r="H279" s="80"/>
      <c r="I279" s="80"/>
      <c r="J279" s="80"/>
      <c r="K279" s="80"/>
      <c r="L279" s="21"/>
      <c r="M279" s="21"/>
    </row>
    <row r="280" spans="5:13" ht="16.5" customHeight="1" x14ac:dyDescent="0.3">
      <c r="E280" s="80"/>
      <c r="F280" s="80"/>
      <c r="G280" s="80"/>
      <c r="H280" s="80"/>
      <c r="I280" s="80"/>
      <c r="J280" s="80"/>
      <c r="K280" s="80"/>
      <c r="L280" s="21"/>
      <c r="M280" s="21"/>
    </row>
    <row r="281" spans="5:13" ht="16.5" customHeight="1" x14ac:dyDescent="0.3">
      <c r="E281" s="80"/>
      <c r="F281" s="80"/>
      <c r="G281" s="80"/>
      <c r="H281" s="80"/>
      <c r="I281" s="80"/>
      <c r="J281" s="80"/>
      <c r="K281" s="80"/>
      <c r="L281" s="21"/>
      <c r="M281" s="21"/>
    </row>
    <row r="282" spans="5:13" ht="16.5" customHeight="1" x14ac:dyDescent="0.3">
      <c r="E282" s="80"/>
      <c r="F282" s="80"/>
      <c r="G282" s="80"/>
      <c r="H282" s="80"/>
      <c r="I282" s="80"/>
      <c r="J282" s="80"/>
      <c r="K282" s="80"/>
      <c r="L282" s="21"/>
      <c r="M282" s="21"/>
    </row>
    <row r="283" spans="5:13" ht="16.5" customHeight="1" x14ac:dyDescent="0.3">
      <c r="E283" s="80"/>
      <c r="F283" s="80"/>
      <c r="G283" s="80"/>
      <c r="H283" s="80"/>
      <c r="I283" s="80"/>
      <c r="J283" s="80"/>
      <c r="K283" s="80"/>
      <c r="L283" s="21"/>
      <c r="M283" s="21"/>
    </row>
    <row r="284" spans="5:13" ht="16.5" customHeight="1" x14ac:dyDescent="0.3">
      <c r="E284" s="80"/>
      <c r="F284" s="80"/>
      <c r="G284" s="80"/>
      <c r="H284" s="80"/>
      <c r="I284" s="80"/>
      <c r="J284" s="80"/>
      <c r="K284" s="80"/>
      <c r="L284" s="21"/>
      <c r="M284" s="21"/>
    </row>
    <row r="285" spans="5:13" ht="16.5" customHeight="1" x14ac:dyDescent="0.3">
      <c r="E285" s="80"/>
      <c r="F285" s="80"/>
      <c r="G285" s="80"/>
      <c r="H285" s="80"/>
      <c r="I285" s="80"/>
      <c r="J285" s="80"/>
      <c r="K285" s="80"/>
      <c r="L285" s="21"/>
      <c r="M285" s="21"/>
    </row>
    <row r="286" spans="5:13" ht="16.5" customHeight="1" x14ac:dyDescent="0.3">
      <c r="E286" s="80"/>
      <c r="F286" s="80"/>
      <c r="G286" s="80"/>
      <c r="H286" s="80"/>
      <c r="I286" s="80"/>
      <c r="J286" s="80"/>
      <c r="K286" s="80"/>
      <c r="L286" s="21"/>
      <c r="M286" s="21"/>
    </row>
    <row r="287" spans="5:13" ht="16.5" customHeight="1" x14ac:dyDescent="0.3">
      <c r="E287" s="80"/>
      <c r="F287" s="80"/>
      <c r="G287" s="80"/>
      <c r="H287" s="80"/>
      <c r="I287" s="80"/>
      <c r="J287" s="80"/>
      <c r="K287" s="80"/>
      <c r="L287" s="21"/>
      <c r="M287" s="21"/>
    </row>
    <row r="288" spans="5:13" ht="16.5" customHeight="1" x14ac:dyDescent="0.3">
      <c r="E288" s="80"/>
      <c r="F288" s="80"/>
      <c r="G288" s="80"/>
      <c r="H288" s="80"/>
      <c r="I288" s="80"/>
      <c r="J288" s="80"/>
      <c r="K288" s="80"/>
      <c r="L288" s="21"/>
      <c r="M288" s="21"/>
    </row>
    <row r="289" spans="5:13" ht="16.5" customHeight="1" x14ac:dyDescent="0.3">
      <c r="E289" s="80"/>
      <c r="F289" s="80"/>
      <c r="G289" s="80"/>
      <c r="H289" s="80"/>
      <c r="I289" s="80"/>
      <c r="J289" s="80"/>
      <c r="K289" s="80"/>
      <c r="L289" s="21"/>
      <c r="M289" s="21"/>
    </row>
    <row r="290" spans="5:13" ht="16.5" customHeight="1" x14ac:dyDescent="0.3">
      <c r="E290" s="80"/>
      <c r="F290" s="80"/>
      <c r="G290" s="80"/>
      <c r="H290" s="80"/>
      <c r="I290" s="80"/>
      <c r="J290" s="80"/>
      <c r="K290" s="80"/>
      <c r="L290" s="21"/>
      <c r="M290" s="21"/>
    </row>
    <row r="291" spans="5:13" ht="16.5" customHeight="1" x14ac:dyDescent="0.3">
      <c r="E291" s="80"/>
      <c r="F291" s="80"/>
      <c r="G291" s="80"/>
      <c r="H291" s="80"/>
      <c r="I291" s="80"/>
      <c r="J291" s="80"/>
      <c r="K291" s="80"/>
      <c r="L291" s="21"/>
      <c r="M291" s="21"/>
    </row>
    <row r="292" spans="5:13" ht="16.5" customHeight="1" x14ac:dyDescent="0.3">
      <c r="E292" s="80"/>
      <c r="F292" s="80"/>
      <c r="G292" s="80"/>
      <c r="H292" s="80"/>
      <c r="I292" s="80"/>
      <c r="J292" s="80"/>
      <c r="K292" s="80"/>
      <c r="L292" s="21"/>
      <c r="M292" s="21"/>
    </row>
    <row r="293" spans="5:13" ht="16.5" customHeight="1" x14ac:dyDescent="0.3">
      <c r="E293" s="80"/>
      <c r="F293" s="80"/>
      <c r="G293" s="80"/>
      <c r="H293" s="80"/>
      <c r="I293" s="80"/>
      <c r="J293" s="80"/>
      <c r="K293" s="80"/>
      <c r="L293" s="21"/>
      <c r="M293" s="21"/>
    </row>
    <row r="294" spans="5:13" ht="16.5" customHeight="1" x14ac:dyDescent="0.3">
      <c r="E294" s="80"/>
      <c r="F294" s="80"/>
      <c r="G294" s="80"/>
      <c r="H294" s="80"/>
      <c r="I294" s="80"/>
      <c r="J294" s="80"/>
      <c r="K294" s="80"/>
      <c r="L294" s="21"/>
      <c r="M294" s="21"/>
    </row>
    <row r="295" spans="5:13" ht="16.5" customHeight="1" x14ac:dyDescent="0.3">
      <c r="E295" s="80"/>
      <c r="F295" s="80"/>
      <c r="G295" s="80"/>
      <c r="H295" s="80"/>
      <c r="I295" s="80"/>
      <c r="J295" s="80"/>
      <c r="K295" s="80"/>
      <c r="L295" s="21"/>
      <c r="M295" s="21"/>
    </row>
    <row r="296" spans="5:13" ht="16.5" customHeight="1" x14ac:dyDescent="0.3">
      <c r="E296" s="80"/>
      <c r="F296" s="80"/>
      <c r="G296" s="80"/>
      <c r="H296" s="80"/>
      <c r="I296" s="80"/>
      <c r="J296" s="80"/>
      <c r="K296" s="80"/>
      <c r="L296" s="21"/>
      <c r="M296" s="21"/>
    </row>
    <row r="297" spans="5:13" ht="16.5" customHeight="1" x14ac:dyDescent="0.3">
      <c r="E297" s="80"/>
      <c r="F297" s="80"/>
      <c r="G297" s="80"/>
      <c r="H297" s="80"/>
      <c r="I297" s="80"/>
      <c r="J297" s="80"/>
      <c r="K297" s="80"/>
      <c r="L297" s="21"/>
      <c r="M297" s="21"/>
    </row>
    <row r="298" spans="5:13" ht="16.5" customHeight="1" x14ac:dyDescent="0.3">
      <c r="E298" s="80"/>
      <c r="F298" s="80"/>
      <c r="G298" s="80"/>
      <c r="H298" s="80"/>
      <c r="I298" s="80"/>
      <c r="J298" s="80"/>
      <c r="K298" s="80"/>
      <c r="L298" s="21"/>
      <c r="M298" s="21"/>
    </row>
    <row r="299" spans="5:13" ht="16.5" customHeight="1" x14ac:dyDescent="0.3">
      <c r="E299" s="80"/>
      <c r="F299" s="80"/>
      <c r="G299" s="80"/>
      <c r="H299" s="80"/>
      <c r="I299" s="80"/>
      <c r="J299" s="80"/>
      <c r="K299" s="80"/>
      <c r="L299" s="21"/>
      <c r="M299" s="21"/>
    </row>
    <row r="300" spans="5:13" ht="16.5" customHeight="1" x14ac:dyDescent="0.3">
      <c r="E300" s="80"/>
      <c r="F300" s="80"/>
      <c r="G300" s="80"/>
      <c r="H300" s="80"/>
      <c r="I300" s="80"/>
      <c r="J300" s="80"/>
      <c r="K300" s="80"/>
      <c r="L300" s="21"/>
      <c r="M300" s="21"/>
    </row>
    <row r="301" spans="5:13" ht="16.5" customHeight="1" x14ac:dyDescent="0.3">
      <c r="E301" s="80"/>
      <c r="F301" s="80"/>
      <c r="G301" s="80"/>
      <c r="H301" s="80"/>
      <c r="I301" s="80"/>
      <c r="J301" s="80"/>
      <c r="K301" s="80"/>
      <c r="L301" s="21"/>
      <c r="M301" s="21"/>
    </row>
    <row r="302" spans="5:13" ht="16.5" customHeight="1" x14ac:dyDescent="0.3">
      <c r="E302" s="80"/>
      <c r="F302" s="80"/>
      <c r="G302" s="80"/>
      <c r="H302" s="80"/>
      <c r="I302" s="80"/>
      <c r="J302" s="80"/>
      <c r="K302" s="80"/>
      <c r="L302" s="21"/>
      <c r="M302" s="21"/>
    </row>
    <row r="303" spans="5:13" ht="16.5" customHeight="1" x14ac:dyDescent="0.3">
      <c r="E303" s="80"/>
      <c r="F303" s="80"/>
      <c r="G303" s="80"/>
      <c r="H303" s="80"/>
      <c r="I303" s="80"/>
      <c r="J303" s="80"/>
      <c r="K303" s="80"/>
      <c r="L303" s="21"/>
      <c r="M303" s="21"/>
    </row>
    <row r="304" spans="5:13" ht="16.5" customHeight="1" x14ac:dyDescent="0.3">
      <c r="E304" s="80"/>
      <c r="F304" s="80"/>
      <c r="G304" s="80"/>
      <c r="H304" s="80"/>
      <c r="I304" s="80"/>
      <c r="J304" s="80"/>
      <c r="K304" s="80"/>
      <c r="L304" s="21"/>
      <c r="M304" s="21"/>
    </row>
    <row r="305" spans="5:11" ht="16.5" customHeight="1" x14ac:dyDescent="0.3">
      <c r="E305" s="80"/>
      <c r="F305" s="80"/>
      <c r="G305" s="80"/>
      <c r="H305" s="80"/>
      <c r="I305" s="80"/>
      <c r="J305" s="80"/>
      <c r="K305" s="80"/>
    </row>
    <row r="306" spans="5:11" ht="16.5" customHeight="1" x14ac:dyDescent="0.3">
      <c r="E306" s="80"/>
      <c r="F306" s="80"/>
      <c r="G306" s="80"/>
      <c r="H306" s="80"/>
      <c r="I306" s="80"/>
      <c r="J306" s="80"/>
      <c r="K306" s="80"/>
    </row>
    <row r="307" spans="5:11" ht="16.5" customHeight="1" x14ac:dyDescent="0.3">
      <c r="E307" s="80"/>
      <c r="F307" s="80"/>
      <c r="G307" s="80"/>
      <c r="H307" s="80"/>
      <c r="I307" s="80"/>
      <c r="J307" s="80"/>
      <c r="K307" s="80"/>
    </row>
    <row r="308" spans="5:11" ht="16.5" customHeight="1" x14ac:dyDescent="0.3">
      <c r="E308" s="80"/>
      <c r="F308" s="80"/>
      <c r="G308" s="80"/>
      <c r="H308" s="80"/>
      <c r="I308" s="80"/>
      <c r="J308" s="80"/>
      <c r="K308" s="80"/>
    </row>
    <row r="309" spans="5:11" ht="16.5" customHeight="1" x14ac:dyDescent="0.3">
      <c r="E309" s="80"/>
      <c r="F309" s="80"/>
      <c r="G309" s="80"/>
      <c r="H309" s="80"/>
      <c r="I309" s="80"/>
      <c r="J309" s="80"/>
      <c r="K309" s="80"/>
    </row>
    <row r="310" spans="5:11" ht="16.5" customHeight="1" x14ac:dyDescent="0.3">
      <c r="E310" s="80"/>
      <c r="F310" s="80"/>
      <c r="G310" s="80"/>
      <c r="H310" s="80"/>
      <c r="I310" s="80"/>
      <c r="J310" s="80"/>
      <c r="K310" s="80"/>
    </row>
    <row r="311" spans="5:11" ht="16.5" customHeight="1" x14ac:dyDescent="0.3">
      <c r="E311" s="80"/>
      <c r="F311" s="80"/>
      <c r="G311" s="80"/>
      <c r="H311" s="80"/>
      <c r="I311" s="80"/>
      <c r="J311" s="80"/>
      <c r="K311" s="80"/>
    </row>
    <row r="312" spans="5:11" ht="16.5" customHeight="1" x14ac:dyDescent="0.3">
      <c r="E312" s="80"/>
      <c r="F312" s="80"/>
      <c r="G312" s="80"/>
      <c r="H312" s="80"/>
      <c r="I312" s="80"/>
      <c r="J312" s="80"/>
      <c r="K312" s="80"/>
    </row>
    <row r="313" spans="5:11" ht="16.5" customHeight="1" x14ac:dyDescent="0.3">
      <c r="E313" s="80"/>
      <c r="F313" s="80"/>
      <c r="G313" s="80"/>
      <c r="H313" s="80"/>
      <c r="I313" s="80"/>
      <c r="J313" s="80"/>
      <c r="K313" s="80"/>
    </row>
    <row r="314" spans="5:11" ht="16.5" customHeight="1" x14ac:dyDescent="0.3">
      <c r="E314" s="80"/>
      <c r="F314" s="80"/>
      <c r="G314" s="80"/>
      <c r="H314" s="80"/>
      <c r="I314" s="80"/>
      <c r="J314" s="80"/>
      <c r="K314" s="80"/>
    </row>
    <row r="315" spans="5:11" ht="16.5" customHeight="1" x14ac:dyDescent="0.3">
      <c r="E315" s="80"/>
      <c r="F315" s="80"/>
      <c r="G315" s="80"/>
      <c r="H315" s="80"/>
      <c r="I315" s="80"/>
      <c r="J315" s="80"/>
      <c r="K315" s="80"/>
    </row>
    <row r="316" spans="5:11" ht="16.5" customHeight="1" x14ac:dyDescent="0.3">
      <c r="E316" s="80"/>
      <c r="F316" s="80"/>
      <c r="G316" s="80"/>
      <c r="H316" s="80"/>
      <c r="I316" s="80"/>
      <c r="J316" s="80"/>
      <c r="K316" s="80"/>
    </row>
  </sheetData>
  <autoFilter ref="E13:F227" xr:uid="{00000000-0009-0000-0000-000000000000}"/>
  <dataConsolidate>
    <dataRefs count="1">
      <dataRef ref="J302:J377" sheet="Summary" r:id="rId1"/>
    </dataRefs>
  </dataConsolidate>
  <mergeCells count="42">
    <mergeCell ref="A1:K1"/>
    <mergeCell ref="A11:A13"/>
    <mergeCell ref="B11:B13"/>
    <mergeCell ref="C11:C13"/>
    <mergeCell ref="D11:D13"/>
    <mergeCell ref="E11:F12"/>
    <mergeCell ref="G11:H12"/>
    <mergeCell ref="I11:J12"/>
    <mergeCell ref="K11:K13"/>
    <mergeCell ref="E3:F3"/>
    <mergeCell ref="E4:F4"/>
    <mergeCell ref="E5:F5"/>
    <mergeCell ref="E6:F6"/>
    <mergeCell ref="E7:F7"/>
    <mergeCell ref="E8:F8"/>
    <mergeCell ref="I2:K2"/>
    <mergeCell ref="E9:F9"/>
    <mergeCell ref="E2:F2"/>
    <mergeCell ref="I3:K3"/>
    <mergeCell ref="I4:K4"/>
    <mergeCell ref="I5:K5"/>
    <mergeCell ref="I6:K6"/>
    <mergeCell ref="I7:K7"/>
    <mergeCell ref="I8:K8"/>
    <mergeCell ref="I9:K9"/>
    <mergeCell ref="A223:D227"/>
    <mergeCell ref="E228:H228"/>
    <mergeCell ref="E229:F229"/>
    <mergeCell ref="E230:F231"/>
    <mergeCell ref="G230:G231"/>
    <mergeCell ref="H230:H231"/>
    <mergeCell ref="A228:D228"/>
    <mergeCell ref="E223:F223"/>
    <mergeCell ref="E224:F224"/>
    <mergeCell ref="E225:F225"/>
    <mergeCell ref="E226:F226"/>
    <mergeCell ref="E227:F227"/>
    <mergeCell ref="E232:F233"/>
    <mergeCell ref="G232:G233"/>
    <mergeCell ref="H232:H233"/>
    <mergeCell ref="I228:K228"/>
    <mergeCell ref="I229:K233"/>
  </mergeCells>
  <conditionalFormatting sqref="D14:D219">
    <cfRule type="cellIs" dxfId="2" priority="1" stopIfTrue="1" operator="equal">
      <formula>#REF!</formula>
    </cfRule>
  </conditionalFormatting>
  <printOptions horizontalCentered="1"/>
  <pageMargins left="0.16" right="0" top="0" bottom="0.1" header="0.17" footer="0.15"/>
  <pageSetup paperSize="9" scale="58" fitToHeight="2" orientation="portrait" r:id="rId2"/>
  <headerFooter alignWithMargins="0"/>
  <rowBreaks count="1" manualBreakCount="1">
    <brk id="138" max="10" man="1"/>
  </rowBreaks>
  <drawing r:id="rId3"/>
  <legacyDrawing r:id="rId4"/>
  <mc:AlternateContent xmlns:mc="http://schemas.openxmlformats.org/markup-compatibility/2006">
    <mc:Choice Requires="x14">
      <controls>
        <mc:AlternateContent xmlns:mc="http://schemas.openxmlformats.org/markup-compatibility/2006">
          <mc:Choice Requires="x14">
            <control shapeId="3073" r:id="rId5" name="Check Box 1">
              <controlPr locked="0" defaultSize="0" autoFill="0" autoLine="0" autoPict="0">
                <anchor moveWithCells="1" sizeWithCells="1">
                  <from>
                    <xdr:col>5</xdr:col>
                    <xdr:colOff>83820</xdr:colOff>
                    <xdr:row>229</xdr:row>
                    <xdr:rowOff>68580</xdr:rowOff>
                  </from>
                  <to>
                    <xdr:col>5</xdr:col>
                    <xdr:colOff>365760</xdr:colOff>
                    <xdr:row>230</xdr:row>
                    <xdr:rowOff>137160</xdr:rowOff>
                  </to>
                </anchor>
              </controlPr>
            </control>
          </mc:Choice>
        </mc:AlternateContent>
        <mc:AlternateContent xmlns:mc="http://schemas.openxmlformats.org/markup-compatibility/2006">
          <mc:Choice Requires="x14">
            <control shapeId="3074" r:id="rId6" name="Check Box 2">
              <controlPr locked="0" defaultSize="0" autoFill="0" autoLine="0" autoPict="0">
                <anchor moveWithCells="1" sizeWithCells="1">
                  <from>
                    <xdr:col>6</xdr:col>
                    <xdr:colOff>213360</xdr:colOff>
                    <xdr:row>229</xdr:row>
                    <xdr:rowOff>68580</xdr:rowOff>
                  </from>
                  <to>
                    <xdr:col>6</xdr:col>
                    <xdr:colOff>487680</xdr:colOff>
                    <xdr:row>230</xdr:row>
                    <xdr:rowOff>137160</xdr:rowOff>
                  </to>
                </anchor>
              </controlPr>
            </control>
          </mc:Choice>
        </mc:AlternateContent>
        <mc:AlternateContent xmlns:mc="http://schemas.openxmlformats.org/markup-compatibility/2006">
          <mc:Choice Requires="x14">
            <control shapeId="3075" r:id="rId7" name="Check Box 3">
              <controlPr locked="0" defaultSize="0" autoFill="0" autoLine="0" autoPict="0">
                <anchor moveWithCells="1" sizeWithCells="1">
                  <from>
                    <xdr:col>7</xdr:col>
                    <xdr:colOff>213360</xdr:colOff>
                    <xdr:row>229</xdr:row>
                    <xdr:rowOff>68580</xdr:rowOff>
                  </from>
                  <to>
                    <xdr:col>7</xdr:col>
                    <xdr:colOff>487680</xdr:colOff>
                    <xdr:row>230</xdr:row>
                    <xdr:rowOff>137160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57"/>
  </sheetPr>
  <dimension ref="A1:AK447"/>
  <sheetViews>
    <sheetView zoomScaleNormal="100" zoomScaleSheetLayoutView="85" workbookViewId="0">
      <selection activeCell="B8" sqref="B8"/>
    </sheetView>
  </sheetViews>
  <sheetFormatPr defaultColWidth="8" defaultRowHeight="13.2" x14ac:dyDescent="0.25"/>
  <cols>
    <col min="1" max="1" width="4.3984375" style="100" customWidth="1"/>
    <col min="2" max="2" width="35.8984375" style="99" bestFit="1" customWidth="1"/>
    <col min="3" max="3" width="15.69921875" style="100" hidden="1" customWidth="1"/>
    <col min="4" max="4" width="14.59765625" style="100" hidden="1" customWidth="1"/>
    <col min="5" max="6" width="17.09765625" style="100" customWidth="1"/>
    <col min="7" max="7" width="16.09765625" style="100" customWidth="1"/>
    <col min="8" max="8" width="13.5" style="100" customWidth="1"/>
    <col min="9" max="9" width="9.59765625" style="99" hidden="1" customWidth="1"/>
    <col min="10" max="10" width="10.59765625" style="99" hidden="1" customWidth="1"/>
    <col min="11" max="11" width="8.8984375" style="100" hidden="1" customWidth="1"/>
    <col min="12" max="12" width="16.8984375" style="99" customWidth="1"/>
    <col min="13" max="13" width="11" style="99" bestFit="1" customWidth="1"/>
    <col min="14" max="14" width="8.3984375" style="99" bestFit="1" customWidth="1"/>
    <col min="15" max="16384" width="8" style="99"/>
  </cols>
  <sheetData>
    <row r="1" spans="1:14" ht="16.5" customHeight="1" thickTop="1" x14ac:dyDescent="0.3">
      <c r="A1" s="95" t="s">
        <v>481</v>
      </c>
      <c r="B1" s="96"/>
      <c r="C1" s="97"/>
      <c r="D1" s="97"/>
      <c r="E1" s="97"/>
      <c r="F1" s="97"/>
      <c r="G1" s="98"/>
      <c r="H1" s="230"/>
    </row>
    <row r="2" spans="1:14" ht="16.5" customHeight="1" x14ac:dyDescent="0.3">
      <c r="A2" s="101" t="s">
        <v>482</v>
      </c>
      <c r="B2" s="102"/>
      <c r="C2" s="103"/>
      <c r="D2" s="103"/>
      <c r="E2" s="103"/>
      <c r="F2" s="103"/>
      <c r="G2" s="104"/>
      <c r="H2" s="105"/>
      <c r="I2" s="106">
        <v>42382</v>
      </c>
    </row>
    <row r="3" spans="1:14" ht="16.5" customHeight="1" x14ac:dyDescent="0.3">
      <c r="A3" s="107" t="s">
        <v>1</v>
      </c>
      <c r="B3" s="108"/>
      <c r="C3" s="103"/>
      <c r="D3" s="103"/>
      <c r="E3" s="103"/>
      <c r="F3" s="103"/>
      <c r="G3" s="231"/>
      <c r="H3" s="232"/>
    </row>
    <row r="4" spans="1:14" ht="20.25" customHeight="1" thickBot="1" x14ac:dyDescent="0.35">
      <c r="A4" s="107" t="s">
        <v>483</v>
      </c>
      <c r="B4" s="109"/>
      <c r="C4" s="110"/>
      <c r="D4" s="110"/>
      <c r="E4" s="110"/>
      <c r="F4" s="110"/>
      <c r="G4" s="233">
        <f>+Summary!I3</f>
        <v>0</v>
      </c>
      <c r="H4" s="234"/>
    </row>
    <row r="5" spans="1:14" ht="22.5" customHeight="1" thickTop="1" thickBot="1" x14ac:dyDescent="0.35">
      <c r="A5" s="420" t="s">
        <v>489</v>
      </c>
      <c r="B5" s="421"/>
      <c r="C5" s="421"/>
      <c r="D5" s="421"/>
      <c r="E5" s="421"/>
      <c r="F5" s="421"/>
      <c r="G5" s="421"/>
      <c r="H5" s="422"/>
    </row>
    <row r="6" spans="1:14" s="229" customFormat="1" ht="64.5" customHeight="1" x14ac:dyDescent="0.3">
      <c r="A6" s="220" t="s">
        <v>439</v>
      </c>
      <c r="B6" s="221" t="s">
        <v>440</v>
      </c>
      <c r="C6" s="222" t="s">
        <v>441</v>
      </c>
      <c r="D6" s="223" t="s">
        <v>442</v>
      </c>
      <c r="E6" s="224" t="s">
        <v>696</v>
      </c>
      <c r="F6" s="224" t="s">
        <v>443</v>
      </c>
      <c r="G6" s="225" t="s">
        <v>444</v>
      </c>
      <c r="H6" s="226" t="s">
        <v>445</v>
      </c>
      <c r="I6" s="227" t="s">
        <v>446</v>
      </c>
      <c r="J6" s="227" t="s">
        <v>447</v>
      </c>
      <c r="K6" s="228" t="s">
        <v>448</v>
      </c>
    </row>
    <row r="7" spans="1:14" s="229" customFormat="1" ht="44.25" customHeight="1" x14ac:dyDescent="0.3">
      <c r="A7" s="235">
        <v>1</v>
      </c>
      <c r="B7" s="236" t="s">
        <v>10</v>
      </c>
      <c r="C7" s="237"/>
      <c r="D7" s="238"/>
      <c r="E7" s="239"/>
      <c r="F7" s="240">
        <f>E7/27*27</f>
        <v>0</v>
      </c>
      <c r="G7" s="241">
        <f>F7</f>
        <v>0</v>
      </c>
      <c r="H7" s="242"/>
      <c r="I7" s="227"/>
      <c r="J7" s="227"/>
      <c r="K7" s="228"/>
    </row>
    <row r="8" spans="1:14" s="229" customFormat="1" ht="44.25" customHeight="1" thickBot="1" x14ac:dyDescent="0.35">
      <c r="A8" s="235">
        <v>2</v>
      </c>
      <c r="B8" s="236" t="s">
        <v>486</v>
      </c>
      <c r="C8" s="237"/>
      <c r="D8" s="238"/>
      <c r="E8" s="239"/>
      <c r="F8" s="240">
        <f>E8/27*27</f>
        <v>0</v>
      </c>
      <c r="G8" s="243"/>
      <c r="H8" s="242"/>
      <c r="I8" s="227"/>
      <c r="J8" s="227"/>
      <c r="K8" s="228"/>
    </row>
    <row r="9" spans="1:14" ht="41.25" hidden="1" customHeight="1" x14ac:dyDescent="0.3">
      <c r="A9" s="113">
        <v>1</v>
      </c>
      <c r="B9" s="114" t="s">
        <v>449</v>
      </c>
      <c r="C9" s="115"/>
      <c r="D9" s="116"/>
      <c r="E9" s="117">
        <f>E10+E11+E12+E13+E14+E15+E16+E17+E18+E28</f>
        <v>622297.9</v>
      </c>
      <c r="F9" s="117">
        <f t="shared" ref="F9:F29" si="0">E9/27*1</f>
        <v>23048.070370370373</v>
      </c>
      <c r="G9" s="118">
        <f>G10+G11+G12+G13+G14+G15+G16+G17+G18+G28</f>
        <v>506494.56028361386</v>
      </c>
      <c r="H9" s="119">
        <f>+G9/E9</f>
        <v>0.81391012292282172</v>
      </c>
      <c r="I9" s="111"/>
      <c r="J9" s="111"/>
      <c r="K9" s="112"/>
      <c r="L9" s="120"/>
      <c r="M9" s="121"/>
      <c r="N9" s="122"/>
    </row>
    <row r="10" spans="1:14" ht="36" hidden="1" customHeight="1" x14ac:dyDescent="0.3">
      <c r="A10" s="123">
        <v>1</v>
      </c>
      <c r="B10" s="124" t="s">
        <v>450</v>
      </c>
      <c r="C10" s="125"/>
      <c r="D10" s="125"/>
      <c r="E10" s="125">
        <f>[22]Projection!G335</f>
        <v>170960</v>
      </c>
      <c r="F10" s="117">
        <f t="shared" si="0"/>
        <v>6331.8518518518522</v>
      </c>
      <c r="G10" s="126">
        <f>[22]Projection!H335</f>
        <v>131194.17546</v>
      </c>
      <c r="H10" s="127">
        <f>+G10/E10</f>
        <v>0.7673969083996256</v>
      </c>
      <c r="I10" s="128"/>
      <c r="J10" s="128"/>
      <c r="K10" s="129"/>
      <c r="L10" s="130"/>
    </row>
    <row r="11" spans="1:14" ht="36" hidden="1" customHeight="1" x14ac:dyDescent="0.3">
      <c r="A11" s="123">
        <f t="shared" ref="A11:A16" si="1">A10+1</f>
        <v>2</v>
      </c>
      <c r="B11" s="124" t="s">
        <v>451</v>
      </c>
      <c r="C11" s="125"/>
      <c r="D11" s="125"/>
      <c r="E11" s="125">
        <f>[22]Projection!I335</f>
        <v>0</v>
      </c>
      <c r="F11" s="117">
        <f t="shared" si="0"/>
        <v>0</v>
      </c>
      <c r="G11" s="126">
        <f>[22]Projection!J335</f>
        <v>0</v>
      </c>
      <c r="H11" s="127" t="e">
        <f>+G11/E11</f>
        <v>#DIV/0!</v>
      </c>
      <c r="I11" s="128"/>
      <c r="J11" s="128"/>
      <c r="K11" s="129"/>
      <c r="L11" s="130"/>
    </row>
    <row r="12" spans="1:14" ht="36" hidden="1" customHeight="1" x14ac:dyDescent="0.3">
      <c r="A12" s="123">
        <v>2</v>
      </c>
      <c r="B12" s="124" t="s">
        <v>452</v>
      </c>
      <c r="C12" s="125"/>
      <c r="D12" s="125"/>
      <c r="E12" s="125">
        <f>[22]Projection!M335</f>
        <v>59926.5</v>
      </c>
      <c r="F12" s="117">
        <f t="shared" si="0"/>
        <v>2219.5</v>
      </c>
      <c r="G12" s="126">
        <f>[22]Projection!N335</f>
        <v>42772.14992361395</v>
      </c>
      <c r="H12" s="127">
        <f t="shared" ref="H12:H29" si="2">+G12/E12</f>
        <v>0.71374350118251439</v>
      </c>
      <c r="I12" s="128"/>
      <c r="J12" s="128"/>
      <c r="K12" s="129"/>
      <c r="L12" s="130"/>
    </row>
    <row r="13" spans="1:14" ht="36" hidden="1" customHeight="1" x14ac:dyDescent="0.3">
      <c r="A13" s="123">
        <v>3</v>
      </c>
      <c r="B13" s="124" t="s">
        <v>453</v>
      </c>
      <c r="C13" s="125"/>
      <c r="D13" s="131"/>
      <c r="E13" s="131">
        <f>[22]Projection!O335</f>
        <v>20350</v>
      </c>
      <c r="F13" s="117">
        <f t="shared" si="0"/>
        <v>753.7037037037037</v>
      </c>
      <c r="G13" s="132">
        <f>[22]Projection!P335</f>
        <v>31450.27</v>
      </c>
      <c r="H13" s="127">
        <f t="shared" si="2"/>
        <v>1.5454678132678132</v>
      </c>
      <c r="I13" s="128"/>
      <c r="J13" s="128"/>
      <c r="K13" s="129"/>
      <c r="L13" s="130"/>
    </row>
    <row r="14" spans="1:14" ht="36" hidden="1" customHeight="1" x14ac:dyDescent="0.3">
      <c r="A14" s="123">
        <f t="shared" si="1"/>
        <v>4</v>
      </c>
      <c r="B14" s="124" t="s">
        <v>454</v>
      </c>
      <c r="C14" s="125"/>
      <c r="D14" s="125"/>
      <c r="E14" s="125">
        <f>[22]Projection!E335</f>
        <v>6180</v>
      </c>
      <c r="F14" s="117">
        <f t="shared" si="0"/>
        <v>228.88888888888889</v>
      </c>
      <c r="G14" s="126">
        <f>[22]Projection!F335</f>
        <v>12079.3</v>
      </c>
      <c r="H14" s="127">
        <f>+G14/E14</f>
        <v>1.9545792880258899</v>
      </c>
      <c r="I14" s="128">
        <f>+G14/28</f>
        <v>431.40357142857141</v>
      </c>
      <c r="J14" s="128">
        <f>+I14*31</f>
        <v>13373.510714285714</v>
      </c>
      <c r="K14" s="129">
        <f>+J14/E14</f>
        <v>2.1639984974572353</v>
      </c>
      <c r="M14" s="122"/>
    </row>
    <row r="15" spans="1:14" ht="36" hidden="1" customHeight="1" x14ac:dyDescent="0.3">
      <c r="A15" s="123">
        <f t="shared" si="1"/>
        <v>5</v>
      </c>
      <c r="B15" s="124" t="s">
        <v>455</v>
      </c>
      <c r="C15" s="125"/>
      <c r="D15" s="125"/>
      <c r="E15" s="125">
        <f>[22]Projection!K335</f>
        <v>20350</v>
      </c>
      <c r="F15" s="117">
        <f t="shared" si="0"/>
        <v>753.7037037037037</v>
      </c>
      <c r="G15" s="126">
        <f>[22]Projection!L335</f>
        <v>57216.89</v>
      </c>
      <c r="H15" s="127">
        <f>+G15/E15</f>
        <v>2.8116407862407864</v>
      </c>
      <c r="I15" s="128"/>
      <c r="J15" s="128"/>
      <c r="K15" s="129"/>
      <c r="L15" s="130"/>
    </row>
    <row r="16" spans="1:14" ht="36" hidden="1" customHeight="1" x14ac:dyDescent="0.3">
      <c r="A16" s="123">
        <f t="shared" si="1"/>
        <v>6</v>
      </c>
      <c r="B16" s="124" t="s">
        <v>456</v>
      </c>
      <c r="C16" s="125"/>
      <c r="D16" s="131"/>
      <c r="E16" s="131">
        <f>[22]Projection!S335</f>
        <v>29400</v>
      </c>
      <c r="F16" s="117">
        <f t="shared" si="0"/>
        <v>1088.8888888888889</v>
      </c>
      <c r="G16" s="132">
        <f>[22]Projection!T335</f>
        <v>25228.560000000001</v>
      </c>
      <c r="H16" s="127">
        <f t="shared" si="2"/>
        <v>0.85811428571428572</v>
      </c>
      <c r="I16" s="128"/>
      <c r="J16" s="128"/>
      <c r="K16" s="129"/>
      <c r="L16" s="130"/>
    </row>
    <row r="17" spans="1:18" ht="36" hidden="1" customHeight="1" x14ac:dyDescent="0.3">
      <c r="A17" s="123">
        <v>8</v>
      </c>
      <c r="B17" s="124" t="s">
        <v>457</v>
      </c>
      <c r="C17" s="125"/>
      <c r="D17" s="131"/>
      <c r="E17" s="131">
        <f>[22]Projection!U335</f>
        <v>281451.8</v>
      </c>
      <c r="F17" s="117">
        <f t="shared" si="0"/>
        <v>10424.140740740741</v>
      </c>
      <c r="G17" s="132">
        <f>[22]Projection!V335</f>
        <v>184876.82864999998</v>
      </c>
      <c r="H17" s="127">
        <f t="shared" si="2"/>
        <v>0.65686852473496349</v>
      </c>
      <c r="I17" s="128"/>
      <c r="J17" s="128"/>
      <c r="K17" s="129"/>
      <c r="L17" s="130"/>
    </row>
    <row r="18" spans="1:18" ht="36" hidden="1" customHeight="1" x14ac:dyDescent="0.3">
      <c r="A18" s="123">
        <v>9</v>
      </c>
      <c r="B18" s="124" t="s">
        <v>458</v>
      </c>
      <c r="C18" s="125"/>
      <c r="D18" s="131"/>
      <c r="E18" s="131">
        <f>[22]Projection!Q335</f>
        <v>0</v>
      </c>
      <c r="F18" s="117">
        <f t="shared" si="0"/>
        <v>0</v>
      </c>
      <c r="G18" s="132">
        <f>[22]Projection!R335</f>
        <v>0</v>
      </c>
      <c r="H18" s="127" t="e">
        <f t="shared" si="2"/>
        <v>#DIV/0!</v>
      </c>
      <c r="I18" s="128"/>
      <c r="J18" s="128"/>
      <c r="K18" s="129"/>
      <c r="L18" s="130"/>
    </row>
    <row r="19" spans="1:18" ht="36" hidden="1" customHeight="1" x14ac:dyDescent="0.3">
      <c r="A19" s="133">
        <v>2</v>
      </c>
      <c r="B19" s="134" t="s">
        <v>459</v>
      </c>
      <c r="C19" s="125"/>
      <c r="D19" s="131"/>
      <c r="E19" s="135">
        <f>E20+E21+E22+E23+E24</f>
        <v>274180.0172</v>
      </c>
      <c r="F19" s="117">
        <f t="shared" si="0"/>
        <v>10154.815451851851</v>
      </c>
      <c r="G19" s="135">
        <f t="shared" ref="G19" si="3">G20+G21+G22+G23+G24</f>
        <v>319354.33400000003</v>
      </c>
      <c r="H19" s="119">
        <f>+G19/E19</f>
        <v>1.1647615215044929</v>
      </c>
      <c r="I19" s="128"/>
      <c r="J19" s="128"/>
      <c r="K19" s="129"/>
      <c r="L19" s="122"/>
      <c r="M19" s="122"/>
    </row>
    <row r="20" spans="1:18" ht="36" hidden="1" customHeight="1" x14ac:dyDescent="0.3">
      <c r="A20" s="123">
        <v>1</v>
      </c>
      <c r="B20" s="124" t="s">
        <v>460</v>
      </c>
      <c r="C20" s="125"/>
      <c r="D20" s="131"/>
      <c r="E20" s="131">
        <f>[22]Projection!AA335</f>
        <v>98233.7</v>
      </c>
      <c r="F20" s="117">
        <f t="shared" si="0"/>
        <v>3638.2851851851851</v>
      </c>
      <c r="G20" s="132">
        <f>[22]Projection!AB335</f>
        <v>108301.47000000002</v>
      </c>
      <c r="H20" s="136">
        <f t="shared" si="2"/>
        <v>1.1024879445648492</v>
      </c>
      <c r="I20" s="128">
        <f>+G20/28</f>
        <v>3867.9096428571434</v>
      </c>
      <c r="J20" s="128">
        <f>+I20*31</f>
        <v>119905.19892857144</v>
      </c>
      <c r="K20" s="129">
        <f>+J20/E20</f>
        <v>1.2206116529110829</v>
      </c>
      <c r="L20" s="121"/>
      <c r="M20" s="137"/>
    </row>
    <row r="21" spans="1:18" ht="36" hidden="1" customHeight="1" x14ac:dyDescent="0.3">
      <c r="A21" s="123">
        <v>2</v>
      </c>
      <c r="B21" s="138" t="s">
        <v>461</v>
      </c>
      <c r="C21" s="125"/>
      <c r="D21" s="131"/>
      <c r="E21" s="131"/>
      <c r="F21" s="117">
        <f t="shared" si="0"/>
        <v>0</v>
      </c>
      <c r="G21" s="132"/>
      <c r="H21" s="136" t="e">
        <f t="shared" si="2"/>
        <v>#DIV/0!</v>
      </c>
      <c r="I21" s="128">
        <f>+G21/28</f>
        <v>0</v>
      </c>
      <c r="J21" s="128">
        <f>+I21*31</f>
        <v>0</v>
      </c>
      <c r="K21" s="129" t="e">
        <f>+J21/E21</f>
        <v>#DIV/0!</v>
      </c>
      <c r="L21" s="121"/>
      <c r="R21" s="99" t="s">
        <v>462</v>
      </c>
    </row>
    <row r="22" spans="1:18" ht="36" hidden="1" customHeight="1" x14ac:dyDescent="0.3">
      <c r="A22" s="123">
        <v>2</v>
      </c>
      <c r="B22" s="138" t="s">
        <v>463</v>
      </c>
      <c r="C22" s="125"/>
      <c r="D22" s="131"/>
      <c r="E22" s="131">
        <f>[22]Projection!AC335</f>
        <v>80204.228999999992</v>
      </c>
      <c r="F22" s="117">
        <f t="shared" si="0"/>
        <v>2970.5269999999996</v>
      </c>
      <c r="G22" s="132">
        <f>[22]Projection!AD335</f>
        <v>94966.400000000009</v>
      </c>
      <c r="H22" s="136">
        <f t="shared" si="2"/>
        <v>1.1840572646113214</v>
      </c>
      <c r="I22" s="128"/>
      <c r="J22" s="128"/>
      <c r="K22" s="129"/>
      <c r="L22" s="121"/>
    </row>
    <row r="23" spans="1:18" ht="36" hidden="1" customHeight="1" x14ac:dyDescent="0.3">
      <c r="A23" s="123">
        <v>3</v>
      </c>
      <c r="B23" s="138" t="s">
        <v>464</v>
      </c>
      <c r="C23" s="125"/>
      <c r="D23" s="131"/>
      <c r="E23" s="131">
        <f>[22]Projection!AG335</f>
        <v>73566.088199999998</v>
      </c>
      <c r="F23" s="117">
        <f t="shared" si="0"/>
        <v>2724.6699333333331</v>
      </c>
      <c r="G23" s="132">
        <f>[22]Projection!AH335</f>
        <v>65619.516000000003</v>
      </c>
      <c r="H23" s="136">
        <f t="shared" si="2"/>
        <v>0.89198049815567071</v>
      </c>
      <c r="I23" s="128"/>
      <c r="J23" s="128"/>
      <c r="K23" s="129"/>
      <c r="L23" s="121"/>
    </row>
    <row r="24" spans="1:18" ht="36" hidden="1" customHeight="1" x14ac:dyDescent="0.3">
      <c r="A24" s="123">
        <v>4</v>
      </c>
      <c r="B24" s="138" t="s">
        <v>465</v>
      </c>
      <c r="C24" s="125"/>
      <c r="D24" s="131"/>
      <c r="E24" s="131">
        <f>[22]Projection!AE335</f>
        <v>22176</v>
      </c>
      <c r="F24" s="117">
        <f t="shared" si="0"/>
        <v>821.33333333333337</v>
      </c>
      <c r="G24" s="132">
        <f>[22]Projection!AF335</f>
        <v>50466.947999999997</v>
      </c>
      <c r="H24" s="136">
        <f t="shared" si="2"/>
        <v>2.275746212121212</v>
      </c>
      <c r="I24" s="128"/>
      <c r="J24" s="128"/>
      <c r="K24" s="129"/>
      <c r="L24" s="121"/>
    </row>
    <row r="25" spans="1:18" ht="36" hidden="1" customHeight="1" x14ac:dyDescent="0.3">
      <c r="A25" s="133">
        <v>3</v>
      </c>
      <c r="B25" s="139" t="s">
        <v>466</v>
      </c>
      <c r="C25" s="125"/>
      <c r="D25" s="131"/>
      <c r="E25" s="135">
        <f>E26+E27</f>
        <v>87537.833849999995</v>
      </c>
      <c r="F25" s="117">
        <f t="shared" si="0"/>
        <v>3242.1419944444442</v>
      </c>
      <c r="G25" s="132">
        <f t="shared" ref="G25" si="4">G26+G27</f>
        <v>85144.782200000001</v>
      </c>
      <c r="H25" s="136">
        <f t="shared" si="2"/>
        <v>0.97266265859284806</v>
      </c>
      <c r="I25" s="128"/>
      <c r="J25" s="128"/>
      <c r="K25" s="129"/>
      <c r="L25" s="121"/>
    </row>
    <row r="26" spans="1:18" ht="36" hidden="1" customHeight="1" x14ac:dyDescent="0.3">
      <c r="A26" s="123">
        <v>1</v>
      </c>
      <c r="B26" s="138" t="s">
        <v>467</v>
      </c>
      <c r="C26" s="125"/>
      <c r="D26" s="131"/>
      <c r="E26" s="131">
        <f>[22]Projection!AK335</f>
        <v>47820.803849999997</v>
      </c>
      <c r="F26" s="117">
        <f t="shared" si="0"/>
        <v>1771.1408833333332</v>
      </c>
      <c r="G26" s="132">
        <f>[22]Projection!AL335</f>
        <v>44286.2765</v>
      </c>
      <c r="H26" s="136">
        <f t="shared" si="2"/>
        <v>0.92608808164148004</v>
      </c>
      <c r="I26" s="128"/>
      <c r="J26" s="128"/>
      <c r="K26" s="129"/>
      <c r="L26" s="121"/>
    </row>
    <row r="27" spans="1:18" ht="36" hidden="1" customHeight="1" x14ac:dyDescent="0.3">
      <c r="A27" s="123">
        <v>2</v>
      </c>
      <c r="B27" s="138" t="s">
        <v>468</v>
      </c>
      <c r="C27" s="125"/>
      <c r="D27" s="131"/>
      <c r="E27" s="131">
        <f>[22]Projection!AM335</f>
        <v>39717.03</v>
      </c>
      <c r="F27" s="117">
        <f t="shared" si="0"/>
        <v>1471.001111111111</v>
      </c>
      <c r="G27" s="132">
        <f>[22]Projection!AN335</f>
        <v>40858.505700000002</v>
      </c>
      <c r="H27" s="136">
        <f t="shared" si="2"/>
        <v>1.0287402079158487</v>
      </c>
      <c r="I27" s="128"/>
      <c r="J27" s="128"/>
      <c r="K27" s="129"/>
      <c r="L27" s="121"/>
    </row>
    <row r="28" spans="1:18" ht="36" hidden="1" customHeight="1" x14ac:dyDescent="0.3">
      <c r="A28" s="133">
        <v>4</v>
      </c>
      <c r="B28" s="139" t="s">
        <v>469</v>
      </c>
      <c r="C28" s="125"/>
      <c r="D28" s="131"/>
      <c r="E28" s="135">
        <f>[22]Projection!AQ335</f>
        <v>33679.599999999999</v>
      </c>
      <c r="F28" s="117">
        <f t="shared" si="0"/>
        <v>1247.3925925925926</v>
      </c>
      <c r="G28" s="132">
        <f>[22]Projection!AR335</f>
        <v>21676.38625</v>
      </c>
      <c r="H28" s="136">
        <f t="shared" si="2"/>
        <v>0.64360581034216557</v>
      </c>
      <c r="I28" s="128"/>
      <c r="J28" s="128"/>
      <c r="K28" s="129"/>
      <c r="L28" s="121"/>
    </row>
    <row r="29" spans="1:18" ht="36" hidden="1" customHeight="1" thickBot="1" x14ac:dyDescent="0.35">
      <c r="A29" s="133">
        <v>5</v>
      </c>
      <c r="B29" s="139" t="s">
        <v>470</v>
      </c>
      <c r="C29" s="125"/>
      <c r="D29" s="131"/>
      <c r="E29" s="135">
        <f>[22]Projection!AS335</f>
        <v>263114.54000000004</v>
      </c>
      <c r="F29" s="117">
        <f t="shared" si="0"/>
        <v>9744.9829629629639</v>
      </c>
      <c r="G29" s="132">
        <f>[22]Projection!AT335</f>
        <v>232725.22630000001</v>
      </c>
      <c r="H29" s="136">
        <f t="shared" si="2"/>
        <v>0.88450157980626987</v>
      </c>
      <c r="I29" s="128">
        <f>+G29/28</f>
        <v>8311.6152249999996</v>
      </c>
      <c r="J29" s="128">
        <f>+I29*31</f>
        <v>257660.071975</v>
      </c>
      <c r="K29" s="129">
        <f>+J29/E29</f>
        <v>0.97926960621408443</v>
      </c>
      <c r="L29" s="137"/>
      <c r="M29" s="121"/>
    </row>
    <row r="30" spans="1:18" ht="27.75" customHeight="1" thickTop="1" thickBot="1" x14ac:dyDescent="0.35">
      <c r="A30" s="423" t="s">
        <v>471</v>
      </c>
      <c r="B30" s="424"/>
      <c r="C30" s="140">
        <f>+SUM(C12:C29)</f>
        <v>0</v>
      </c>
      <c r="D30" s="140">
        <f>+SUM(D12:D29)</f>
        <v>0</v>
      </c>
      <c r="E30" s="141"/>
      <c r="F30" s="141">
        <f>F7+F8</f>
        <v>0</v>
      </c>
      <c r="G30" s="141"/>
      <c r="H30" s="142"/>
      <c r="J30" s="128">
        <f>+SUM(J12:J29)</f>
        <v>390938.78161785717</v>
      </c>
      <c r="K30" s="129" t="e">
        <f>+J30/E30</f>
        <v>#DIV/0!</v>
      </c>
      <c r="L30" s="143"/>
      <c r="M30" s="122"/>
    </row>
    <row r="31" spans="1:18" ht="19.5" customHeight="1" thickTop="1" x14ac:dyDescent="0.25">
      <c r="A31" s="144" t="s">
        <v>472</v>
      </c>
      <c r="B31" s="145" t="s">
        <v>432</v>
      </c>
      <c r="C31" s="144"/>
      <c r="D31" s="144"/>
      <c r="E31" s="146"/>
      <c r="F31" s="146"/>
      <c r="G31" s="146"/>
      <c r="H31" s="147"/>
      <c r="J31" s="137" t="e">
        <f>+J30/E30</f>
        <v>#DIV/0!</v>
      </c>
      <c r="K31" s="137"/>
      <c r="L31" s="122"/>
      <c r="M31" s="130"/>
    </row>
    <row r="32" spans="1:18" ht="18" customHeight="1" x14ac:dyDescent="0.4">
      <c r="A32" s="144"/>
      <c r="B32" s="148"/>
      <c r="C32" s="149"/>
      <c r="D32" s="144"/>
      <c r="E32" s="150"/>
      <c r="F32" s="151"/>
      <c r="G32" s="146"/>
      <c r="H32" s="152"/>
      <c r="J32" s="137"/>
      <c r="K32" s="137"/>
      <c r="L32" s="122"/>
      <c r="M32" s="143"/>
    </row>
    <row r="33" spans="1:17" ht="17.25" customHeight="1" x14ac:dyDescent="0.25">
      <c r="A33" s="153"/>
      <c r="E33" s="154"/>
      <c r="F33" s="154"/>
      <c r="G33" s="155"/>
      <c r="L33" s="122"/>
      <c r="M33" s="143"/>
    </row>
    <row r="34" spans="1:17" ht="15.75" customHeight="1" x14ac:dyDescent="0.25">
      <c r="F34" s="154"/>
      <c r="G34" s="156"/>
      <c r="H34" s="157"/>
      <c r="L34" s="130"/>
    </row>
    <row r="35" spans="1:17" ht="19.5" customHeight="1" x14ac:dyDescent="0.25">
      <c r="B35" s="158"/>
      <c r="C35" s="144"/>
      <c r="D35" s="144"/>
      <c r="E35" s="159"/>
      <c r="F35" s="159"/>
      <c r="G35" s="156"/>
      <c r="H35" s="157"/>
      <c r="M35" s="137"/>
    </row>
    <row r="36" spans="1:17" x14ac:dyDescent="0.25">
      <c r="G36" s="160"/>
      <c r="H36" s="157"/>
      <c r="L36" s="161"/>
    </row>
    <row r="37" spans="1:17" x14ac:dyDescent="0.25">
      <c r="H37" s="157"/>
      <c r="L37" s="161"/>
    </row>
    <row r="38" spans="1:17" x14ac:dyDescent="0.25">
      <c r="E38" s="154"/>
      <c r="G38" s="154"/>
      <c r="H38" s="157"/>
      <c r="I38" s="121"/>
    </row>
    <row r="39" spans="1:17" x14ac:dyDescent="0.25">
      <c r="E39" s="154"/>
      <c r="G39" s="162"/>
      <c r="H39" s="157"/>
    </row>
    <row r="40" spans="1:17" x14ac:dyDescent="0.25">
      <c r="G40" s="156"/>
      <c r="H40" s="157"/>
    </row>
    <row r="41" spans="1:17" x14ac:dyDescent="0.25">
      <c r="E41" s="162"/>
      <c r="F41" s="162"/>
      <c r="H41" s="157"/>
    </row>
    <row r="42" spans="1:17" x14ac:dyDescent="0.25">
      <c r="E42" s="162"/>
      <c r="F42" s="162"/>
      <c r="H42" s="157"/>
      <c r="Q42" s="163"/>
    </row>
    <row r="43" spans="1:17" x14ac:dyDescent="0.25">
      <c r="G43" s="162"/>
      <c r="H43" s="157"/>
    </row>
    <row r="44" spans="1:17" x14ac:dyDescent="0.25">
      <c r="H44" s="157"/>
    </row>
    <row r="45" spans="1:17" x14ac:dyDescent="0.25">
      <c r="H45" s="157"/>
    </row>
    <row r="47" spans="1:17" x14ac:dyDescent="0.25">
      <c r="F47" s="154"/>
    </row>
    <row r="49" spans="37:37" x14ac:dyDescent="0.25">
      <c r="AK49" s="99">
        <f>+SUM(AK1:AK48)</f>
        <v>0</v>
      </c>
    </row>
    <row r="50" spans="37:37" ht="20.25" customHeight="1" x14ac:dyDescent="0.25"/>
    <row r="52" spans="37:37" ht="15.75" customHeight="1" x14ac:dyDescent="0.25"/>
    <row r="447" spans="4:4" x14ac:dyDescent="0.25">
      <c r="D447" s="100">
        <v>6</v>
      </c>
    </row>
  </sheetData>
  <mergeCells count="2">
    <mergeCell ref="A5:H5"/>
    <mergeCell ref="A30:B30"/>
  </mergeCells>
  <printOptions horizontalCentered="1"/>
  <pageMargins left="0.67" right="0.43" top="1" bottom="0.55000000000000004" header="0.5" footer="0.18"/>
  <pageSetup paperSize="9" scale="81"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225"/>
  <sheetViews>
    <sheetView zoomScale="70" zoomScaleNormal="70" workbookViewId="0">
      <pane xSplit="8" ySplit="9" topLeftCell="I180" activePane="bottomRight" state="frozen"/>
      <selection activeCell="K337" sqref="K337"/>
      <selection pane="topRight" activeCell="K337" sqref="K337"/>
      <selection pane="bottomLeft" activeCell="K337" sqref="K337"/>
      <selection pane="bottomRight" activeCell="M137" sqref="M137"/>
    </sheetView>
  </sheetViews>
  <sheetFormatPr defaultColWidth="9" defaultRowHeight="13.8" x14ac:dyDescent="0.3"/>
  <cols>
    <col min="1" max="1" width="11.59765625" style="173" customWidth="1"/>
    <col min="2" max="2" width="69.59765625" style="171" customWidth="1"/>
    <col min="3" max="3" width="7.59765625" style="173" customWidth="1"/>
    <col min="4" max="4" width="10.8984375" style="173" customWidth="1"/>
    <col min="5" max="5" width="9.59765625" style="217" customWidth="1"/>
    <col min="6" max="6" width="12.3984375" style="217" customWidth="1"/>
    <col min="7" max="7" width="9.59765625" style="173" customWidth="1"/>
    <col min="8" max="8" width="12.19921875" style="173" customWidth="1"/>
    <col min="9" max="9" width="13.09765625" style="171" customWidth="1"/>
    <col min="10" max="11" width="12.5" style="171" customWidth="1"/>
    <col min="12" max="12" width="14.8984375" style="171" customWidth="1"/>
    <col min="13" max="13" width="10.19921875" style="171" customWidth="1"/>
    <col min="14" max="16" width="12.19921875" style="171" bestFit="1" customWidth="1"/>
    <col min="17" max="19" width="12" style="171" bestFit="1" customWidth="1"/>
    <col min="20" max="20" width="8.5" style="171" bestFit="1" customWidth="1"/>
    <col min="21" max="21" width="12" style="171" bestFit="1" customWidth="1"/>
    <col min="22" max="22" width="12.19921875" style="171" bestFit="1" customWidth="1"/>
    <col min="23" max="23" width="11.59765625" style="171" bestFit="1" customWidth="1"/>
    <col min="24" max="24" width="12.19921875" style="171" bestFit="1" customWidth="1"/>
    <col min="25" max="26" width="12" style="171" bestFit="1" customWidth="1"/>
    <col min="27" max="27" width="8.5" style="171" bestFit="1" customWidth="1"/>
    <col min="28" max="28" width="12.19921875" style="171" bestFit="1" customWidth="1"/>
    <col min="29" max="29" width="11.69921875" style="171" bestFit="1" customWidth="1"/>
    <col min="30" max="30" width="10.59765625" style="171" customWidth="1"/>
    <col min="31" max="31" width="10.3984375" style="171" customWidth="1"/>
    <col min="32" max="32" width="11.5" style="171" customWidth="1"/>
    <col min="33" max="33" width="10.69921875" style="171" customWidth="1"/>
    <col min="34" max="34" width="10.59765625" style="171" customWidth="1"/>
    <col min="35" max="35" width="10.3984375" style="171" customWidth="1"/>
    <col min="36" max="36" width="10.19921875" style="171" customWidth="1"/>
    <col min="37" max="37" width="10.69921875" style="171" customWidth="1"/>
    <col min="38" max="38" width="11.69921875" style="171" customWidth="1"/>
    <col min="39" max="39" width="11.5" style="172" customWidth="1"/>
    <col min="40" max="40" width="14" style="173" customWidth="1"/>
    <col min="41" max="16384" width="9" style="173"/>
  </cols>
  <sheetData>
    <row r="1" spans="1:39" x14ac:dyDescent="0.3">
      <c r="A1" s="164" t="s">
        <v>487</v>
      </c>
      <c r="B1" s="165"/>
      <c r="C1" s="166"/>
      <c r="D1" s="166"/>
      <c r="E1" s="167"/>
      <c r="F1" s="168"/>
      <c r="G1" s="169"/>
      <c r="H1" s="166"/>
      <c r="I1" s="169"/>
      <c r="J1" s="169"/>
      <c r="K1" s="169"/>
      <c r="L1" s="169"/>
      <c r="M1" s="169"/>
      <c r="N1" s="169"/>
      <c r="O1" s="170"/>
      <c r="P1" s="170"/>
      <c r="Q1" s="170"/>
    </row>
    <row r="2" spans="1:39" x14ac:dyDescent="0.3">
      <c r="A2" s="95" t="s">
        <v>481</v>
      </c>
      <c r="B2" s="174"/>
      <c r="C2" s="175" t="s">
        <v>0</v>
      </c>
      <c r="D2" s="176">
        <f>+Summary!I3</f>
        <v>0</v>
      </c>
      <c r="E2" s="177"/>
      <c r="F2" s="177"/>
      <c r="G2" s="178"/>
      <c r="H2" s="178"/>
      <c r="I2" s="179"/>
      <c r="J2" s="180"/>
      <c r="K2" s="181"/>
      <c r="L2" s="180"/>
      <c r="M2" s="182"/>
      <c r="N2" s="182"/>
      <c r="O2" s="181"/>
      <c r="P2" s="182"/>
      <c r="Q2" s="181"/>
    </row>
    <row r="3" spans="1:39" x14ac:dyDescent="0.3">
      <c r="A3" s="101"/>
      <c r="B3" s="183"/>
      <c r="C3" s="180"/>
      <c r="D3" s="184"/>
      <c r="E3" s="177"/>
      <c r="F3" s="177"/>
      <c r="G3" s="178"/>
      <c r="H3" s="178"/>
      <c r="I3" s="181"/>
      <c r="J3" s="180"/>
      <c r="K3" s="181"/>
      <c r="L3" s="180"/>
      <c r="M3" s="182"/>
      <c r="N3" s="182"/>
      <c r="O3" s="181"/>
      <c r="P3" s="182"/>
      <c r="Q3" s="181"/>
    </row>
    <row r="4" spans="1:39" x14ac:dyDescent="0.3">
      <c r="A4" s="101"/>
      <c r="B4" s="183"/>
      <c r="C4" s="180"/>
      <c r="D4" s="184"/>
      <c r="E4" s="177"/>
      <c r="F4" s="177"/>
      <c r="G4" s="178"/>
      <c r="H4" s="178"/>
      <c r="I4" s="181"/>
      <c r="J4" s="180"/>
      <c r="K4" s="181"/>
      <c r="L4" s="180"/>
      <c r="M4" s="182"/>
      <c r="N4" s="182"/>
      <c r="O4" s="181"/>
      <c r="P4" s="182"/>
      <c r="Q4" s="181"/>
    </row>
    <row r="5" spans="1:39" x14ac:dyDescent="0.3">
      <c r="A5" s="101"/>
      <c r="B5" s="183"/>
      <c r="C5" s="180"/>
      <c r="D5" s="184"/>
      <c r="E5" s="177"/>
      <c r="F5" s="177"/>
      <c r="G5" s="178"/>
      <c r="H5" s="178"/>
      <c r="I5" s="181"/>
      <c r="J5" s="180"/>
      <c r="K5" s="181"/>
      <c r="L5" s="180"/>
      <c r="M5" s="182"/>
      <c r="N5" s="182"/>
      <c r="O5" s="181"/>
      <c r="P5" s="182"/>
      <c r="Q5" s="181"/>
    </row>
    <row r="6" spans="1:39" x14ac:dyDescent="0.3">
      <c r="A6" s="101" t="s">
        <v>485</v>
      </c>
      <c r="B6" s="183"/>
      <c r="C6" s="180" t="s">
        <v>473</v>
      </c>
      <c r="D6" s="185"/>
      <c r="E6" s="186"/>
      <c r="F6" s="186"/>
      <c r="G6" s="187"/>
      <c r="H6" s="181"/>
      <c r="I6" s="188"/>
      <c r="J6" s="189"/>
      <c r="K6" s="180"/>
      <c r="L6" s="180"/>
      <c r="M6" s="181"/>
      <c r="N6" s="181"/>
      <c r="O6" s="181"/>
      <c r="P6" s="181"/>
      <c r="Q6" s="181"/>
    </row>
    <row r="7" spans="1:39" x14ac:dyDescent="0.3">
      <c r="A7" s="107" t="s">
        <v>1</v>
      </c>
      <c r="C7" s="180"/>
      <c r="D7" s="190"/>
      <c r="E7" s="191"/>
      <c r="F7" s="191"/>
      <c r="G7" s="192"/>
      <c r="H7" s="192"/>
      <c r="I7" s="181"/>
      <c r="J7" s="189"/>
      <c r="K7" s="180"/>
      <c r="L7" s="180"/>
      <c r="M7" s="181"/>
      <c r="N7" s="181"/>
      <c r="O7" s="181"/>
      <c r="P7" s="181"/>
      <c r="Q7" s="181"/>
    </row>
    <row r="8" spans="1:39" x14ac:dyDescent="0.3">
      <c r="A8" s="107" t="s">
        <v>483</v>
      </c>
      <c r="C8" s="180" t="s">
        <v>474</v>
      </c>
      <c r="D8" s="190"/>
      <c r="E8" s="425" t="s">
        <v>475</v>
      </c>
      <c r="F8" s="425"/>
      <c r="G8" s="426" t="s">
        <v>476</v>
      </c>
      <c r="H8" s="426"/>
      <c r="I8" s="181"/>
      <c r="J8" s="189"/>
      <c r="K8" s="180"/>
      <c r="L8" s="180"/>
      <c r="M8" s="181"/>
      <c r="N8" s="181"/>
      <c r="O8" s="181"/>
      <c r="P8" s="181"/>
      <c r="Q8" s="181"/>
    </row>
    <row r="9" spans="1:39" s="192" customFormat="1" ht="37.5" customHeight="1" thickBot="1" x14ac:dyDescent="0.35">
      <c r="A9" s="193" t="s">
        <v>477</v>
      </c>
      <c r="B9" s="194" t="s">
        <v>478</v>
      </c>
      <c r="C9" s="194" t="s">
        <v>4</v>
      </c>
      <c r="D9" s="195" t="s">
        <v>490</v>
      </c>
      <c r="E9" s="196" t="s">
        <v>479</v>
      </c>
      <c r="F9" s="197" t="s">
        <v>9</v>
      </c>
      <c r="G9" s="195" t="s">
        <v>479</v>
      </c>
      <c r="H9" s="198" t="s">
        <v>9</v>
      </c>
      <c r="I9" s="247" t="s">
        <v>665</v>
      </c>
      <c r="J9" s="247" t="s">
        <v>666</v>
      </c>
      <c r="K9" s="247" t="s">
        <v>667</v>
      </c>
      <c r="L9" s="247" t="s">
        <v>668</v>
      </c>
      <c r="M9" s="247" t="s">
        <v>669</v>
      </c>
      <c r="N9" s="247" t="s">
        <v>670</v>
      </c>
      <c r="O9" s="247" t="s">
        <v>671</v>
      </c>
      <c r="P9" s="247" t="s">
        <v>672</v>
      </c>
      <c r="Q9" s="247" t="s">
        <v>673</v>
      </c>
      <c r="R9" s="247" t="s">
        <v>674</v>
      </c>
      <c r="S9" s="247" t="s">
        <v>675</v>
      </c>
      <c r="T9" s="247" t="s">
        <v>676</v>
      </c>
      <c r="U9" s="247" t="s">
        <v>677</v>
      </c>
      <c r="V9" s="247" t="s">
        <v>678</v>
      </c>
      <c r="W9" s="247" t="s">
        <v>679</v>
      </c>
      <c r="X9" s="247" t="s">
        <v>680</v>
      </c>
      <c r="Y9" s="247" t="s">
        <v>681</v>
      </c>
      <c r="Z9" s="247" t="s">
        <v>682</v>
      </c>
      <c r="AA9" s="247" t="s">
        <v>683</v>
      </c>
      <c r="AB9" s="247" t="s">
        <v>684</v>
      </c>
      <c r="AC9" s="247" t="s">
        <v>685</v>
      </c>
      <c r="AD9" s="247" t="s">
        <v>686</v>
      </c>
      <c r="AE9" s="247" t="s">
        <v>687</v>
      </c>
      <c r="AF9" s="247" t="s">
        <v>688</v>
      </c>
      <c r="AG9" s="247" t="s">
        <v>689</v>
      </c>
      <c r="AH9" s="247" t="s">
        <v>690</v>
      </c>
      <c r="AI9" s="247" t="s">
        <v>691</v>
      </c>
      <c r="AJ9" s="247" t="s">
        <v>692</v>
      </c>
      <c r="AK9" s="247" t="s">
        <v>693</v>
      </c>
      <c r="AL9" s="247" t="s">
        <v>694</v>
      </c>
      <c r="AM9" s="247" t="s">
        <v>695</v>
      </c>
    </row>
    <row r="10" spans="1:39" ht="22.5" customHeight="1" thickBot="1" x14ac:dyDescent="0.35">
      <c r="A10" s="15">
        <v>1</v>
      </c>
      <c r="B10" s="16" t="s">
        <v>10</v>
      </c>
      <c r="C10" s="16"/>
      <c r="D10" s="17"/>
      <c r="E10" s="199"/>
      <c r="F10" s="18">
        <f>E10*D10</f>
        <v>0</v>
      </c>
      <c r="G10" s="200"/>
      <c r="H10" s="201">
        <f>SUM(I10:AM10)</f>
        <v>0</v>
      </c>
      <c r="I10" s="202"/>
      <c r="J10" s="202"/>
      <c r="K10" s="202"/>
      <c r="L10" s="202"/>
      <c r="M10" s="202"/>
      <c r="N10" s="202"/>
      <c r="O10" s="202"/>
      <c r="P10" s="202"/>
      <c r="Q10" s="202"/>
      <c r="R10" s="202"/>
      <c r="S10" s="202"/>
      <c r="T10" s="202"/>
      <c r="U10" s="202"/>
      <c r="V10" s="202"/>
      <c r="W10" s="202"/>
      <c r="X10" s="202"/>
      <c r="Y10" s="202"/>
      <c r="Z10" s="202"/>
      <c r="AA10" s="202"/>
      <c r="AB10" s="202"/>
      <c r="AC10" s="202"/>
      <c r="AD10" s="202"/>
      <c r="AE10" s="202"/>
      <c r="AF10" s="202"/>
      <c r="AG10" s="202"/>
      <c r="AH10" s="202"/>
      <c r="AI10" s="202"/>
      <c r="AJ10" s="202"/>
      <c r="AK10" s="202"/>
      <c r="AL10" s="202"/>
      <c r="AM10" s="203"/>
    </row>
    <row r="11" spans="1:39" ht="33" customHeight="1" thickTop="1" x14ac:dyDescent="0.3">
      <c r="A11" s="22" t="s">
        <v>11</v>
      </c>
      <c r="B11" s="23" t="s">
        <v>12</v>
      </c>
      <c r="C11" s="24" t="s">
        <v>13</v>
      </c>
      <c r="D11" s="56"/>
      <c r="E11" s="199"/>
      <c r="F11" s="25">
        <f t="shared" ref="F11:F78" si="0">E11*D11</f>
        <v>0</v>
      </c>
      <c r="G11" s="200">
        <f t="shared" ref="G11:G18" si="1">SUM(I11:AL11)</f>
        <v>0</v>
      </c>
      <c r="H11" s="204">
        <f>G11*D11</f>
        <v>0</v>
      </c>
      <c r="I11" s="202"/>
      <c r="J11" s="202"/>
      <c r="K11" s="202"/>
      <c r="L11" s="202"/>
      <c r="M11" s="202"/>
      <c r="N11" s="202"/>
      <c r="O11" s="202"/>
      <c r="P11" s="202"/>
      <c r="Q11" s="202"/>
      <c r="R11" s="202"/>
      <c r="S11" s="202"/>
      <c r="T11" s="202"/>
      <c r="U11" s="202"/>
      <c r="V11" s="202"/>
      <c r="W11" s="202"/>
      <c r="X11" s="202"/>
      <c r="Y11" s="202"/>
      <c r="Z11" s="202"/>
      <c r="AA11" s="202"/>
      <c r="AB11" s="202"/>
      <c r="AC11" s="202"/>
      <c r="AD11" s="202"/>
      <c r="AE11" s="202"/>
      <c r="AF11" s="202"/>
      <c r="AG11" s="202"/>
      <c r="AH11" s="202"/>
      <c r="AI11" s="202"/>
      <c r="AJ11" s="202"/>
      <c r="AK11" s="202"/>
      <c r="AL11" s="202"/>
      <c r="AM11" s="203"/>
    </row>
    <row r="12" spans="1:39" ht="33" customHeight="1" x14ac:dyDescent="0.3">
      <c r="A12" s="28" t="s">
        <v>14</v>
      </c>
      <c r="B12" s="29" t="s">
        <v>15</v>
      </c>
      <c r="C12" s="30" t="s">
        <v>16</v>
      </c>
      <c r="D12" s="56"/>
      <c r="E12" s="199"/>
      <c r="F12" s="25">
        <f t="shared" si="0"/>
        <v>0</v>
      </c>
      <c r="G12" s="200">
        <f t="shared" si="1"/>
        <v>0</v>
      </c>
      <c r="H12" s="204">
        <f t="shared" ref="H12:H79" si="2">G12*D12</f>
        <v>0</v>
      </c>
      <c r="I12" s="202"/>
      <c r="J12" s="202"/>
      <c r="K12" s="202"/>
      <c r="L12" s="202"/>
      <c r="M12" s="202"/>
      <c r="N12" s="202"/>
      <c r="O12" s="202"/>
      <c r="P12" s="202"/>
      <c r="Q12" s="202"/>
      <c r="R12" s="202"/>
      <c r="S12" s="202"/>
      <c r="T12" s="202"/>
      <c r="U12" s="202"/>
      <c r="V12" s="202"/>
      <c r="W12" s="202"/>
      <c r="X12" s="202"/>
      <c r="Y12" s="202"/>
      <c r="Z12" s="202"/>
      <c r="AA12" s="202"/>
      <c r="AB12" s="202"/>
      <c r="AC12" s="202"/>
      <c r="AD12" s="202"/>
      <c r="AE12" s="202"/>
      <c r="AF12" s="202"/>
      <c r="AG12" s="202"/>
      <c r="AH12" s="202"/>
      <c r="AI12" s="202"/>
      <c r="AJ12" s="202"/>
      <c r="AK12" s="202"/>
      <c r="AL12" s="202"/>
      <c r="AM12" s="203"/>
    </row>
    <row r="13" spans="1:39" ht="33" customHeight="1" x14ac:dyDescent="0.3">
      <c r="A13" s="28" t="s">
        <v>17</v>
      </c>
      <c r="B13" s="29" t="s">
        <v>18</v>
      </c>
      <c r="C13" s="30" t="s">
        <v>16</v>
      </c>
      <c r="D13" s="56"/>
      <c r="E13" s="199"/>
      <c r="F13" s="25">
        <f t="shared" si="0"/>
        <v>0</v>
      </c>
      <c r="G13" s="200">
        <f t="shared" si="1"/>
        <v>0</v>
      </c>
      <c r="H13" s="204">
        <f t="shared" si="2"/>
        <v>0</v>
      </c>
      <c r="I13" s="202"/>
      <c r="J13" s="202"/>
      <c r="K13" s="202"/>
      <c r="L13" s="202"/>
      <c r="M13" s="202"/>
      <c r="N13" s="202"/>
      <c r="O13" s="202"/>
      <c r="P13" s="202"/>
      <c r="Q13" s="202"/>
      <c r="R13" s="202"/>
      <c r="S13" s="202"/>
      <c r="T13" s="202"/>
      <c r="U13" s="202"/>
      <c r="V13" s="202"/>
      <c r="W13" s="202"/>
      <c r="X13" s="202"/>
      <c r="Y13" s="202"/>
      <c r="Z13" s="202"/>
      <c r="AA13" s="202"/>
      <c r="AB13" s="202"/>
      <c r="AC13" s="202"/>
      <c r="AD13" s="202"/>
      <c r="AE13" s="202"/>
      <c r="AF13" s="202"/>
      <c r="AG13" s="202"/>
      <c r="AH13" s="202"/>
      <c r="AI13" s="202"/>
      <c r="AJ13" s="202"/>
      <c r="AK13" s="202"/>
      <c r="AL13" s="202"/>
      <c r="AM13" s="203"/>
    </row>
    <row r="14" spans="1:39" ht="33" customHeight="1" x14ac:dyDescent="0.3">
      <c r="A14" s="28" t="s">
        <v>19</v>
      </c>
      <c r="B14" s="29" t="s">
        <v>20</v>
      </c>
      <c r="C14" s="30" t="s">
        <v>21</v>
      </c>
      <c r="D14" s="56"/>
      <c r="E14" s="199"/>
      <c r="F14" s="25">
        <f t="shared" si="0"/>
        <v>0</v>
      </c>
      <c r="G14" s="200">
        <f t="shared" si="1"/>
        <v>0</v>
      </c>
      <c r="H14" s="204">
        <f t="shared" si="2"/>
        <v>0</v>
      </c>
      <c r="I14" s="202"/>
      <c r="J14" s="202"/>
      <c r="K14" s="202"/>
      <c r="L14" s="202"/>
      <c r="M14" s="202"/>
      <c r="N14" s="202"/>
      <c r="O14" s="202"/>
      <c r="P14" s="202"/>
      <c r="Q14" s="202"/>
      <c r="R14" s="202"/>
      <c r="S14" s="202"/>
      <c r="T14" s="202"/>
      <c r="U14" s="202"/>
      <c r="V14" s="202"/>
      <c r="W14" s="202"/>
      <c r="X14" s="202"/>
      <c r="Y14" s="202"/>
      <c r="Z14" s="202"/>
      <c r="AA14" s="202"/>
      <c r="AB14" s="202"/>
      <c r="AC14" s="202"/>
      <c r="AD14" s="202"/>
      <c r="AE14" s="202"/>
      <c r="AF14" s="202"/>
      <c r="AG14" s="202"/>
      <c r="AH14" s="202"/>
      <c r="AI14" s="202"/>
      <c r="AJ14" s="202"/>
      <c r="AK14" s="202"/>
      <c r="AL14" s="202"/>
      <c r="AM14" s="203"/>
    </row>
    <row r="15" spans="1:39" ht="33" customHeight="1" x14ac:dyDescent="0.3">
      <c r="A15" s="28" t="s">
        <v>22</v>
      </c>
      <c r="B15" s="29" t="s">
        <v>23</v>
      </c>
      <c r="C15" s="30" t="s">
        <v>16</v>
      </c>
      <c r="D15" s="56"/>
      <c r="E15" s="199"/>
      <c r="F15" s="25">
        <f t="shared" si="0"/>
        <v>0</v>
      </c>
      <c r="G15" s="200">
        <f t="shared" si="1"/>
        <v>0</v>
      </c>
      <c r="H15" s="204">
        <f t="shared" si="2"/>
        <v>0</v>
      </c>
      <c r="I15" s="202"/>
      <c r="J15" s="202"/>
      <c r="K15" s="202"/>
      <c r="L15" s="202"/>
      <c r="M15" s="202"/>
      <c r="N15" s="202"/>
      <c r="O15" s="202"/>
      <c r="P15" s="202"/>
      <c r="Q15" s="202"/>
      <c r="R15" s="202"/>
      <c r="S15" s="202"/>
      <c r="T15" s="202"/>
      <c r="U15" s="202"/>
      <c r="V15" s="202"/>
      <c r="W15" s="202"/>
      <c r="X15" s="202"/>
      <c r="Y15" s="202"/>
      <c r="Z15" s="202"/>
      <c r="AA15" s="202"/>
      <c r="AB15" s="202"/>
      <c r="AC15" s="202"/>
      <c r="AD15" s="202"/>
      <c r="AE15" s="202"/>
      <c r="AF15" s="202"/>
      <c r="AG15" s="202"/>
      <c r="AH15" s="202"/>
      <c r="AI15" s="202"/>
      <c r="AJ15" s="202"/>
      <c r="AK15" s="202"/>
      <c r="AL15" s="202"/>
      <c r="AM15" s="203"/>
    </row>
    <row r="16" spans="1:39" ht="33" customHeight="1" x14ac:dyDescent="0.3">
      <c r="A16" s="28" t="s">
        <v>24</v>
      </c>
      <c r="B16" s="29" t="s">
        <v>25</v>
      </c>
      <c r="C16" s="30" t="s">
        <v>13</v>
      </c>
      <c r="D16" s="56"/>
      <c r="E16" s="199"/>
      <c r="F16" s="25">
        <f t="shared" si="0"/>
        <v>0</v>
      </c>
      <c r="G16" s="200">
        <f t="shared" si="1"/>
        <v>0</v>
      </c>
      <c r="H16" s="204">
        <f t="shared" si="2"/>
        <v>0</v>
      </c>
      <c r="I16" s="202"/>
      <c r="J16" s="202"/>
      <c r="K16" s="202"/>
      <c r="L16" s="202"/>
      <c r="M16" s="202"/>
      <c r="N16" s="202"/>
      <c r="O16" s="202"/>
      <c r="P16" s="202"/>
      <c r="Q16" s="202"/>
      <c r="R16" s="202"/>
      <c r="S16" s="202"/>
      <c r="T16" s="202"/>
      <c r="U16" s="202"/>
      <c r="V16" s="202"/>
      <c r="W16" s="202"/>
      <c r="X16" s="202"/>
      <c r="Y16" s="202"/>
      <c r="Z16" s="202"/>
      <c r="AA16" s="202"/>
      <c r="AB16" s="202"/>
      <c r="AC16" s="202"/>
      <c r="AD16" s="202"/>
      <c r="AE16" s="202"/>
      <c r="AF16" s="202"/>
      <c r="AG16" s="202"/>
      <c r="AH16" s="202"/>
      <c r="AI16" s="202"/>
      <c r="AJ16" s="202"/>
      <c r="AK16" s="202"/>
      <c r="AL16" s="202"/>
      <c r="AM16" s="203"/>
    </row>
    <row r="17" spans="1:39" ht="33" customHeight="1" x14ac:dyDescent="0.3">
      <c r="A17" s="28" t="s">
        <v>26</v>
      </c>
      <c r="B17" s="29" t="s">
        <v>27</v>
      </c>
      <c r="C17" s="30" t="s">
        <v>13</v>
      </c>
      <c r="D17" s="56"/>
      <c r="E17" s="199"/>
      <c r="F17" s="25">
        <f t="shared" si="0"/>
        <v>0</v>
      </c>
      <c r="G17" s="200">
        <f t="shared" si="1"/>
        <v>0</v>
      </c>
      <c r="H17" s="204">
        <f t="shared" si="2"/>
        <v>0</v>
      </c>
      <c r="I17" s="202"/>
      <c r="J17" s="202"/>
      <c r="K17" s="202"/>
      <c r="L17" s="202"/>
      <c r="M17" s="202"/>
      <c r="N17" s="202"/>
      <c r="O17" s="202"/>
      <c r="P17" s="202"/>
      <c r="Q17" s="202"/>
      <c r="R17" s="202"/>
      <c r="S17" s="202"/>
      <c r="T17" s="202"/>
      <c r="U17" s="202"/>
      <c r="V17" s="202"/>
      <c r="W17" s="202"/>
      <c r="X17" s="202"/>
      <c r="Y17" s="202"/>
      <c r="Z17" s="202"/>
      <c r="AA17" s="202"/>
      <c r="AB17" s="202"/>
      <c r="AC17" s="202"/>
      <c r="AD17" s="202"/>
      <c r="AE17" s="202"/>
      <c r="AF17" s="202"/>
      <c r="AG17" s="202"/>
      <c r="AH17" s="202"/>
      <c r="AI17" s="202"/>
      <c r="AJ17" s="202"/>
      <c r="AK17" s="202"/>
      <c r="AL17" s="202"/>
      <c r="AM17" s="203"/>
    </row>
    <row r="18" spans="1:39" ht="33" customHeight="1" x14ac:dyDescent="0.3">
      <c r="A18" s="28" t="s">
        <v>28</v>
      </c>
      <c r="B18" s="29" t="s">
        <v>29</v>
      </c>
      <c r="C18" s="30" t="s">
        <v>30</v>
      </c>
      <c r="D18" s="56"/>
      <c r="E18" s="199"/>
      <c r="F18" s="25">
        <f t="shared" si="0"/>
        <v>0</v>
      </c>
      <c r="G18" s="200">
        <f t="shared" si="1"/>
        <v>0</v>
      </c>
      <c r="H18" s="204">
        <f t="shared" si="2"/>
        <v>0</v>
      </c>
      <c r="I18" s="202"/>
      <c r="J18" s="202"/>
      <c r="K18" s="202"/>
      <c r="L18" s="202"/>
      <c r="M18" s="202"/>
      <c r="N18" s="202"/>
      <c r="O18" s="202"/>
      <c r="P18" s="202"/>
      <c r="Q18" s="202"/>
      <c r="R18" s="202"/>
      <c r="S18" s="202"/>
      <c r="T18" s="202"/>
      <c r="U18" s="202"/>
      <c r="V18" s="202"/>
      <c r="W18" s="202"/>
      <c r="X18" s="202"/>
      <c r="Y18" s="202"/>
      <c r="Z18" s="202"/>
      <c r="AA18" s="202"/>
      <c r="AB18" s="202"/>
      <c r="AC18" s="202"/>
      <c r="AD18" s="202"/>
      <c r="AE18" s="202"/>
      <c r="AF18" s="202"/>
      <c r="AG18" s="202"/>
      <c r="AH18" s="202"/>
      <c r="AI18" s="202"/>
      <c r="AJ18" s="202"/>
      <c r="AK18" s="202"/>
      <c r="AL18" s="202"/>
      <c r="AM18" s="203"/>
    </row>
    <row r="19" spans="1:39" ht="33" customHeight="1" x14ac:dyDescent="0.3">
      <c r="A19" s="28" t="s">
        <v>31</v>
      </c>
      <c r="B19" s="29" t="s">
        <v>32</v>
      </c>
      <c r="C19" s="30" t="s">
        <v>30</v>
      </c>
      <c r="D19" s="56"/>
      <c r="E19" s="199"/>
      <c r="F19" s="25">
        <f t="shared" si="0"/>
        <v>0</v>
      </c>
      <c r="G19" s="200">
        <f>SUM(I19:AM19)</f>
        <v>0</v>
      </c>
      <c r="H19" s="204">
        <f t="shared" si="2"/>
        <v>0</v>
      </c>
      <c r="I19" s="202"/>
      <c r="J19" s="202"/>
      <c r="K19" s="202"/>
      <c r="L19" s="202"/>
      <c r="M19" s="202"/>
      <c r="N19" s="202"/>
      <c r="O19" s="202"/>
      <c r="P19" s="202"/>
      <c r="Q19" s="202"/>
      <c r="R19" s="202"/>
      <c r="S19" s="202"/>
      <c r="T19" s="202"/>
      <c r="U19" s="202"/>
      <c r="V19" s="202"/>
      <c r="W19" s="202"/>
      <c r="X19" s="202"/>
      <c r="Y19" s="202"/>
      <c r="Z19" s="202"/>
      <c r="AA19" s="202"/>
      <c r="AB19" s="202"/>
      <c r="AC19" s="202"/>
      <c r="AD19" s="202"/>
      <c r="AE19" s="202"/>
      <c r="AF19" s="202"/>
      <c r="AG19" s="202"/>
      <c r="AH19" s="202"/>
      <c r="AI19" s="202"/>
      <c r="AJ19" s="202"/>
      <c r="AK19" s="202"/>
      <c r="AL19" s="202"/>
      <c r="AM19" s="203"/>
    </row>
    <row r="20" spans="1:39" ht="33" customHeight="1" x14ac:dyDescent="0.3">
      <c r="A20" s="28" t="s">
        <v>33</v>
      </c>
      <c r="B20" s="29" t="s">
        <v>34</v>
      </c>
      <c r="C20" s="30" t="s">
        <v>35</v>
      </c>
      <c r="D20" s="56"/>
      <c r="E20" s="199"/>
      <c r="F20" s="25">
        <f t="shared" si="0"/>
        <v>0</v>
      </c>
      <c r="G20" s="200">
        <f t="shared" ref="G20:G83" si="3">SUM(I20:AM20)</f>
        <v>0</v>
      </c>
      <c r="H20" s="204">
        <f t="shared" si="2"/>
        <v>0</v>
      </c>
      <c r="I20" s="202"/>
      <c r="J20" s="202"/>
      <c r="K20" s="202"/>
      <c r="L20" s="202"/>
      <c r="M20" s="202"/>
      <c r="N20" s="202"/>
      <c r="O20" s="202"/>
      <c r="P20" s="202"/>
      <c r="Q20" s="202"/>
      <c r="R20" s="202"/>
      <c r="S20" s="202"/>
      <c r="T20" s="202"/>
      <c r="U20" s="202"/>
      <c r="V20" s="202"/>
      <c r="W20" s="202"/>
      <c r="X20" s="202"/>
      <c r="Y20" s="202"/>
      <c r="Z20" s="202"/>
      <c r="AA20" s="202"/>
      <c r="AB20" s="202"/>
      <c r="AC20" s="202"/>
      <c r="AD20" s="202"/>
      <c r="AE20" s="202"/>
      <c r="AF20" s="202"/>
      <c r="AG20" s="202"/>
      <c r="AH20" s="202"/>
      <c r="AI20" s="202"/>
      <c r="AJ20" s="202"/>
      <c r="AK20" s="202"/>
      <c r="AL20" s="202"/>
      <c r="AM20" s="203"/>
    </row>
    <row r="21" spans="1:39" ht="33" customHeight="1" x14ac:dyDescent="0.3">
      <c r="A21" s="28" t="s">
        <v>36</v>
      </c>
      <c r="B21" s="29" t="s">
        <v>37</v>
      </c>
      <c r="C21" s="30" t="s">
        <v>35</v>
      </c>
      <c r="D21" s="56"/>
      <c r="E21" s="199"/>
      <c r="F21" s="25">
        <f t="shared" si="0"/>
        <v>0</v>
      </c>
      <c r="G21" s="200">
        <f t="shared" si="3"/>
        <v>0</v>
      </c>
      <c r="H21" s="204">
        <f t="shared" si="2"/>
        <v>0</v>
      </c>
      <c r="I21" s="202"/>
      <c r="J21" s="202"/>
      <c r="K21" s="202"/>
      <c r="L21" s="202"/>
      <c r="M21" s="202"/>
      <c r="N21" s="202"/>
      <c r="O21" s="202"/>
      <c r="P21" s="202"/>
      <c r="Q21" s="202"/>
      <c r="R21" s="202"/>
      <c r="S21" s="202"/>
      <c r="T21" s="202"/>
      <c r="U21" s="202"/>
      <c r="V21" s="202"/>
      <c r="W21" s="202"/>
      <c r="X21" s="202"/>
      <c r="Y21" s="202"/>
      <c r="Z21" s="202"/>
      <c r="AA21" s="202"/>
      <c r="AB21" s="202"/>
      <c r="AC21" s="202"/>
      <c r="AD21" s="202"/>
      <c r="AE21" s="202"/>
      <c r="AF21" s="202"/>
      <c r="AG21" s="202"/>
      <c r="AH21" s="202"/>
      <c r="AI21" s="202"/>
      <c r="AJ21" s="202"/>
      <c r="AK21" s="202"/>
      <c r="AL21" s="202"/>
      <c r="AM21" s="203"/>
    </row>
    <row r="22" spans="1:39" ht="33" customHeight="1" x14ac:dyDescent="0.3">
      <c r="A22" s="28" t="s">
        <v>38</v>
      </c>
      <c r="B22" s="29" t="s">
        <v>39</v>
      </c>
      <c r="C22" s="30" t="s">
        <v>40</v>
      </c>
      <c r="D22" s="56"/>
      <c r="E22" s="199"/>
      <c r="F22" s="25">
        <f t="shared" si="0"/>
        <v>0</v>
      </c>
      <c r="G22" s="200">
        <f t="shared" si="3"/>
        <v>0</v>
      </c>
      <c r="H22" s="204">
        <f t="shared" si="2"/>
        <v>0</v>
      </c>
      <c r="I22" s="202"/>
      <c r="J22" s="202"/>
      <c r="K22" s="202"/>
      <c r="L22" s="202"/>
      <c r="M22" s="202"/>
      <c r="N22" s="202"/>
      <c r="O22" s="202"/>
      <c r="P22" s="202"/>
      <c r="Q22" s="202"/>
      <c r="R22" s="202"/>
      <c r="S22" s="202"/>
      <c r="T22" s="202"/>
      <c r="U22" s="202"/>
      <c r="V22" s="202"/>
      <c r="W22" s="202"/>
      <c r="X22" s="202"/>
      <c r="Y22" s="202"/>
      <c r="Z22" s="202"/>
      <c r="AA22" s="202"/>
      <c r="AB22" s="202"/>
      <c r="AC22" s="202"/>
      <c r="AD22" s="202"/>
      <c r="AE22" s="202"/>
      <c r="AF22" s="202"/>
      <c r="AG22" s="202"/>
      <c r="AH22" s="202"/>
      <c r="AI22" s="202"/>
      <c r="AJ22" s="202"/>
      <c r="AK22" s="202"/>
      <c r="AL22" s="202"/>
      <c r="AM22" s="203"/>
    </row>
    <row r="23" spans="1:39" ht="33" customHeight="1" x14ac:dyDescent="0.3">
      <c r="A23" s="28" t="s">
        <v>41</v>
      </c>
      <c r="B23" s="29" t="s">
        <v>42</v>
      </c>
      <c r="C23" s="30" t="s">
        <v>30</v>
      </c>
      <c r="D23" s="56"/>
      <c r="E23" s="199"/>
      <c r="F23" s="25">
        <f t="shared" si="0"/>
        <v>0</v>
      </c>
      <c r="G23" s="200">
        <f t="shared" si="3"/>
        <v>0</v>
      </c>
      <c r="H23" s="204">
        <f t="shared" si="2"/>
        <v>0</v>
      </c>
      <c r="I23" s="202"/>
      <c r="J23" s="202"/>
      <c r="K23" s="202"/>
      <c r="L23" s="202"/>
      <c r="M23" s="202"/>
      <c r="N23" s="202"/>
      <c r="O23" s="202"/>
      <c r="P23" s="202"/>
      <c r="Q23" s="202"/>
      <c r="R23" s="202"/>
      <c r="S23" s="202"/>
      <c r="T23" s="202"/>
      <c r="U23" s="202"/>
      <c r="V23" s="202"/>
      <c r="W23" s="202"/>
      <c r="X23" s="202"/>
      <c r="Y23" s="202"/>
      <c r="Z23" s="202"/>
      <c r="AA23" s="202"/>
      <c r="AB23" s="202"/>
      <c r="AC23" s="202"/>
      <c r="AD23" s="202"/>
      <c r="AE23" s="202"/>
      <c r="AF23" s="202"/>
      <c r="AG23" s="202"/>
      <c r="AH23" s="202"/>
      <c r="AI23" s="202"/>
      <c r="AJ23" s="202"/>
      <c r="AK23" s="202"/>
      <c r="AL23" s="202"/>
      <c r="AM23" s="203"/>
    </row>
    <row r="24" spans="1:39" ht="33" customHeight="1" x14ac:dyDescent="0.3">
      <c r="A24" s="28" t="s">
        <v>43</v>
      </c>
      <c r="B24" s="29" t="s">
        <v>44</v>
      </c>
      <c r="C24" s="30" t="s">
        <v>30</v>
      </c>
      <c r="D24" s="56"/>
      <c r="E24" s="199"/>
      <c r="F24" s="25">
        <f t="shared" si="0"/>
        <v>0</v>
      </c>
      <c r="G24" s="200">
        <f t="shared" si="3"/>
        <v>0</v>
      </c>
      <c r="H24" s="204">
        <f t="shared" si="2"/>
        <v>0</v>
      </c>
      <c r="I24" s="202"/>
      <c r="J24" s="202"/>
      <c r="K24" s="202"/>
      <c r="L24" s="202"/>
      <c r="M24" s="202"/>
      <c r="N24" s="202"/>
      <c r="O24" s="202"/>
      <c r="P24" s="202"/>
      <c r="Q24" s="202"/>
      <c r="R24" s="202"/>
      <c r="S24" s="202"/>
      <c r="T24" s="202"/>
      <c r="U24" s="202"/>
      <c r="V24" s="202"/>
      <c r="W24" s="202"/>
      <c r="X24" s="202"/>
      <c r="Y24" s="202"/>
      <c r="Z24" s="202"/>
      <c r="AA24" s="202"/>
      <c r="AB24" s="202"/>
      <c r="AC24" s="202"/>
      <c r="AD24" s="202"/>
      <c r="AE24" s="202"/>
      <c r="AF24" s="202"/>
      <c r="AG24" s="202"/>
      <c r="AH24" s="202"/>
      <c r="AI24" s="202"/>
      <c r="AJ24" s="202"/>
      <c r="AK24" s="202"/>
      <c r="AL24" s="202"/>
      <c r="AM24" s="203"/>
    </row>
    <row r="25" spans="1:39" ht="33" customHeight="1" x14ac:dyDescent="0.3">
      <c r="A25" s="28" t="s">
        <v>45</v>
      </c>
      <c r="B25" s="29" t="s">
        <v>46</v>
      </c>
      <c r="C25" s="30" t="s">
        <v>13</v>
      </c>
      <c r="D25" s="56"/>
      <c r="E25" s="199"/>
      <c r="F25" s="25">
        <f t="shared" si="0"/>
        <v>0</v>
      </c>
      <c r="G25" s="200">
        <f t="shared" si="3"/>
        <v>0</v>
      </c>
      <c r="H25" s="204">
        <f t="shared" si="2"/>
        <v>0</v>
      </c>
      <c r="I25" s="202"/>
      <c r="J25" s="202"/>
      <c r="K25" s="202"/>
      <c r="L25" s="202"/>
      <c r="M25" s="202"/>
      <c r="N25" s="202"/>
      <c r="O25" s="202"/>
      <c r="P25" s="202"/>
      <c r="Q25" s="202"/>
      <c r="R25" s="202"/>
      <c r="S25" s="202"/>
      <c r="T25" s="202"/>
      <c r="U25" s="202"/>
      <c r="V25" s="202"/>
      <c r="W25" s="202"/>
      <c r="X25" s="202"/>
      <c r="Y25" s="202"/>
      <c r="Z25" s="202"/>
      <c r="AA25" s="202"/>
      <c r="AB25" s="202"/>
      <c r="AC25" s="202"/>
      <c r="AD25" s="202"/>
      <c r="AE25" s="202"/>
      <c r="AF25" s="202"/>
      <c r="AG25" s="202"/>
      <c r="AH25" s="202"/>
      <c r="AI25" s="202"/>
      <c r="AJ25" s="202"/>
      <c r="AK25" s="202"/>
      <c r="AL25" s="202"/>
      <c r="AM25" s="203"/>
    </row>
    <row r="26" spans="1:39" ht="33" customHeight="1" x14ac:dyDescent="0.3">
      <c r="A26" s="28" t="s">
        <v>47</v>
      </c>
      <c r="B26" s="29" t="s">
        <v>48</v>
      </c>
      <c r="C26" s="30" t="s">
        <v>16</v>
      </c>
      <c r="D26" s="56"/>
      <c r="E26" s="199"/>
      <c r="F26" s="25">
        <f t="shared" si="0"/>
        <v>0</v>
      </c>
      <c r="G26" s="200">
        <f t="shared" si="3"/>
        <v>0</v>
      </c>
      <c r="H26" s="204">
        <f t="shared" si="2"/>
        <v>0</v>
      </c>
      <c r="I26" s="202"/>
      <c r="J26" s="202"/>
      <c r="K26" s="202"/>
      <c r="L26" s="202"/>
      <c r="M26" s="202"/>
      <c r="N26" s="202"/>
      <c r="O26" s="202"/>
      <c r="P26" s="202"/>
      <c r="Q26" s="202"/>
      <c r="R26" s="202"/>
      <c r="S26" s="202"/>
      <c r="T26" s="202"/>
      <c r="U26" s="202"/>
      <c r="V26" s="202"/>
      <c r="W26" s="202"/>
      <c r="X26" s="202"/>
      <c r="Y26" s="202"/>
      <c r="Z26" s="202"/>
      <c r="AA26" s="202"/>
      <c r="AB26" s="202"/>
      <c r="AC26" s="202"/>
      <c r="AD26" s="202"/>
      <c r="AE26" s="202"/>
      <c r="AF26" s="202"/>
      <c r="AG26" s="202"/>
      <c r="AH26" s="202"/>
      <c r="AI26" s="202"/>
      <c r="AJ26" s="202"/>
      <c r="AK26" s="202"/>
      <c r="AL26" s="202"/>
      <c r="AM26" s="203"/>
    </row>
    <row r="27" spans="1:39" ht="33" customHeight="1" x14ac:dyDescent="0.3">
      <c r="A27" s="28" t="s">
        <v>49</v>
      </c>
      <c r="B27" s="29" t="s">
        <v>50</v>
      </c>
      <c r="C27" s="30" t="s">
        <v>16</v>
      </c>
      <c r="D27" s="56"/>
      <c r="E27" s="199"/>
      <c r="F27" s="25">
        <f t="shared" si="0"/>
        <v>0</v>
      </c>
      <c r="G27" s="200">
        <f t="shared" si="3"/>
        <v>0</v>
      </c>
      <c r="H27" s="204">
        <f t="shared" si="2"/>
        <v>0</v>
      </c>
      <c r="I27" s="202"/>
      <c r="J27" s="202"/>
      <c r="K27" s="202"/>
      <c r="L27" s="202"/>
      <c r="M27" s="202"/>
      <c r="N27" s="202"/>
      <c r="O27" s="202"/>
      <c r="P27" s="202"/>
      <c r="Q27" s="202"/>
      <c r="R27" s="202"/>
      <c r="S27" s="202"/>
      <c r="T27" s="202"/>
      <c r="U27" s="202"/>
      <c r="V27" s="202"/>
      <c r="W27" s="202"/>
      <c r="X27" s="202"/>
      <c r="Y27" s="202"/>
      <c r="Z27" s="202"/>
      <c r="AA27" s="202"/>
      <c r="AB27" s="202"/>
      <c r="AC27" s="202"/>
      <c r="AD27" s="202"/>
      <c r="AE27" s="202"/>
      <c r="AF27" s="202"/>
      <c r="AG27" s="202"/>
      <c r="AH27" s="202"/>
      <c r="AI27" s="202"/>
      <c r="AJ27" s="202"/>
      <c r="AK27" s="202"/>
      <c r="AL27" s="202"/>
      <c r="AM27" s="203"/>
    </row>
    <row r="28" spans="1:39" ht="33" customHeight="1" x14ac:dyDescent="0.3">
      <c r="A28" s="28" t="s">
        <v>51</v>
      </c>
      <c r="B28" s="29" t="s">
        <v>52</v>
      </c>
      <c r="C28" s="30" t="s">
        <v>13</v>
      </c>
      <c r="D28" s="56"/>
      <c r="E28" s="199"/>
      <c r="F28" s="25">
        <f t="shared" si="0"/>
        <v>0</v>
      </c>
      <c r="G28" s="200">
        <f t="shared" si="3"/>
        <v>0</v>
      </c>
      <c r="H28" s="204">
        <f t="shared" si="2"/>
        <v>0</v>
      </c>
      <c r="I28" s="202"/>
      <c r="J28" s="202"/>
      <c r="K28" s="202"/>
      <c r="L28" s="202"/>
      <c r="M28" s="202"/>
      <c r="N28" s="202"/>
      <c r="O28" s="202"/>
      <c r="P28" s="202"/>
      <c r="Q28" s="202"/>
      <c r="R28" s="202"/>
      <c r="S28" s="202"/>
      <c r="T28" s="202"/>
      <c r="U28" s="202"/>
      <c r="V28" s="202"/>
      <c r="W28" s="202"/>
      <c r="X28" s="202"/>
      <c r="Y28" s="202"/>
      <c r="Z28" s="202"/>
      <c r="AA28" s="202"/>
      <c r="AB28" s="202"/>
      <c r="AC28" s="202"/>
      <c r="AD28" s="202"/>
      <c r="AE28" s="202"/>
      <c r="AF28" s="202"/>
      <c r="AG28" s="202"/>
      <c r="AH28" s="202"/>
      <c r="AI28" s="202"/>
      <c r="AJ28" s="202"/>
      <c r="AK28" s="202"/>
      <c r="AL28" s="202"/>
      <c r="AM28" s="203"/>
    </row>
    <row r="29" spans="1:39" ht="33" customHeight="1" x14ac:dyDescent="0.3">
      <c r="A29" s="28" t="s">
        <v>53</v>
      </c>
      <c r="B29" s="29" t="s">
        <v>54</v>
      </c>
      <c r="C29" s="30" t="s">
        <v>55</v>
      </c>
      <c r="D29" s="56"/>
      <c r="E29" s="199"/>
      <c r="F29" s="25">
        <f t="shared" si="0"/>
        <v>0</v>
      </c>
      <c r="G29" s="200">
        <f t="shared" si="3"/>
        <v>0</v>
      </c>
      <c r="H29" s="204">
        <f t="shared" si="2"/>
        <v>0</v>
      </c>
      <c r="I29" s="202"/>
      <c r="J29" s="202"/>
      <c r="K29" s="202"/>
      <c r="L29" s="202"/>
      <c r="M29" s="202"/>
      <c r="N29" s="202"/>
      <c r="O29" s="202"/>
      <c r="P29" s="202"/>
      <c r="Q29" s="202"/>
      <c r="R29" s="202"/>
      <c r="S29" s="202"/>
      <c r="T29" s="202"/>
      <c r="U29" s="202"/>
      <c r="V29" s="202"/>
      <c r="W29" s="202"/>
      <c r="X29" s="202"/>
      <c r="Y29" s="202"/>
      <c r="Z29" s="202"/>
      <c r="AA29" s="202"/>
      <c r="AB29" s="202"/>
      <c r="AC29" s="202"/>
      <c r="AD29" s="202"/>
      <c r="AE29" s="202"/>
      <c r="AF29" s="202"/>
      <c r="AG29" s="202"/>
      <c r="AH29" s="202"/>
      <c r="AI29" s="202"/>
      <c r="AJ29" s="202"/>
      <c r="AK29" s="202"/>
      <c r="AL29" s="202"/>
      <c r="AM29" s="203"/>
    </row>
    <row r="30" spans="1:39" ht="33" customHeight="1" x14ac:dyDescent="0.3">
      <c r="A30" s="28" t="s">
        <v>56</v>
      </c>
      <c r="B30" s="29" t="s">
        <v>57</v>
      </c>
      <c r="C30" s="30" t="s">
        <v>16</v>
      </c>
      <c r="D30" s="56"/>
      <c r="E30" s="199"/>
      <c r="F30" s="25">
        <f t="shared" si="0"/>
        <v>0</v>
      </c>
      <c r="G30" s="200">
        <f t="shared" si="3"/>
        <v>0</v>
      </c>
      <c r="H30" s="204">
        <f t="shared" si="2"/>
        <v>0</v>
      </c>
      <c r="I30" s="202"/>
      <c r="J30" s="202"/>
      <c r="K30" s="202"/>
      <c r="L30" s="202"/>
      <c r="M30" s="202"/>
      <c r="N30" s="202"/>
      <c r="O30" s="202"/>
      <c r="P30" s="202"/>
      <c r="Q30" s="202"/>
      <c r="R30" s="202"/>
      <c r="S30" s="202"/>
      <c r="T30" s="202"/>
      <c r="U30" s="202"/>
      <c r="V30" s="202"/>
      <c r="W30" s="202"/>
      <c r="X30" s="202"/>
      <c r="Y30" s="202"/>
      <c r="Z30" s="202"/>
      <c r="AA30" s="202"/>
      <c r="AB30" s="202"/>
      <c r="AC30" s="202"/>
      <c r="AD30" s="202"/>
      <c r="AE30" s="202"/>
      <c r="AF30" s="202"/>
      <c r="AG30" s="202"/>
      <c r="AH30" s="202"/>
      <c r="AI30" s="202"/>
      <c r="AJ30" s="202"/>
      <c r="AK30" s="202"/>
      <c r="AL30" s="202"/>
      <c r="AM30" s="203"/>
    </row>
    <row r="31" spans="1:39" ht="33" customHeight="1" x14ac:dyDescent="0.3">
      <c r="A31" s="28" t="s">
        <v>58</v>
      </c>
      <c r="B31" s="29" t="s">
        <v>59</v>
      </c>
      <c r="C31" s="30" t="s">
        <v>60</v>
      </c>
      <c r="D31" s="56"/>
      <c r="E31" s="199"/>
      <c r="F31" s="25">
        <f t="shared" si="0"/>
        <v>0</v>
      </c>
      <c r="G31" s="200">
        <f t="shared" si="3"/>
        <v>0</v>
      </c>
      <c r="H31" s="204">
        <f t="shared" si="2"/>
        <v>0</v>
      </c>
      <c r="I31" s="202"/>
      <c r="J31" s="202"/>
      <c r="K31" s="202"/>
      <c r="L31" s="202"/>
      <c r="M31" s="202"/>
      <c r="N31" s="202"/>
      <c r="O31" s="202"/>
      <c r="P31" s="202"/>
      <c r="Q31" s="202"/>
      <c r="R31" s="202"/>
      <c r="S31" s="202"/>
      <c r="T31" s="202"/>
      <c r="U31" s="202"/>
      <c r="V31" s="202"/>
      <c r="W31" s="202"/>
      <c r="X31" s="202"/>
      <c r="Y31" s="202"/>
      <c r="Z31" s="202"/>
      <c r="AA31" s="202"/>
      <c r="AB31" s="202"/>
      <c r="AC31" s="202"/>
      <c r="AD31" s="202"/>
      <c r="AE31" s="202"/>
      <c r="AF31" s="202"/>
      <c r="AG31" s="202"/>
      <c r="AH31" s="202"/>
      <c r="AI31" s="202"/>
      <c r="AJ31" s="202"/>
      <c r="AK31" s="202"/>
      <c r="AL31" s="202"/>
      <c r="AM31" s="203"/>
    </row>
    <row r="32" spans="1:39" ht="33" customHeight="1" x14ac:dyDescent="0.3">
      <c r="A32" s="31" t="s">
        <v>61</v>
      </c>
      <c r="B32" s="32" t="s">
        <v>62</v>
      </c>
      <c r="C32" s="33" t="s">
        <v>21</v>
      </c>
      <c r="D32" s="56"/>
      <c r="E32" s="199"/>
      <c r="F32" s="25">
        <f t="shared" si="0"/>
        <v>0</v>
      </c>
      <c r="G32" s="200">
        <f t="shared" si="3"/>
        <v>0</v>
      </c>
      <c r="H32" s="204">
        <f t="shared" si="2"/>
        <v>0</v>
      </c>
      <c r="I32" s="202"/>
      <c r="J32" s="202"/>
      <c r="K32" s="202"/>
      <c r="L32" s="202"/>
      <c r="M32" s="202"/>
      <c r="N32" s="202"/>
      <c r="O32" s="202"/>
      <c r="P32" s="202"/>
      <c r="Q32" s="202"/>
      <c r="R32" s="202"/>
      <c r="S32" s="202"/>
      <c r="T32" s="202"/>
      <c r="U32" s="202"/>
      <c r="V32" s="202"/>
      <c r="W32" s="202"/>
      <c r="X32" s="202"/>
      <c r="Y32" s="202"/>
      <c r="Z32" s="202"/>
      <c r="AA32" s="202"/>
      <c r="AB32" s="202"/>
      <c r="AC32" s="202"/>
      <c r="AD32" s="202"/>
      <c r="AE32" s="202"/>
      <c r="AF32" s="202"/>
      <c r="AG32" s="202"/>
      <c r="AH32" s="202"/>
      <c r="AI32" s="202"/>
      <c r="AJ32" s="202"/>
      <c r="AK32" s="202"/>
      <c r="AL32" s="202"/>
      <c r="AM32" s="203"/>
    </row>
    <row r="33" spans="1:39" ht="33" customHeight="1" x14ac:dyDescent="0.3">
      <c r="A33" s="31" t="s">
        <v>63</v>
      </c>
      <c r="B33" s="34" t="s">
        <v>64</v>
      </c>
      <c r="C33" s="33" t="s">
        <v>55</v>
      </c>
      <c r="D33" s="56"/>
      <c r="E33" s="199"/>
      <c r="F33" s="25">
        <f t="shared" si="0"/>
        <v>0</v>
      </c>
      <c r="G33" s="200">
        <f t="shared" si="3"/>
        <v>0</v>
      </c>
      <c r="H33" s="204">
        <f t="shared" si="2"/>
        <v>0</v>
      </c>
      <c r="I33" s="202"/>
      <c r="J33" s="202"/>
      <c r="K33" s="202"/>
      <c r="L33" s="202"/>
      <c r="M33" s="202"/>
      <c r="N33" s="202"/>
      <c r="O33" s="202"/>
      <c r="P33" s="202"/>
      <c r="Q33" s="202"/>
      <c r="R33" s="202"/>
      <c r="S33" s="202"/>
      <c r="T33" s="202"/>
      <c r="U33" s="202"/>
      <c r="V33" s="202"/>
      <c r="W33" s="202"/>
      <c r="X33" s="202"/>
      <c r="Y33" s="202"/>
      <c r="Z33" s="202"/>
      <c r="AA33" s="202"/>
      <c r="AB33" s="202"/>
      <c r="AC33" s="202"/>
      <c r="AD33" s="202"/>
      <c r="AE33" s="202"/>
      <c r="AF33" s="202"/>
      <c r="AG33" s="202"/>
      <c r="AH33" s="202"/>
      <c r="AI33" s="202"/>
      <c r="AJ33" s="202"/>
      <c r="AK33" s="202"/>
      <c r="AL33" s="202"/>
      <c r="AM33" s="203"/>
    </row>
    <row r="34" spans="1:39" ht="33" customHeight="1" x14ac:dyDescent="0.3">
      <c r="A34" s="31" t="s">
        <v>65</v>
      </c>
      <c r="B34" s="34" t="s">
        <v>66</v>
      </c>
      <c r="C34" s="33" t="s">
        <v>35</v>
      </c>
      <c r="D34" s="56"/>
      <c r="E34" s="199"/>
      <c r="F34" s="25">
        <f t="shared" si="0"/>
        <v>0</v>
      </c>
      <c r="G34" s="200">
        <f t="shared" si="3"/>
        <v>0</v>
      </c>
      <c r="H34" s="204">
        <f t="shared" si="2"/>
        <v>0</v>
      </c>
      <c r="I34" s="202"/>
      <c r="J34" s="202"/>
      <c r="K34" s="202"/>
      <c r="L34" s="202"/>
      <c r="M34" s="202"/>
      <c r="N34" s="202"/>
      <c r="O34" s="202"/>
      <c r="P34" s="202"/>
      <c r="Q34" s="202"/>
      <c r="R34" s="202"/>
      <c r="S34" s="202"/>
      <c r="T34" s="202"/>
      <c r="U34" s="202"/>
      <c r="V34" s="202"/>
      <c r="W34" s="202"/>
      <c r="X34" s="202"/>
      <c r="Y34" s="202"/>
      <c r="Z34" s="202"/>
      <c r="AA34" s="202"/>
      <c r="AB34" s="202"/>
      <c r="AC34" s="202"/>
      <c r="AD34" s="202"/>
      <c r="AE34" s="202"/>
      <c r="AF34" s="202"/>
      <c r="AG34" s="202"/>
      <c r="AH34" s="202"/>
      <c r="AI34" s="202"/>
      <c r="AJ34" s="202"/>
      <c r="AK34" s="202"/>
      <c r="AL34" s="202"/>
      <c r="AM34" s="203"/>
    </row>
    <row r="35" spans="1:39" ht="33" customHeight="1" x14ac:dyDescent="0.3">
      <c r="A35" s="31" t="s">
        <v>67</v>
      </c>
      <c r="B35" s="34" t="s">
        <v>68</v>
      </c>
      <c r="C35" s="35" t="s">
        <v>21</v>
      </c>
      <c r="D35" s="56"/>
      <c r="E35" s="199"/>
      <c r="F35" s="25">
        <f t="shared" si="0"/>
        <v>0</v>
      </c>
      <c r="G35" s="200">
        <f t="shared" si="3"/>
        <v>0</v>
      </c>
      <c r="H35" s="204">
        <f t="shared" si="2"/>
        <v>0</v>
      </c>
      <c r="I35" s="202"/>
      <c r="J35" s="202"/>
      <c r="K35" s="202"/>
      <c r="L35" s="202"/>
      <c r="M35" s="202"/>
      <c r="N35" s="202"/>
      <c r="O35" s="202"/>
      <c r="P35" s="202"/>
      <c r="Q35" s="202"/>
      <c r="R35" s="202"/>
      <c r="S35" s="202"/>
      <c r="T35" s="202"/>
      <c r="U35" s="202"/>
      <c r="V35" s="202"/>
      <c r="W35" s="202"/>
      <c r="X35" s="202"/>
      <c r="Y35" s="202"/>
      <c r="Z35" s="202"/>
      <c r="AA35" s="202"/>
      <c r="AB35" s="202"/>
      <c r="AC35" s="202"/>
      <c r="AD35" s="202"/>
      <c r="AE35" s="202"/>
      <c r="AF35" s="202"/>
      <c r="AG35" s="202"/>
      <c r="AH35" s="202"/>
      <c r="AI35" s="202"/>
      <c r="AJ35" s="202"/>
      <c r="AK35" s="202"/>
      <c r="AL35" s="202"/>
      <c r="AM35" s="203"/>
    </row>
    <row r="36" spans="1:39" ht="33" customHeight="1" x14ac:dyDescent="0.3">
      <c r="A36" s="28" t="s">
        <v>69</v>
      </c>
      <c r="B36" s="29" t="s">
        <v>70</v>
      </c>
      <c r="C36" s="30" t="s">
        <v>16</v>
      </c>
      <c r="D36" s="56"/>
      <c r="E36" s="199"/>
      <c r="F36" s="25">
        <f t="shared" si="0"/>
        <v>0</v>
      </c>
      <c r="G36" s="200">
        <f t="shared" si="3"/>
        <v>0</v>
      </c>
      <c r="H36" s="204">
        <f t="shared" si="2"/>
        <v>0</v>
      </c>
      <c r="I36" s="202"/>
      <c r="J36" s="202"/>
      <c r="K36" s="202"/>
      <c r="L36" s="202"/>
      <c r="M36" s="202"/>
      <c r="N36" s="202"/>
      <c r="O36" s="202"/>
      <c r="P36" s="202"/>
      <c r="Q36" s="202"/>
      <c r="R36" s="202"/>
      <c r="S36" s="202"/>
      <c r="T36" s="202"/>
      <c r="U36" s="202"/>
      <c r="V36" s="202"/>
      <c r="W36" s="202"/>
      <c r="X36" s="202"/>
      <c r="Y36" s="202"/>
      <c r="Z36" s="202"/>
      <c r="AA36" s="202"/>
      <c r="AB36" s="202"/>
      <c r="AC36" s="202"/>
      <c r="AD36" s="202"/>
      <c r="AE36" s="202"/>
      <c r="AF36" s="202"/>
      <c r="AG36" s="202"/>
      <c r="AH36" s="202"/>
      <c r="AI36" s="202"/>
      <c r="AJ36" s="202"/>
      <c r="AK36" s="202"/>
      <c r="AL36" s="202"/>
      <c r="AM36" s="203"/>
    </row>
    <row r="37" spans="1:39" ht="33" customHeight="1" x14ac:dyDescent="0.3">
      <c r="A37" s="31" t="s">
        <v>71</v>
      </c>
      <c r="B37" s="34" t="s">
        <v>72</v>
      </c>
      <c r="C37" s="33" t="s">
        <v>16</v>
      </c>
      <c r="D37" s="56"/>
      <c r="E37" s="199"/>
      <c r="F37" s="25">
        <f t="shared" si="0"/>
        <v>0</v>
      </c>
      <c r="G37" s="200">
        <f t="shared" si="3"/>
        <v>0</v>
      </c>
      <c r="H37" s="204">
        <f t="shared" si="2"/>
        <v>0</v>
      </c>
      <c r="I37" s="202"/>
      <c r="J37" s="202"/>
      <c r="K37" s="202"/>
      <c r="L37" s="202"/>
      <c r="M37" s="202"/>
      <c r="N37" s="202"/>
      <c r="O37" s="202"/>
      <c r="P37" s="202"/>
      <c r="Q37" s="202"/>
      <c r="R37" s="202"/>
      <c r="S37" s="202"/>
      <c r="T37" s="202"/>
      <c r="U37" s="202"/>
      <c r="V37" s="202"/>
      <c r="W37" s="202"/>
      <c r="X37" s="202"/>
      <c r="Y37" s="202"/>
      <c r="Z37" s="202"/>
      <c r="AA37" s="202"/>
      <c r="AB37" s="202"/>
      <c r="AC37" s="202"/>
      <c r="AD37" s="202"/>
      <c r="AE37" s="202"/>
      <c r="AF37" s="202"/>
      <c r="AG37" s="202"/>
      <c r="AH37" s="202"/>
      <c r="AI37" s="202"/>
      <c r="AJ37" s="202"/>
      <c r="AK37" s="202"/>
      <c r="AL37" s="202"/>
      <c r="AM37" s="203"/>
    </row>
    <row r="38" spans="1:39" ht="33" customHeight="1" x14ac:dyDescent="0.3">
      <c r="A38" s="31" t="s">
        <v>73</v>
      </c>
      <c r="B38" s="34" t="s">
        <v>74</v>
      </c>
      <c r="C38" s="33" t="s">
        <v>35</v>
      </c>
      <c r="D38" s="56"/>
      <c r="E38" s="199"/>
      <c r="F38" s="25">
        <f t="shared" si="0"/>
        <v>0</v>
      </c>
      <c r="G38" s="200">
        <f t="shared" si="3"/>
        <v>0</v>
      </c>
      <c r="H38" s="204">
        <f t="shared" si="2"/>
        <v>0</v>
      </c>
      <c r="I38" s="202"/>
      <c r="J38" s="202"/>
      <c r="K38" s="202"/>
      <c r="L38" s="202"/>
      <c r="M38" s="202"/>
      <c r="N38" s="202"/>
      <c r="O38" s="202"/>
      <c r="P38" s="202"/>
      <c r="Q38" s="202"/>
      <c r="R38" s="202"/>
      <c r="S38" s="202"/>
      <c r="T38" s="202"/>
      <c r="U38" s="202"/>
      <c r="V38" s="202"/>
      <c r="W38" s="202"/>
      <c r="X38" s="202"/>
      <c r="Y38" s="202"/>
      <c r="Z38" s="202"/>
      <c r="AA38" s="202"/>
      <c r="AB38" s="202"/>
      <c r="AC38" s="202"/>
      <c r="AD38" s="202"/>
      <c r="AE38" s="202"/>
      <c r="AF38" s="202"/>
      <c r="AG38" s="202"/>
      <c r="AH38" s="202"/>
      <c r="AI38" s="202"/>
      <c r="AJ38" s="202"/>
      <c r="AK38" s="202"/>
      <c r="AL38" s="202"/>
      <c r="AM38" s="203"/>
    </row>
    <row r="39" spans="1:39" ht="33" customHeight="1" x14ac:dyDescent="0.3">
      <c r="A39" s="31" t="s">
        <v>75</v>
      </c>
      <c r="B39" s="34" t="s">
        <v>76</v>
      </c>
      <c r="C39" s="33" t="s">
        <v>16</v>
      </c>
      <c r="D39" s="56"/>
      <c r="E39" s="199"/>
      <c r="F39" s="25">
        <f t="shared" si="0"/>
        <v>0</v>
      </c>
      <c r="G39" s="200">
        <f t="shared" si="3"/>
        <v>0</v>
      </c>
      <c r="H39" s="204">
        <f t="shared" si="2"/>
        <v>0</v>
      </c>
      <c r="I39" s="202"/>
      <c r="J39" s="202"/>
      <c r="K39" s="202"/>
      <c r="L39" s="202"/>
      <c r="M39" s="202"/>
      <c r="N39" s="202"/>
      <c r="O39" s="202"/>
      <c r="P39" s="202"/>
      <c r="Q39" s="202"/>
      <c r="R39" s="202"/>
      <c r="S39" s="202"/>
      <c r="T39" s="202"/>
      <c r="U39" s="202"/>
      <c r="V39" s="202"/>
      <c r="W39" s="202"/>
      <c r="X39" s="202"/>
      <c r="Y39" s="202"/>
      <c r="Z39" s="202"/>
      <c r="AA39" s="202"/>
      <c r="AB39" s="202"/>
      <c r="AC39" s="202"/>
      <c r="AD39" s="202"/>
      <c r="AE39" s="202"/>
      <c r="AF39" s="202"/>
      <c r="AG39" s="202"/>
      <c r="AH39" s="202"/>
      <c r="AI39" s="202"/>
      <c r="AJ39" s="202"/>
      <c r="AK39" s="202"/>
      <c r="AL39" s="202"/>
      <c r="AM39" s="203"/>
    </row>
    <row r="40" spans="1:39" ht="33" customHeight="1" x14ac:dyDescent="0.3">
      <c r="A40" s="31" t="s">
        <v>77</v>
      </c>
      <c r="B40" s="32" t="s">
        <v>78</v>
      </c>
      <c r="C40" s="33" t="s">
        <v>35</v>
      </c>
      <c r="D40" s="56"/>
      <c r="E40" s="199"/>
      <c r="F40" s="25">
        <f t="shared" si="0"/>
        <v>0</v>
      </c>
      <c r="G40" s="200">
        <f t="shared" si="3"/>
        <v>0</v>
      </c>
      <c r="H40" s="204">
        <f t="shared" si="2"/>
        <v>0</v>
      </c>
      <c r="I40" s="202"/>
      <c r="J40" s="202"/>
      <c r="K40" s="202"/>
      <c r="L40" s="202"/>
      <c r="M40" s="202"/>
      <c r="N40" s="202"/>
      <c r="O40" s="202"/>
      <c r="P40" s="202"/>
      <c r="Q40" s="202"/>
      <c r="R40" s="202"/>
      <c r="S40" s="202"/>
      <c r="T40" s="202"/>
      <c r="U40" s="202"/>
      <c r="V40" s="202"/>
      <c r="W40" s="202"/>
      <c r="X40" s="202"/>
      <c r="Y40" s="202"/>
      <c r="Z40" s="202"/>
      <c r="AA40" s="202"/>
      <c r="AB40" s="202"/>
      <c r="AC40" s="202"/>
      <c r="AD40" s="202"/>
      <c r="AE40" s="202"/>
      <c r="AF40" s="202"/>
      <c r="AG40" s="202"/>
      <c r="AH40" s="202"/>
      <c r="AI40" s="202"/>
      <c r="AJ40" s="202"/>
      <c r="AK40" s="202"/>
      <c r="AL40" s="202"/>
      <c r="AM40" s="203"/>
    </row>
    <row r="41" spans="1:39" ht="33" customHeight="1" x14ac:dyDescent="0.3">
      <c r="A41" s="31" t="s">
        <v>79</v>
      </c>
      <c r="B41" s="32" t="s">
        <v>80</v>
      </c>
      <c r="C41" s="33" t="s">
        <v>35</v>
      </c>
      <c r="D41" s="56"/>
      <c r="E41" s="199"/>
      <c r="F41" s="25">
        <f t="shared" si="0"/>
        <v>0</v>
      </c>
      <c r="G41" s="200">
        <f t="shared" si="3"/>
        <v>0</v>
      </c>
      <c r="H41" s="204">
        <f t="shared" si="2"/>
        <v>0</v>
      </c>
      <c r="I41" s="202"/>
      <c r="J41" s="202"/>
      <c r="K41" s="202"/>
      <c r="L41" s="202"/>
      <c r="M41" s="202"/>
      <c r="N41" s="202"/>
      <c r="O41" s="202"/>
      <c r="P41" s="202"/>
      <c r="Q41" s="202"/>
      <c r="R41" s="202"/>
      <c r="S41" s="202"/>
      <c r="T41" s="202"/>
      <c r="U41" s="202"/>
      <c r="V41" s="202"/>
      <c r="W41" s="202"/>
      <c r="X41" s="202"/>
      <c r="Y41" s="202"/>
      <c r="Z41" s="202"/>
      <c r="AA41" s="202"/>
      <c r="AB41" s="202"/>
      <c r="AC41" s="202"/>
      <c r="AD41" s="202"/>
      <c r="AE41" s="202"/>
      <c r="AF41" s="202"/>
      <c r="AG41" s="202"/>
      <c r="AH41" s="202"/>
      <c r="AI41" s="202"/>
      <c r="AJ41" s="202"/>
      <c r="AK41" s="202"/>
      <c r="AL41" s="202"/>
      <c r="AM41" s="203"/>
    </row>
    <row r="42" spans="1:39" ht="33" customHeight="1" x14ac:dyDescent="0.3">
      <c r="A42" s="31" t="s">
        <v>79</v>
      </c>
      <c r="B42" s="32" t="s">
        <v>82</v>
      </c>
      <c r="C42" s="33" t="s">
        <v>35</v>
      </c>
      <c r="D42" s="56"/>
      <c r="E42" s="199"/>
      <c r="F42" s="25">
        <f>E42*D42</f>
        <v>0</v>
      </c>
      <c r="G42" s="200">
        <f t="shared" si="3"/>
        <v>0</v>
      </c>
      <c r="H42" s="204">
        <f>G42*D42</f>
        <v>0</v>
      </c>
      <c r="I42" s="202"/>
      <c r="J42" s="202"/>
      <c r="K42" s="202"/>
      <c r="L42" s="202"/>
      <c r="M42" s="202"/>
      <c r="N42" s="202"/>
      <c r="O42" s="202"/>
      <c r="P42" s="202"/>
      <c r="Q42" s="202"/>
      <c r="R42" s="202"/>
      <c r="S42" s="202"/>
      <c r="T42" s="202"/>
      <c r="U42" s="202"/>
      <c r="V42" s="202"/>
      <c r="W42" s="202"/>
      <c r="X42" s="202"/>
      <c r="Y42" s="202"/>
      <c r="Z42" s="202"/>
      <c r="AA42" s="202"/>
      <c r="AB42" s="202"/>
      <c r="AC42" s="202"/>
      <c r="AD42" s="202"/>
      <c r="AE42" s="202"/>
      <c r="AF42" s="202"/>
      <c r="AG42" s="202"/>
      <c r="AH42" s="202"/>
      <c r="AI42" s="202"/>
      <c r="AJ42" s="202"/>
      <c r="AK42" s="202"/>
      <c r="AL42" s="202"/>
      <c r="AM42" s="203"/>
    </row>
    <row r="43" spans="1:39" ht="33" customHeight="1" x14ac:dyDescent="0.3">
      <c r="A43" s="31" t="s">
        <v>81</v>
      </c>
      <c r="B43" s="34" t="s">
        <v>84</v>
      </c>
      <c r="C43" s="33" t="s">
        <v>35</v>
      </c>
      <c r="D43" s="56"/>
      <c r="E43" s="199"/>
      <c r="F43" s="25">
        <f t="shared" si="0"/>
        <v>0</v>
      </c>
      <c r="G43" s="200">
        <f t="shared" si="3"/>
        <v>0</v>
      </c>
      <c r="H43" s="204">
        <f t="shared" si="2"/>
        <v>0</v>
      </c>
      <c r="I43" s="202"/>
      <c r="J43" s="202"/>
      <c r="K43" s="202"/>
      <c r="L43" s="202"/>
      <c r="M43" s="202"/>
      <c r="N43" s="202"/>
      <c r="O43" s="202"/>
      <c r="P43" s="202"/>
      <c r="Q43" s="202"/>
      <c r="R43" s="202"/>
      <c r="S43" s="202"/>
      <c r="T43" s="202"/>
      <c r="U43" s="202"/>
      <c r="V43" s="202"/>
      <c r="W43" s="202"/>
      <c r="X43" s="202"/>
      <c r="Y43" s="202"/>
      <c r="Z43" s="202"/>
      <c r="AA43" s="202"/>
      <c r="AB43" s="202"/>
      <c r="AC43" s="202"/>
      <c r="AD43" s="202"/>
      <c r="AE43" s="202"/>
      <c r="AF43" s="202"/>
      <c r="AG43" s="202"/>
      <c r="AH43" s="202"/>
      <c r="AI43" s="202"/>
      <c r="AJ43" s="202"/>
      <c r="AK43" s="202"/>
      <c r="AL43" s="202"/>
      <c r="AM43" s="203"/>
    </row>
    <row r="44" spans="1:39" ht="33" customHeight="1" x14ac:dyDescent="0.3">
      <c r="A44" s="31" t="s">
        <v>85</v>
      </c>
      <c r="B44" s="32" t="s">
        <v>86</v>
      </c>
      <c r="C44" s="35" t="s">
        <v>87</v>
      </c>
      <c r="D44" s="56"/>
      <c r="E44" s="199"/>
      <c r="F44" s="25">
        <f t="shared" si="0"/>
        <v>0</v>
      </c>
      <c r="G44" s="200">
        <f t="shared" si="3"/>
        <v>0</v>
      </c>
      <c r="H44" s="204">
        <f t="shared" si="2"/>
        <v>0</v>
      </c>
      <c r="I44" s="202"/>
      <c r="J44" s="202"/>
      <c r="K44" s="202"/>
      <c r="L44" s="202"/>
      <c r="M44" s="202"/>
      <c r="N44" s="202"/>
      <c r="O44" s="202"/>
      <c r="P44" s="202"/>
      <c r="Q44" s="202"/>
      <c r="R44" s="202"/>
      <c r="S44" s="202"/>
      <c r="T44" s="202"/>
      <c r="U44" s="202"/>
      <c r="V44" s="202"/>
      <c r="W44" s="202"/>
      <c r="X44" s="202"/>
      <c r="Y44" s="202"/>
      <c r="Z44" s="202"/>
      <c r="AA44" s="202"/>
      <c r="AB44" s="202"/>
      <c r="AC44" s="202"/>
      <c r="AD44" s="202"/>
      <c r="AE44" s="202"/>
      <c r="AF44" s="202"/>
      <c r="AG44" s="202"/>
      <c r="AH44" s="202"/>
      <c r="AI44" s="202"/>
      <c r="AJ44" s="202"/>
      <c r="AK44" s="202"/>
      <c r="AL44" s="202"/>
      <c r="AM44" s="203"/>
    </row>
    <row r="45" spans="1:39" ht="33" customHeight="1" x14ac:dyDescent="0.3">
      <c r="A45" s="31" t="s">
        <v>88</v>
      </c>
      <c r="B45" s="34" t="s">
        <v>89</v>
      </c>
      <c r="C45" s="35" t="s">
        <v>35</v>
      </c>
      <c r="D45" s="56"/>
      <c r="E45" s="199"/>
      <c r="F45" s="25">
        <f t="shared" si="0"/>
        <v>0</v>
      </c>
      <c r="G45" s="200">
        <f t="shared" si="3"/>
        <v>0</v>
      </c>
      <c r="H45" s="204">
        <f t="shared" si="2"/>
        <v>0</v>
      </c>
      <c r="I45" s="202"/>
      <c r="J45" s="202"/>
      <c r="K45" s="202"/>
      <c r="L45" s="202"/>
      <c r="M45" s="202"/>
      <c r="N45" s="202"/>
      <c r="O45" s="202"/>
      <c r="P45" s="202"/>
      <c r="Q45" s="202"/>
      <c r="R45" s="202"/>
      <c r="S45" s="202"/>
      <c r="T45" s="202"/>
      <c r="U45" s="202"/>
      <c r="V45" s="202"/>
      <c r="W45" s="202"/>
      <c r="X45" s="202"/>
      <c r="Y45" s="202"/>
      <c r="Z45" s="202"/>
      <c r="AA45" s="202"/>
      <c r="AB45" s="202"/>
      <c r="AC45" s="202"/>
      <c r="AD45" s="202"/>
      <c r="AE45" s="202"/>
      <c r="AF45" s="202"/>
      <c r="AG45" s="202"/>
      <c r="AH45" s="202"/>
      <c r="AI45" s="202"/>
      <c r="AJ45" s="202"/>
      <c r="AK45" s="202"/>
      <c r="AL45" s="202"/>
      <c r="AM45" s="203"/>
    </row>
    <row r="46" spans="1:39" ht="33" customHeight="1" x14ac:dyDescent="0.3">
      <c r="A46" s="31" t="s">
        <v>90</v>
      </c>
      <c r="B46" s="32" t="s">
        <v>91</v>
      </c>
      <c r="C46" s="33" t="s">
        <v>35</v>
      </c>
      <c r="D46" s="56"/>
      <c r="E46" s="199"/>
      <c r="F46" s="25">
        <f t="shared" si="0"/>
        <v>0</v>
      </c>
      <c r="G46" s="200">
        <f t="shared" si="3"/>
        <v>0</v>
      </c>
      <c r="H46" s="204">
        <f t="shared" si="2"/>
        <v>0</v>
      </c>
      <c r="I46" s="202"/>
      <c r="J46" s="202"/>
      <c r="K46" s="202"/>
      <c r="L46" s="202"/>
      <c r="M46" s="202"/>
      <c r="N46" s="202"/>
      <c r="O46" s="202"/>
      <c r="P46" s="202"/>
      <c r="Q46" s="202"/>
      <c r="R46" s="202"/>
      <c r="S46" s="202"/>
      <c r="T46" s="202"/>
      <c r="U46" s="202"/>
      <c r="V46" s="202"/>
      <c r="W46" s="202"/>
      <c r="X46" s="202"/>
      <c r="Y46" s="202"/>
      <c r="Z46" s="202"/>
      <c r="AA46" s="202"/>
      <c r="AB46" s="202"/>
      <c r="AC46" s="202"/>
      <c r="AD46" s="202"/>
      <c r="AE46" s="202"/>
      <c r="AF46" s="202"/>
      <c r="AG46" s="202"/>
      <c r="AH46" s="202"/>
      <c r="AI46" s="202"/>
      <c r="AJ46" s="202"/>
      <c r="AK46" s="202"/>
      <c r="AL46" s="202"/>
      <c r="AM46" s="203"/>
    </row>
    <row r="47" spans="1:39" ht="33" customHeight="1" x14ac:dyDescent="0.3">
      <c r="A47" s="31" t="s">
        <v>92</v>
      </c>
      <c r="B47" s="32" t="s">
        <v>93</v>
      </c>
      <c r="C47" s="35" t="s">
        <v>35</v>
      </c>
      <c r="D47" s="56"/>
      <c r="E47" s="199"/>
      <c r="F47" s="25">
        <f t="shared" si="0"/>
        <v>0</v>
      </c>
      <c r="G47" s="200">
        <f t="shared" si="3"/>
        <v>0</v>
      </c>
      <c r="H47" s="204">
        <f t="shared" si="2"/>
        <v>0</v>
      </c>
      <c r="I47" s="202"/>
      <c r="J47" s="202"/>
      <c r="K47" s="202"/>
      <c r="L47" s="202"/>
      <c r="M47" s="202"/>
      <c r="N47" s="202"/>
      <c r="O47" s="202"/>
      <c r="P47" s="202"/>
      <c r="Q47" s="202"/>
      <c r="R47" s="202"/>
      <c r="S47" s="202"/>
      <c r="T47" s="202"/>
      <c r="U47" s="202"/>
      <c r="V47" s="202"/>
      <c r="W47" s="202"/>
      <c r="X47" s="202"/>
      <c r="Y47" s="202"/>
      <c r="Z47" s="202"/>
      <c r="AA47" s="202"/>
      <c r="AB47" s="202"/>
      <c r="AC47" s="202"/>
      <c r="AD47" s="202"/>
      <c r="AE47" s="202"/>
      <c r="AF47" s="202"/>
      <c r="AG47" s="202"/>
      <c r="AH47" s="202"/>
      <c r="AI47" s="202"/>
      <c r="AJ47" s="202"/>
      <c r="AK47" s="202"/>
      <c r="AL47" s="202"/>
      <c r="AM47" s="203"/>
    </row>
    <row r="48" spans="1:39" ht="33" customHeight="1" x14ac:dyDescent="0.3">
      <c r="A48" s="31" t="s">
        <v>94</v>
      </c>
      <c r="B48" s="32" t="s">
        <v>95</v>
      </c>
      <c r="C48" s="33" t="s">
        <v>35</v>
      </c>
      <c r="D48" s="56"/>
      <c r="E48" s="199"/>
      <c r="F48" s="25">
        <f t="shared" si="0"/>
        <v>0</v>
      </c>
      <c r="G48" s="200">
        <f t="shared" si="3"/>
        <v>0</v>
      </c>
      <c r="H48" s="204">
        <f t="shared" si="2"/>
        <v>0</v>
      </c>
      <c r="I48" s="202"/>
      <c r="J48" s="202"/>
      <c r="K48" s="202"/>
      <c r="L48" s="202"/>
      <c r="M48" s="202"/>
      <c r="N48" s="202"/>
      <c r="O48" s="202"/>
      <c r="P48" s="202"/>
      <c r="Q48" s="202"/>
      <c r="R48" s="202"/>
      <c r="S48" s="202"/>
      <c r="T48" s="202"/>
      <c r="U48" s="202"/>
      <c r="V48" s="202"/>
      <c r="W48" s="202"/>
      <c r="X48" s="202"/>
      <c r="Y48" s="202"/>
      <c r="Z48" s="202"/>
      <c r="AA48" s="202"/>
      <c r="AB48" s="202"/>
      <c r="AC48" s="202"/>
      <c r="AD48" s="202"/>
      <c r="AE48" s="202"/>
      <c r="AF48" s="202"/>
      <c r="AG48" s="202"/>
      <c r="AH48" s="202"/>
      <c r="AI48" s="202"/>
      <c r="AJ48" s="202"/>
      <c r="AK48" s="202"/>
      <c r="AL48" s="202"/>
      <c r="AM48" s="203"/>
    </row>
    <row r="49" spans="1:39" ht="33" customHeight="1" x14ac:dyDescent="0.3">
      <c r="A49" s="31" t="s">
        <v>96</v>
      </c>
      <c r="B49" s="32" t="s">
        <v>97</v>
      </c>
      <c r="C49" s="35" t="s">
        <v>35</v>
      </c>
      <c r="D49" s="56"/>
      <c r="E49" s="199"/>
      <c r="F49" s="25">
        <f t="shared" si="0"/>
        <v>0</v>
      </c>
      <c r="G49" s="200">
        <f t="shared" si="3"/>
        <v>0</v>
      </c>
      <c r="H49" s="204">
        <f t="shared" si="2"/>
        <v>0</v>
      </c>
      <c r="I49" s="202"/>
      <c r="J49" s="202"/>
      <c r="K49" s="202"/>
      <c r="L49" s="202"/>
      <c r="M49" s="202"/>
      <c r="N49" s="202"/>
      <c r="O49" s="202"/>
      <c r="P49" s="202"/>
      <c r="Q49" s="202"/>
      <c r="R49" s="202"/>
      <c r="S49" s="202"/>
      <c r="T49" s="202"/>
      <c r="U49" s="202"/>
      <c r="V49" s="202"/>
      <c r="W49" s="202"/>
      <c r="X49" s="202"/>
      <c r="Y49" s="202"/>
      <c r="Z49" s="202"/>
      <c r="AA49" s="202"/>
      <c r="AB49" s="202"/>
      <c r="AC49" s="202"/>
      <c r="AD49" s="202"/>
      <c r="AE49" s="202"/>
      <c r="AF49" s="202"/>
      <c r="AG49" s="202"/>
      <c r="AH49" s="202"/>
      <c r="AI49" s="202"/>
      <c r="AJ49" s="202"/>
      <c r="AK49" s="202"/>
      <c r="AL49" s="202"/>
      <c r="AM49" s="203"/>
    </row>
    <row r="50" spans="1:39" ht="33" customHeight="1" x14ac:dyDescent="0.3">
      <c r="A50" s="31" t="s">
        <v>98</v>
      </c>
      <c r="B50" s="32" t="s">
        <v>99</v>
      </c>
      <c r="C50" s="33" t="s">
        <v>35</v>
      </c>
      <c r="D50" s="56"/>
      <c r="E50" s="199"/>
      <c r="F50" s="25">
        <f t="shared" si="0"/>
        <v>0</v>
      </c>
      <c r="G50" s="200">
        <f t="shared" si="3"/>
        <v>0</v>
      </c>
      <c r="H50" s="204">
        <f t="shared" si="2"/>
        <v>0</v>
      </c>
      <c r="I50" s="202"/>
      <c r="J50" s="202"/>
      <c r="K50" s="202"/>
      <c r="L50" s="202"/>
      <c r="M50" s="202"/>
      <c r="N50" s="202"/>
      <c r="O50" s="202"/>
      <c r="P50" s="202"/>
      <c r="Q50" s="202"/>
      <c r="R50" s="202"/>
      <c r="S50" s="202"/>
      <c r="T50" s="202"/>
      <c r="U50" s="202"/>
      <c r="V50" s="202"/>
      <c r="W50" s="202"/>
      <c r="X50" s="202"/>
      <c r="Y50" s="202"/>
      <c r="Z50" s="202"/>
      <c r="AA50" s="202"/>
      <c r="AB50" s="202"/>
      <c r="AC50" s="202"/>
      <c r="AD50" s="202"/>
      <c r="AE50" s="202"/>
      <c r="AF50" s="202"/>
      <c r="AG50" s="202"/>
      <c r="AH50" s="202"/>
      <c r="AI50" s="202"/>
      <c r="AJ50" s="202"/>
      <c r="AK50" s="202"/>
      <c r="AL50" s="202"/>
      <c r="AM50" s="203"/>
    </row>
    <row r="51" spans="1:39" ht="33" customHeight="1" x14ac:dyDescent="0.3">
      <c r="A51" s="31" t="s">
        <v>100</v>
      </c>
      <c r="B51" s="32" t="s">
        <v>101</v>
      </c>
      <c r="C51" s="35" t="s">
        <v>35</v>
      </c>
      <c r="D51" s="56"/>
      <c r="E51" s="199"/>
      <c r="F51" s="25">
        <f t="shared" si="0"/>
        <v>0</v>
      </c>
      <c r="G51" s="200">
        <f t="shared" si="3"/>
        <v>0</v>
      </c>
      <c r="H51" s="204">
        <f t="shared" si="2"/>
        <v>0</v>
      </c>
      <c r="I51" s="202"/>
      <c r="J51" s="202"/>
      <c r="K51" s="202"/>
      <c r="L51" s="202"/>
      <c r="M51" s="202"/>
      <c r="N51" s="202"/>
      <c r="O51" s="202"/>
      <c r="P51" s="202"/>
      <c r="Q51" s="202"/>
      <c r="R51" s="202"/>
      <c r="S51" s="202"/>
      <c r="T51" s="202"/>
      <c r="U51" s="202"/>
      <c r="V51" s="202"/>
      <c r="W51" s="202"/>
      <c r="X51" s="202"/>
      <c r="Y51" s="202"/>
      <c r="Z51" s="202"/>
      <c r="AA51" s="202"/>
      <c r="AB51" s="202"/>
      <c r="AC51" s="202"/>
      <c r="AD51" s="202"/>
      <c r="AE51" s="202"/>
      <c r="AF51" s="202"/>
      <c r="AG51" s="202"/>
      <c r="AH51" s="202"/>
      <c r="AI51" s="202"/>
      <c r="AJ51" s="202"/>
      <c r="AK51" s="202"/>
      <c r="AL51" s="202"/>
      <c r="AM51" s="203"/>
    </row>
    <row r="52" spans="1:39" ht="33" customHeight="1" x14ac:dyDescent="0.3">
      <c r="A52" s="31"/>
      <c r="B52" s="32" t="s">
        <v>103</v>
      </c>
      <c r="C52" s="35" t="s">
        <v>35</v>
      </c>
      <c r="D52" s="56"/>
      <c r="E52" s="199"/>
      <c r="F52" s="25">
        <f>E52*D52</f>
        <v>0</v>
      </c>
      <c r="G52" s="200">
        <f t="shared" si="3"/>
        <v>0</v>
      </c>
      <c r="H52" s="204">
        <f>G52*D52</f>
        <v>0</v>
      </c>
      <c r="I52" s="202"/>
      <c r="J52" s="202"/>
      <c r="K52" s="202"/>
      <c r="L52" s="202"/>
      <c r="M52" s="202"/>
      <c r="N52" s="202"/>
      <c r="O52" s="202"/>
      <c r="P52" s="202"/>
      <c r="Q52" s="202"/>
      <c r="R52" s="202"/>
      <c r="S52" s="202"/>
      <c r="T52" s="202"/>
      <c r="U52" s="202"/>
      <c r="V52" s="202"/>
      <c r="W52" s="202"/>
      <c r="X52" s="202"/>
      <c r="Y52" s="202"/>
      <c r="Z52" s="202"/>
      <c r="AA52" s="202"/>
      <c r="AB52" s="202"/>
      <c r="AC52" s="202"/>
      <c r="AD52" s="202"/>
      <c r="AE52" s="202"/>
      <c r="AF52" s="202"/>
      <c r="AG52" s="202"/>
      <c r="AH52" s="202"/>
      <c r="AI52" s="202"/>
      <c r="AJ52" s="202"/>
      <c r="AK52" s="202"/>
      <c r="AL52" s="202"/>
      <c r="AM52" s="203"/>
    </row>
    <row r="53" spans="1:39" ht="33" customHeight="1" x14ac:dyDescent="0.3">
      <c r="A53" s="31" t="s">
        <v>102</v>
      </c>
      <c r="B53" s="32" t="s">
        <v>105</v>
      </c>
      <c r="C53" s="35" t="s">
        <v>35</v>
      </c>
      <c r="D53" s="56"/>
      <c r="E53" s="199"/>
      <c r="F53" s="25">
        <f t="shared" si="0"/>
        <v>0</v>
      </c>
      <c r="G53" s="200">
        <f t="shared" si="3"/>
        <v>0</v>
      </c>
      <c r="H53" s="204">
        <f t="shared" si="2"/>
        <v>0</v>
      </c>
      <c r="I53" s="202"/>
      <c r="J53" s="202"/>
      <c r="K53" s="202"/>
      <c r="L53" s="202"/>
      <c r="M53" s="202"/>
      <c r="N53" s="202"/>
      <c r="O53" s="202"/>
      <c r="P53" s="202"/>
      <c r="Q53" s="202"/>
      <c r="R53" s="202"/>
      <c r="S53" s="202"/>
      <c r="T53" s="202"/>
      <c r="U53" s="202"/>
      <c r="V53" s="202"/>
      <c r="W53" s="202"/>
      <c r="X53" s="202"/>
      <c r="Y53" s="202"/>
      <c r="Z53" s="202"/>
      <c r="AA53" s="202"/>
      <c r="AB53" s="202"/>
      <c r="AC53" s="202"/>
      <c r="AD53" s="202"/>
      <c r="AE53" s="202"/>
      <c r="AF53" s="202"/>
      <c r="AG53" s="202"/>
      <c r="AH53" s="202"/>
      <c r="AI53" s="202"/>
      <c r="AJ53" s="202"/>
      <c r="AK53" s="202"/>
      <c r="AL53" s="202"/>
      <c r="AM53" s="203"/>
    </row>
    <row r="54" spans="1:39" ht="33" customHeight="1" x14ac:dyDescent="0.3">
      <c r="A54" s="31" t="s">
        <v>106</v>
      </c>
      <c r="B54" s="32" t="s">
        <v>107</v>
      </c>
      <c r="C54" s="33" t="s">
        <v>35</v>
      </c>
      <c r="D54" s="56"/>
      <c r="E54" s="199"/>
      <c r="F54" s="25">
        <f t="shared" si="0"/>
        <v>0</v>
      </c>
      <c r="G54" s="200">
        <f t="shared" si="3"/>
        <v>0</v>
      </c>
      <c r="H54" s="204">
        <f t="shared" si="2"/>
        <v>0</v>
      </c>
      <c r="I54" s="202"/>
      <c r="J54" s="202"/>
      <c r="K54" s="202"/>
      <c r="L54" s="202"/>
      <c r="M54" s="202"/>
      <c r="N54" s="202"/>
      <c r="O54" s="202"/>
      <c r="P54" s="202"/>
      <c r="Q54" s="202"/>
      <c r="R54" s="202"/>
      <c r="S54" s="202"/>
      <c r="T54" s="202"/>
      <c r="U54" s="202"/>
      <c r="V54" s="202"/>
      <c r="W54" s="202"/>
      <c r="X54" s="202"/>
      <c r="Y54" s="202"/>
      <c r="Z54" s="202"/>
      <c r="AA54" s="202"/>
      <c r="AB54" s="202"/>
      <c r="AC54" s="202"/>
      <c r="AD54" s="202"/>
      <c r="AE54" s="202"/>
      <c r="AF54" s="202"/>
      <c r="AG54" s="202"/>
      <c r="AH54" s="202"/>
      <c r="AI54" s="202"/>
      <c r="AJ54" s="202"/>
      <c r="AK54" s="202"/>
      <c r="AL54" s="202"/>
      <c r="AM54" s="203"/>
    </row>
    <row r="55" spans="1:39" ht="33" customHeight="1" x14ac:dyDescent="0.3">
      <c r="A55" s="31" t="s">
        <v>108</v>
      </c>
      <c r="B55" s="32" t="s">
        <v>109</v>
      </c>
      <c r="C55" s="33" t="s">
        <v>35</v>
      </c>
      <c r="D55" s="56"/>
      <c r="E55" s="199"/>
      <c r="F55" s="25">
        <f t="shared" si="0"/>
        <v>0</v>
      </c>
      <c r="G55" s="200">
        <f t="shared" si="3"/>
        <v>0</v>
      </c>
      <c r="H55" s="204">
        <f t="shared" si="2"/>
        <v>0</v>
      </c>
      <c r="I55" s="202"/>
      <c r="J55" s="202"/>
      <c r="K55" s="202"/>
      <c r="L55" s="202"/>
      <c r="M55" s="202"/>
      <c r="N55" s="202"/>
      <c r="O55" s="202"/>
      <c r="P55" s="202"/>
      <c r="Q55" s="202"/>
      <c r="R55" s="202"/>
      <c r="S55" s="202"/>
      <c r="T55" s="202"/>
      <c r="U55" s="202"/>
      <c r="V55" s="202"/>
      <c r="W55" s="202"/>
      <c r="X55" s="202"/>
      <c r="Y55" s="202"/>
      <c r="Z55" s="202"/>
      <c r="AA55" s="202"/>
      <c r="AB55" s="202"/>
      <c r="AC55" s="202"/>
      <c r="AD55" s="202"/>
      <c r="AE55" s="202"/>
      <c r="AF55" s="202"/>
      <c r="AG55" s="202"/>
      <c r="AH55" s="202"/>
      <c r="AI55" s="202"/>
      <c r="AJ55" s="202"/>
      <c r="AK55" s="202"/>
      <c r="AL55" s="202"/>
      <c r="AM55" s="203"/>
    </row>
    <row r="56" spans="1:39" ht="33" customHeight="1" x14ac:dyDescent="0.3">
      <c r="A56" s="31" t="s">
        <v>110</v>
      </c>
      <c r="B56" s="32" t="s">
        <v>111</v>
      </c>
      <c r="C56" s="33" t="s">
        <v>35</v>
      </c>
      <c r="D56" s="56"/>
      <c r="E56" s="199"/>
      <c r="F56" s="25">
        <f t="shared" si="0"/>
        <v>0</v>
      </c>
      <c r="G56" s="200">
        <f t="shared" si="3"/>
        <v>0</v>
      </c>
      <c r="H56" s="204">
        <f t="shared" si="2"/>
        <v>0</v>
      </c>
      <c r="I56" s="202"/>
      <c r="J56" s="202"/>
      <c r="K56" s="202"/>
      <c r="L56" s="202"/>
      <c r="M56" s="202"/>
      <c r="N56" s="202"/>
      <c r="O56" s="202"/>
      <c r="P56" s="202"/>
      <c r="Q56" s="202"/>
      <c r="R56" s="202"/>
      <c r="S56" s="202"/>
      <c r="T56" s="202"/>
      <c r="U56" s="202"/>
      <c r="V56" s="202"/>
      <c r="W56" s="202"/>
      <c r="X56" s="202"/>
      <c r="Y56" s="202"/>
      <c r="Z56" s="202"/>
      <c r="AA56" s="202"/>
      <c r="AB56" s="202"/>
      <c r="AC56" s="202"/>
      <c r="AD56" s="202"/>
      <c r="AE56" s="202"/>
      <c r="AF56" s="202"/>
      <c r="AG56" s="202"/>
      <c r="AH56" s="202"/>
      <c r="AI56" s="202"/>
      <c r="AJ56" s="202"/>
      <c r="AK56" s="202"/>
      <c r="AL56" s="202"/>
      <c r="AM56" s="203"/>
    </row>
    <row r="57" spans="1:39" ht="33" customHeight="1" x14ac:dyDescent="0.3">
      <c r="A57" s="31"/>
      <c r="B57" s="32" t="s">
        <v>112</v>
      </c>
      <c r="C57" s="33"/>
      <c r="D57" s="56"/>
      <c r="E57" s="199"/>
      <c r="F57" s="25">
        <f>E57*D57</f>
        <v>0</v>
      </c>
      <c r="G57" s="200">
        <f t="shared" si="3"/>
        <v>0</v>
      </c>
      <c r="H57" s="204">
        <f>G57*D57</f>
        <v>0</v>
      </c>
      <c r="I57" s="202"/>
      <c r="J57" s="202"/>
      <c r="K57" s="202"/>
      <c r="L57" s="202"/>
      <c r="M57" s="202"/>
      <c r="N57" s="202"/>
      <c r="O57" s="202"/>
      <c r="P57" s="202"/>
      <c r="Q57" s="202"/>
      <c r="R57" s="202"/>
      <c r="S57" s="202"/>
      <c r="T57" s="202"/>
      <c r="U57" s="202"/>
      <c r="V57" s="202"/>
      <c r="W57" s="202"/>
      <c r="X57" s="202"/>
      <c r="Y57" s="202"/>
      <c r="Z57" s="202"/>
      <c r="AA57" s="202"/>
      <c r="AB57" s="202"/>
      <c r="AC57" s="202"/>
      <c r="AD57" s="202"/>
      <c r="AE57" s="202"/>
      <c r="AF57" s="202"/>
      <c r="AG57" s="202"/>
      <c r="AH57" s="202"/>
      <c r="AI57" s="202"/>
      <c r="AJ57" s="202"/>
      <c r="AK57" s="202"/>
      <c r="AL57" s="202"/>
      <c r="AM57" s="203"/>
    </row>
    <row r="58" spans="1:39" ht="33" customHeight="1" x14ac:dyDescent="0.3">
      <c r="A58" s="31"/>
      <c r="B58" s="32" t="s">
        <v>111</v>
      </c>
      <c r="C58" s="33"/>
      <c r="D58" s="56"/>
      <c r="E58" s="199"/>
      <c r="F58" s="25">
        <f>E58*D58</f>
        <v>0</v>
      </c>
      <c r="G58" s="200">
        <f t="shared" si="3"/>
        <v>0</v>
      </c>
      <c r="H58" s="204">
        <f>G58*D58</f>
        <v>0</v>
      </c>
      <c r="I58" s="202"/>
      <c r="J58" s="202"/>
      <c r="K58" s="202"/>
      <c r="L58" s="202"/>
      <c r="M58" s="202"/>
      <c r="N58" s="202"/>
      <c r="O58" s="202"/>
      <c r="P58" s="202"/>
      <c r="Q58" s="202"/>
      <c r="R58" s="202"/>
      <c r="S58" s="202"/>
      <c r="T58" s="202"/>
      <c r="U58" s="202"/>
      <c r="V58" s="202"/>
      <c r="W58" s="202"/>
      <c r="X58" s="202"/>
      <c r="Y58" s="202"/>
      <c r="Z58" s="202"/>
      <c r="AA58" s="202"/>
      <c r="AB58" s="202"/>
      <c r="AC58" s="202"/>
      <c r="AD58" s="202"/>
      <c r="AE58" s="202"/>
      <c r="AF58" s="202"/>
      <c r="AG58" s="202"/>
      <c r="AH58" s="202"/>
      <c r="AI58" s="202"/>
      <c r="AJ58" s="202"/>
      <c r="AK58" s="202"/>
      <c r="AL58" s="202"/>
      <c r="AM58" s="203"/>
    </row>
    <row r="59" spans="1:39" ht="33" customHeight="1" x14ac:dyDescent="0.3">
      <c r="A59" s="31" t="s">
        <v>113</v>
      </c>
      <c r="B59" s="32" t="s">
        <v>114</v>
      </c>
      <c r="C59" s="33" t="s">
        <v>40</v>
      </c>
      <c r="D59" s="56"/>
      <c r="E59" s="199"/>
      <c r="F59" s="25">
        <f t="shared" si="0"/>
        <v>0</v>
      </c>
      <c r="G59" s="200">
        <f t="shared" si="3"/>
        <v>0</v>
      </c>
      <c r="H59" s="204">
        <f t="shared" si="2"/>
        <v>0</v>
      </c>
      <c r="I59" s="202"/>
      <c r="J59" s="202"/>
      <c r="K59" s="202"/>
      <c r="L59" s="202"/>
      <c r="M59" s="202"/>
      <c r="N59" s="202"/>
      <c r="O59" s="202"/>
      <c r="P59" s="202"/>
      <c r="Q59" s="202"/>
      <c r="R59" s="202"/>
      <c r="S59" s="202"/>
      <c r="T59" s="202"/>
      <c r="U59" s="202"/>
      <c r="V59" s="202"/>
      <c r="W59" s="202"/>
      <c r="X59" s="202"/>
      <c r="Y59" s="202"/>
      <c r="Z59" s="202"/>
      <c r="AA59" s="202"/>
      <c r="AB59" s="202"/>
      <c r="AC59" s="202"/>
      <c r="AD59" s="202"/>
      <c r="AE59" s="202"/>
      <c r="AF59" s="202"/>
      <c r="AG59" s="202"/>
      <c r="AH59" s="202"/>
      <c r="AI59" s="202"/>
      <c r="AJ59" s="202"/>
      <c r="AK59" s="202"/>
      <c r="AL59" s="202"/>
      <c r="AM59" s="203"/>
    </row>
    <row r="60" spans="1:39" ht="33" customHeight="1" x14ac:dyDescent="0.3">
      <c r="A60" s="31" t="s">
        <v>115</v>
      </c>
      <c r="B60" s="32" t="s">
        <v>116</v>
      </c>
      <c r="C60" s="33" t="s">
        <v>40</v>
      </c>
      <c r="D60" s="56"/>
      <c r="E60" s="199"/>
      <c r="F60" s="25">
        <f t="shared" si="0"/>
        <v>0</v>
      </c>
      <c r="G60" s="200">
        <f t="shared" si="3"/>
        <v>0</v>
      </c>
      <c r="H60" s="204">
        <f t="shared" si="2"/>
        <v>0</v>
      </c>
      <c r="I60" s="202"/>
      <c r="J60" s="202"/>
      <c r="K60" s="202"/>
      <c r="L60" s="202"/>
      <c r="M60" s="202"/>
      <c r="N60" s="202"/>
      <c r="O60" s="202"/>
      <c r="P60" s="202"/>
      <c r="Q60" s="202"/>
      <c r="R60" s="202"/>
      <c r="S60" s="202"/>
      <c r="T60" s="202"/>
      <c r="U60" s="202"/>
      <c r="V60" s="202"/>
      <c r="W60" s="202"/>
      <c r="X60" s="202"/>
      <c r="Y60" s="202"/>
      <c r="Z60" s="202"/>
      <c r="AA60" s="202"/>
      <c r="AB60" s="202"/>
      <c r="AC60" s="202"/>
      <c r="AD60" s="202"/>
      <c r="AE60" s="202"/>
      <c r="AF60" s="202"/>
      <c r="AG60" s="202"/>
      <c r="AH60" s="202"/>
      <c r="AI60" s="202"/>
      <c r="AJ60" s="202"/>
      <c r="AK60" s="202"/>
      <c r="AL60" s="202"/>
      <c r="AM60" s="203"/>
    </row>
    <row r="61" spans="1:39" ht="33" customHeight="1" x14ac:dyDescent="0.3">
      <c r="A61" s="31" t="s">
        <v>117</v>
      </c>
      <c r="B61" s="32" t="s">
        <v>118</v>
      </c>
      <c r="C61" s="33" t="s">
        <v>35</v>
      </c>
      <c r="D61" s="56"/>
      <c r="E61" s="199"/>
      <c r="F61" s="25">
        <f t="shared" si="0"/>
        <v>0</v>
      </c>
      <c r="G61" s="200">
        <f t="shared" si="3"/>
        <v>0</v>
      </c>
      <c r="H61" s="204">
        <f t="shared" si="2"/>
        <v>0</v>
      </c>
      <c r="I61" s="202"/>
      <c r="J61" s="202"/>
      <c r="K61" s="202"/>
      <c r="L61" s="202"/>
      <c r="M61" s="202"/>
      <c r="N61" s="202"/>
      <c r="O61" s="202"/>
      <c r="P61" s="202"/>
      <c r="Q61" s="202"/>
      <c r="R61" s="202"/>
      <c r="S61" s="202"/>
      <c r="T61" s="202"/>
      <c r="U61" s="202"/>
      <c r="V61" s="202"/>
      <c r="W61" s="202"/>
      <c r="X61" s="202"/>
      <c r="Y61" s="202"/>
      <c r="Z61" s="202"/>
      <c r="AA61" s="202"/>
      <c r="AB61" s="202"/>
      <c r="AC61" s="202"/>
      <c r="AD61" s="202"/>
      <c r="AE61" s="202"/>
      <c r="AF61" s="202"/>
      <c r="AG61" s="202"/>
      <c r="AH61" s="202"/>
      <c r="AI61" s="202"/>
      <c r="AJ61" s="202"/>
      <c r="AK61" s="202"/>
      <c r="AL61" s="202"/>
      <c r="AM61" s="203"/>
    </row>
    <row r="62" spans="1:39" ht="33" customHeight="1" x14ac:dyDescent="0.3">
      <c r="A62" s="31" t="s">
        <v>119</v>
      </c>
      <c r="B62" s="32" t="s">
        <v>120</v>
      </c>
      <c r="C62" s="35" t="s">
        <v>35</v>
      </c>
      <c r="D62" s="56"/>
      <c r="E62" s="199"/>
      <c r="F62" s="25">
        <f t="shared" si="0"/>
        <v>0</v>
      </c>
      <c r="G62" s="200">
        <f t="shared" si="3"/>
        <v>0</v>
      </c>
      <c r="H62" s="204">
        <f t="shared" si="2"/>
        <v>0</v>
      </c>
      <c r="I62" s="202"/>
      <c r="J62" s="202"/>
      <c r="K62" s="202"/>
      <c r="L62" s="202"/>
      <c r="M62" s="202"/>
      <c r="N62" s="202"/>
      <c r="O62" s="202"/>
      <c r="P62" s="202"/>
      <c r="Q62" s="202"/>
      <c r="R62" s="202"/>
      <c r="S62" s="202"/>
      <c r="T62" s="202"/>
      <c r="U62" s="202"/>
      <c r="V62" s="202"/>
      <c r="W62" s="202"/>
      <c r="X62" s="202"/>
      <c r="Y62" s="202"/>
      <c r="Z62" s="202"/>
      <c r="AA62" s="202"/>
      <c r="AB62" s="202"/>
      <c r="AC62" s="202"/>
      <c r="AD62" s="202"/>
      <c r="AE62" s="202"/>
      <c r="AF62" s="202"/>
      <c r="AG62" s="202"/>
      <c r="AH62" s="202"/>
      <c r="AI62" s="202"/>
      <c r="AJ62" s="202"/>
      <c r="AK62" s="202"/>
      <c r="AL62" s="202"/>
      <c r="AM62" s="203"/>
    </row>
    <row r="63" spans="1:39" ht="33" customHeight="1" x14ac:dyDescent="0.3">
      <c r="A63" s="31" t="s">
        <v>121</v>
      </c>
      <c r="B63" s="32" t="s">
        <v>122</v>
      </c>
      <c r="C63" s="33" t="s">
        <v>87</v>
      </c>
      <c r="D63" s="56"/>
      <c r="E63" s="199"/>
      <c r="F63" s="25">
        <f t="shared" si="0"/>
        <v>0</v>
      </c>
      <c r="G63" s="200">
        <f t="shared" si="3"/>
        <v>0</v>
      </c>
      <c r="H63" s="204">
        <f t="shared" si="2"/>
        <v>0</v>
      </c>
      <c r="I63" s="202"/>
      <c r="J63" s="202"/>
      <c r="K63" s="202"/>
      <c r="L63" s="202"/>
      <c r="M63" s="202"/>
      <c r="N63" s="202"/>
      <c r="O63" s="202"/>
      <c r="P63" s="202"/>
      <c r="Q63" s="202"/>
      <c r="R63" s="202"/>
      <c r="S63" s="202"/>
      <c r="T63" s="202"/>
      <c r="U63" s="202"/>
      <c r="V63" s="202"/>
      <c r="W63" s="202"/>
      <c r="X63" s="202"/>
      <c r="Y63" s="202"/>
      <c r="Z63" s="202"/>
      <c r="AA63" s="202"/>
      <c r="AB63" s="202"/>
      <c r="AC63" s="202"/>
      <c r="AD63" s="202"/>
      <c r="AE63" s="202"/>
      <c r="AF63" s="202"/>
      <c r="AG63" s="202"/>
      <c r="AH63" s="202"/>
      <c r="AI63" s="202"/>
      <c r="AJ63" s="202"/>
      <c r="AK63" s="202"/>
      <c r="AL63" s="202"/>
      <c r="AM63" s="203"/>
    </row>
    <row r="64" spans="1:39" ht="33" customHeight="1" x14ac:dyDescent="0.3">
      <c r="A64" s="31" t="s">
        <v>123</v>
      </c>
      <c r="B64" s="32" t="s">
        <v>124</v>
      </c>
      <c r="C64" s="33" t="s">
        <v>87</v>
      </c>
      <c r="D64" s="56"/>
      <c r="E64" s="199"/>
      <c r="F64" s="25">
        <f t="shared" si="0"/>
        <v>0</v>
      </c>
      <c r="G64" s="200">
        <f t="shared" si="3"/>
        <v>0</v>
      </c>
      <c r="H64" s="204">
        <f t="shared" si="2"/>
        <v>0</v>
      </c>
      <c r="I64" s="202"/>
      <c r="J64" s="202"/>
      <c r="K64" s="202"/>
      <c r="L64" s="202"/>
      <c r="M64" s="202"/>
      <c r="N64" s="202"/>
      <c r="O64" s="202"/>
      <c r="P64" s="202"/>
      <c r="Q64" s="202"/>
      <c r="R64" s="202"/>
      <c r="S64" s="202"/>
      <c r="T64" s="202"/>
      <c r="U64" s="202"/>
      <c r="V64" s="202"/>
      <c r="W64" s="202"/>
      <c r="X64" s="202"/>
      <c r="Y64" s="202"/>
      <c r="Z64" s="202"/>
      <c r="AA64" s="202"/>
      <c r="AB64" s="202"/>
      <c r="AC64" s="202"/>
      <c r="AD64" s="202"/>
      <c r="AE64" s="202"/>
      <c r="AF64" s="202"/>
      <c r="AG64" s="202"/>
      <c r="AH64" s="202"/>
      <c r="AI64" s="202"/>
      <c r="AJ64" s="202"/>
      <c r="AK64" s="202"/>
      <c r="AL64" s="202"/>
      <c r="AM64" s="203"/>
    </row>
    <row r="65" spans="1:39" ht="33" customHeight="1" x14ac:dyDescent="0.3">
      <c r="A65" s="31" t="s">
        <v>125</v>
      </c>
      <c r="B65" s="36" t="s">
        <v>126</v>
      </c>
      <c r="C65" s="35" t="s">
        <v>21</v>
      </c>
      <c r="D65" s="56"/>
      <c r="E65" s="199"/>
      <c r="F65" s="25">
        <f t="shared" si="0"/>
        <v>0</v>
      </c>
      <c r="G65" s="200">
        <f t="shared" si="3"/>
        <v>0</v>
      </c>
      <c r="H65" s="204">
        <f t="shared" si="2"/>
        <v>0</v>
      </c>
      <c r="I65" s="202"/>
      <c r="J65" s="202"/>
      <c r="K65" s="202"/>
      <c r="L65" s="202"/>
      <c r="M65" s="202"/>
      <c r="N65" s="202"/>
      <c r="O65" s="202"/>
      <c r="P65" s="202"/>
      <c r="Q65" s="202"/>
      <c r="R65" s="202"/>
      <c r="S65" s="202"/>
      <c r="T65" s="202"/>
      <c r="U65" s="202"/>
      <c r="V65" s="202"/>
      <c r="W65" s="202"/>
      <c r="X65" s="202"/>
      <c r="Y65" s="202"/>
      <c r="Z65" s="202"/>
      <c r="AA65" s="202"/>
      <c r="AB65" s="202"/>
      <c r="AC65" s="202"/>
      <c r="AD65" s="202"/>
      <c r="AE65" s="202"/>
      <c r="AF65" s="202"/>
      <c r="AG65" s="202"/>
      <c r="AH65" s="202"/>
      <c r="AI65" s="202"/>
      <c r="AJ65" s="202"/>
      <c r="AK65" s="202"/>
      <c r="AL65" s="202"/>
      <c r="AM65" s="203"/>
    </row>
    <row r="66" spans="1:39" ht="33" customHeight="1" x14ac:dyDescent="0.3">
      <c r="A66" s="31" t="s">
        <v>127</v>
      </c>
      <c r="B66" s="32" t="s">
        <v>128</v>
      </c>
      <c r="C66" s="33" t="s">
        <v>35</v>
      </c>
      <c r="D66" s="56"/>
      <c r="E66" s="199"/>
      <c r="F66" s="25">
        <f t="shared" si="0"/>
        <v>0</v>
      </c>
      <c r="G66" s="200">
        <f t="shared" si="3"/>
        <v>0</v>
      </c>
      <c r="H66" s="204">
        <f t="shared" si="2"/>
        <v>0</v>
      </c>
      <c r="I66" s="202"/>
      <c r="J66" s="202"/>
      <c r="K66" s="202"/>
      <c r="L66" s="202"/>
      <c r="M66" s="202"/>
      <c r="N66" s="202"/>
      <c r="O66" s="202"/>
      <c r="P66" s="202"/>
      <c r="Q66" s="202"/>
      <c r="R66" s="202"/>
      <c r="S66" s="202"/>
      <c r="T66" s="202"/>
      <c r="U66" s="202"/>
      <c r="V66" s="202"/>
      <c r="W66" s="202"/>
      <c r="X66" s="202"/>
      <c r="Y66" s="202"/>
      <c r="Z66" s="202"/>
      <c r="AA66" s="202"/>
      <c r="AB66" s="202"/>
      <c r="AC66" s="202"/>
      <c r="AD66" s="202"/>
      <c r="AE66" s="202"/>
      <c r="AF66" s="202"/>
      <c r="AG66" s="202"/>
      <c r="AH66" s="202"/>
      <c r="AI66" s="202"/>
      <c r="AJ66" s="202"/>
      <c r="AK66" s="202"/>
      <c r="AL66" s="202"/>
      <c r="AM66" s="203"/>
    </row>
    <row r="67" spans="1:39" ht="33" customHeight="1" x14ac:dyDescent="0.3">
      <c r="A67" s="31" t="s">
        <v>129</v>
      </c>
      <c r="B67" s="32" t="s">
        <v>130</v>
      </c>
      <c r="C67" s="33" t="s">
        <v>35</v>
      </c>
      <c r="D67" s="56"/>
      <c r="E67" s="199"/>
      <c r="F67" s="25">
        <f t="shared" si="0"/>
        <v>0</v>
      </c>
      <c r="G67" s="200">
        <f t="shared" si="3"/>
        <v>0</v>
      </c>
      <c r="H67" s="204">
        <f t="shared" si="2"/>
        <v>0</v>
      </c>
      <c r="I67" s="202"/>
      <c r="J67" s="202"/>
      <c r="K67" s="202"/>
      <c r="L67" s="202"/>
      <c r="M67" s="202"/>
      <c r="N67" s="202"/>
      <c r="O67" s="202"/>
      <c r="P67" s="202"/>
      <c r="Q67" s="202"/>
      <c r="R67" s="202"/>
      <c r="S67" s="202"/>
      <c r="T67" s="202"/>
      <c r="U67" s="202"/>
      <c r="V67" s="202"/>
      <c r="W67" s="202"/>
      <c r="X67" s="202"/>
      <c r="Y67" s="202"/>
      <c r="Z67" s="202"/>
      <c r="AA67" s="202"/>
      <c r="AB67" s="202"/>
      <c r="AC67" s="202"/>
      <c r="AD67" s="202"/>
      <c r="AE67" s="202"/>
      <c r="AF67" s="202"/>
      <c r="AG67" s="202"/>
      <c r="AH67" s="202"/>
      <c r="AI67" s="202"/>
      <c r="AJ67" s="202"/>
      <c r="AK67" s="202"/>
      <c r="AL67" s="202"/>
      <c r="AM67" s="203"/>
    </row>
    <row r="68" spans="1:39" ht="33" customHeight="1" x14ac:dyDescent="0.3">
      <c r="A68" s="31" t="s">
        <v>131</v>
      </c>
      <c r="B68" s="32" t="s">
        <v>132</v>
      </c>
      <c r="C68" s="33" t="s">
        <v>35</v>
      </c>
      <c r="D68" s="56"/>
      <c r="E68" s="199"/>
      <c r="F68" s="25">
        <f t="shared" si="0"/>
        <v>0</v>
      </c>
      <c r="G68" s="200">
        <f t="shared" si="3"/>
        <v>0</v>
      </c>
      <c r="H68" s="204">
        <f t="shared" si="2"/>
        <v>0</v>
      </c>
      <c r="I68" s="202"/>
      <c r="J68" s="202"/>
      <c r="K68" s="202"/>
      <c r="L68" s="202"/>
      <c r="M68" s="202"/>
      <c r="N68" s="202"/>
      <c r="O68" s="202"/>
      <c r="P68" s="202"/>
      <c r="Q68" s="202"/>
      <c r="R68" s="202"/>
      <c r="S68" s="202"/>
      <c r="T68" s="202"/>
      <c r="U68" s="202"/>
      <c r="V68" s="202"/>
      <c r="W68" s="202"/>
      <c r="X68" s="202"/>
      <c r="Y68" s="202"/>
      <c r="Z68" s="202"/>
      <c r="AA68" s="202"/>
      <c r="AB68" s="202"/>
      <c r="AC68" s="202"/>
      <c r="AD68" s="202"/>
      <c r="AE68" s="202"/>
      <c r="AF68" s="202"/>
      <c r="AG68" s="202"/>
      <c r="AH68" s="202"/>
      <c r="AI68" s="202"/>
      <c r="AJ68" s="202"/>
      <c r="AK68" s="202"/>
      <c r="AL68" s="202"/>
      <c r="AM68" s="203"/>
    </row>
    <row r="69" spans="1:39" ht="33" customHeight="1" x14ac:dyDescent="0.3">
      <c r="A69" s="31" t="s">
        <v>133</v>
      </c>
      <c r="B69" s="32" t="s">
        <v>134</v>
      </c>
      <c r="C69" s="33" t="s">
        <v>35</v>
      </c>
      <c r="D69" s="56"/>
      <c r="E69" s="199"/>
      <c r="F69" s="25">
        <f t="shared" si="0"/>
        <v>0</v>
      </c>
      <c r="G69" s="200">
        <f t="shared" si="3"/>
        <v>0</v>
      </c>
      <c r="H69" s="204">
        <f t="shared" si="2"/>
        <v>0</v>
      </c>
      <c r="I69" s="202"/>
      <c r="J69" s="202"/>
      <c r="K69" s="202"/>
      <c r="L69" s="202"/>
      <c r="M69" s="202"/>
      <c r="N69" s="202"/>
      <c r="O69" s="202"/>
      <c r="P69" s="202"/>
      <c r="Q69" s="202"/>
      <c r="R69" s="202"/>
      <c r="S69" s="202"/>
      <c r="T69" s="202"/>
      <c r="U69" s="202"/>
      <c r="V69" s="202"/>
      <c r="W69" s="202"/>
      <c r="X69" s="202"/>
      <c r="Y69" s="202"/>
      <c r="Z69" s="202"/>
      <c r="AA69" s="202"/>
      <c r="AB69" s="202"/>
      <c r="AC69" s="202"/>
      <c r="AD69" s="202"/>
      <c r="AE69" s="202"/>
      <c r="AF69" s="202"/>
      <c r="AG69" s="202"/>
      <c r="AH69" s="202"/>
      <c r="AI69" s="202"/>
      <c r="AJ69" s="202"/>
      <c r="AK69" s="202"/>
      <c r="AL69" s="202"/>
      <c r="AM69" s="203"/>
    </row>
    <row r="70" spans="1:39" ht="33" customHeight="1" x14ac:dyDescent="0.3">
      <c r="A70" s="31" t="s">
        <v>135</v>
      </c>
      <c r="B70" s="34" t="s">
        <v>136</v>
      </c>
      <c r="C70" s="35" t="s">
        <v>35</v>
      </c>
      <c r="D70" s="56"/>
      <c r="E70" s="199"/>
      <c r="F70" s="25">
        <f t="shared" si="0"/>
        <v>0</v>
      </c>
      <c r="G70" s="200">
        <f t="shared" si="3"/>
        <v>0</v>
      </c>
      <c r="H70" s="204">
        <f t="shared" si="2"/>
        <v>0</v>
      </c>
      <c r="I70" s="202"/>
      <c r="J70" s="202"/>
      <c r="K70" s="202"/>
      <c r="L70" s="202"/>
      <c r="M70" s="202"/>
      <c r="N70" s="202"/>
      <c r="O70" s="202"/>
      <c r="P70" s="202"/>
      <c r="Q70" s="202"/>
      <c r="R70" s="202"/>
      <c r="S70" s="202"/>
      <c r="T70" s="202"/>
      <c r="U70" s="202"/>
      <c r="V70" s="202"/>
      <c r="W70" s="202"/>
      <c r="X70" s="202"/>
      <c r="Y70" s="202"/>
      <c r="Z70" s="202"/>
      <c r="AA70" s="202"/>
      <c r="AB70" s="202"/>
      <c r="AC70" s="202"/>
      <c r="AD70" s="202"/>
      <c r="AE70" s="202"/>
      <c r="AF70" s="202"/>
      <c r="AG70" s="202"/>
      <c r="AH70" s="202"/>
      <c r="AI70" s="202"/>
      <c r="AJ70" s="202"/>
      <c r="AK70" s="202"/>
      <c r="AL70" s="202"/>
      <c r="AM70" s="203"/>
    </row>
    <row r="71" spans="1:39" ht="33" customHeight="1" x14ac:dyDescent="0.3">
      <c r="A71" s="31" t="s">
        <v>137</v>
      </c>
      <c r="B71" s="32" t="s">
        <v>138</v>
      </c>
      <c r="C71" s="35" t="s">
        <v>87</v>
      </c>
      <c r="D71" s="56"/>
      <c r="E71" s="199"/>
      <c r="F71" s="25">
        <f t="shared" si="0"/>
        <v>0</v>
      </c>
      <c r="G71" s="200">
        <f t="shared" si="3"/>
        <v>0</v>
      </c>
      <c r="H71" s="204">
        <f t="shared" si="2"/>
        <v>0</v>
      </c>
      <c r="I71" s="202"/>
      <c r="J71" s="202"/>
      <c r="K71" s="202"/>
      <c r="L71" s="202"/>
      <c r="M71" s="202"/>
      <c r="N71" s="202"/>
      <c r="O71" s="202"/>
      <c r="P71" s="202"/>
      <c r="Q71" s="202"/>
      <c r="R71" s="202"/>
      <c r="S71" s="202"/>
      <c r="T71" s="202"/>
      <c r="U71" s="202"/>
      <c r="V71" s="202"/>
      <c r="W71" s="202"/>
      <c r="X71" s="202"/>
      <c r="Y71" s="202"/>
      <c r="Z71" s="202"/>
      <c r="AA71" s="202"/>
      <c r="AB71" s="202"/>
      <c r="AC71" s="202"/>
      <c r="AD71" s="202"/>
      <c r="AE71" s="202"/>
      <c r="AF71" s="202"/>
      <c r="AG71" s="202"/>
      <c r="AH71" s="202"/>
      <c r="AI71" s="202"/>
      <c r="AJ71" s="202"/>
      <c r="AK71" s="202"/>
      <c r="AL71" s="202"/>
      <c r="AM71" s="203"/>
    </row>
    <row r="72" spans="1:39" ht="33" customHeight="1" x14ac:dyDescent="0.3">
      <c r="A72" s="31" t="s">
        <v>139</v>
      </c>
      <c r="B72" s="32" t="s">
        <v>140</v>
      </c>
      <c r="C72" s="35" t="s">
        <v>35</v>
      </c>
      <c r="D72" s="56"/>
      <c r="E72" s="199"/>
      <c r="F72" s="25">
        <f t="shared" si="0"/>
        <v>0</v>
      </c>
      <c r="G72" s="200">
        <f t="shared" si="3"/>
        <v>0</v>
      </c>
      <c r="H72" s="204">
        <f t="shared" si="2"/>
        <v>0</v>
      </c>
      <c r="I72" s="202"/>
      <c r="J72" s="202"/>
      <c r="K72" s="202"/>
      <c r="L72" s="202"/>
      <c r="M72" s="202"/>
      <c r="N72" s="202"/>
      <c r="O72" s="202"/>
      <c r="P72" s="202"/>
      <c r="Q72" s="202"/>
      <c r="R72" s="202"/>
      <c r="S72" s="202"/>
      <c r="T72" s="202"/>
      <c r="U72" s="202"/>
      <c r="V72" s="202"/>
      <c r="W72" s="202"/>
      <c r="X72" s="202"/>
      <c r="Y72" s="202"/>
      <c r="Z72" s="202"/>
      <c r="AA72" s="202"/>
      <c r="AB72" s="202"/>
      <c r="AC72" s="202"/>
      <c r="AD72" s="202"/>
      <c r="AE72" s="202"/>
      <c r="AF72" s="202"/>
      <c r="AG72" s="202"/>
      <c r="AH72" s="202"/>
      <c r="AI72" s="202"/>
      <c r="AJ72" s="202"/>
      <c r="AK72" s="202"/>
      <c r="AL72" s="202"/>
      <c r="AM72" s="203"/>
    </row>
    <row r="73" spans="1:39" ht="33" customHeight="1" x14ac:dyDescent="0.3">
      <c r="A73" s="40" t="s">
        <v>141</v>
      </c>
      <c r="B73" s="32" t="s">
        <v>142</v>
      </c>
      <c r="C73" s="35" t="s">
        <v>13</v>
      </c>
      <c r="D73" s="56"/>
      <c r="E73" s="199"/>
      <c r="F73" s="25">
        <f t="shared" si="0"/>
        <v>0</v>
      </c>
      <c r="G73" s="200">
        <f t="shared" si="3"/>
        <v>0</v>
      </c>
      <c r="H73" s="204">
        <f t="shared" si="2"/>
        <v>0</v>
      </c>
      <c r="I73" s="202"/>
      <c r="J73" s="202"/>
      <c r="K73" s="202"/>
      <c r="L73" s="202"/>
      <c r="M73" s="202"/>
      <c r="N73" s="202"/>
      <c r="O73" s="202"/>
      <c r="P73" s="202"/>
      <c r="Q73" s="202"/>
      <c r="R73" s="202"/>
      <c r="S73" s="202"/>
      <c r="T73" s="202"/>
      <c r="U73" s="202"/>
      <c r="V73" s="202"/>
      <c r="W73" s="202"/>
      <c r="X73" s="202"/>
      <c r="Y73" s="202"/>
      <c r="Z73" s="202"/>
      <c r="AA73" s="202"/>
      <c r="AB73" s="202"/>
      <c r="AC73" s="202"/>
      <c r="AD73" s="202"/>
      <c r="AE73" s="202"/>
      <c r="AF73" s="202"/>
      <c r="AG73" s="202"/>
      <c r="AH73" s="202"/>
      <c r="AI73" s="202"/>
      <c r="AJ73" s="202"/>
      <c r="AK73" s="202"/>
      <c r="AL73" s="202"/>
      <c r="AM73" s="203"/>
    </row>
    <row r="74" spans="1:39" ht="33" customHeight="1" x14ac:dyDescent="0.3">
      <c r="A74" s="31" t="s">
        <v>143</v>
      </c>
      <c r="B74" s="32" t="s">
        <v>144</v>
      </c>
      <c r="C74" s="35" t="s">
        <v>35</v>
      </c>
      <c r="D74" s="56"/>
      <c r="E74" s="199"/>
      <c r="F74" s="25">
        <f t="shared" si="0"/>
        <v>0</v>
      </c>
      <c r="G74" s="200">
        <f t="shared" si="3"/>
        <v>0</v>
      </c>
      <c r="H74" s="204">
        <f t="shared" si="2"/>
        <v>0</v>
      </c>
      <c r="I74" s="202"/>
      <c r="J74" s="202"/>
      <c r="K74" s="202"/>
      <c r="L74" s="202"/>
      <c r="M74" s="202"/>
      <c r="N74" s="202"/>
      <c r="O74" s="202"/>
      <c r="P74" s="202"/>
      <c r="Q74" s="202"/>
      <c r="R74" s="202"/>
      <c r="S74" s="202"/>
      <c r="T74" s="202"/>
      <c r="U74" s="202"/>
      <c r="V74" s="202"/>
      <c r="W74" s="202"/>
      <c r="X74" s="202"/>
      <c r="Y74" s="202"/>
      <c r="Z74" s="202"/>
      <c r="AA74" s="202"/>
      <c r="AB74" s="202"/>
      <c r="AC74" s="202"/>
      <c r="AD74" s="202"/>
      <c r="AE74" s="202"/>
      <c r="AF74" s="202"/>
      <c r="AG74" s="202"/>
      <c r="AH74" s="202"/>
      <c r="AI74" s="202"/>
      <c r="AJ74" s="202"/>
      <c r="AK74" s="202"/>
      <c r="AL74" s="202"/>
      <c r="AM74" s="203"/>
    </row>
    <row r="75" spans="1:39" ht="33" customHeight="1" x14ac:dyDescent="0.3">
      <c r="A75" s="31" t="s">
        <v>145</v>
      </c>
      <c r="B75" s="32" t="s">
        <v>146</v>
      </c>
      <c r="C75" s="35" t="s">
        <v>35</v>
      </c>
      <c r="D75" s="56"/>
      <c r="E75" s="199"/>
      <c r="F75" s="25">
        <f t="shared" si="0"/>
        <v>0</v>
      </c>
      <c r="G75" s="200">
        <f t="shared" si="3"/>
        <v>0</v>
      </c>
      <c r="H75" s="204">
        <f t="shared" si="2"/>
        <v>0</v>
      </c>
      <c r="I75" s="202"/>
      <c r="J75" s="202"/>
      <c r="K75" s="202"/>
      <c r="L75" s="202"/>
      <c r="M75" s="202"/>
      <c r="N75" s="202"/>
      <c r="O75" s="202"/>
      <c r="P75" s="202"/>
      <c r="Q75" s="202"/>
      <c r="R75" s="202"/>
      <c r="S75" s="202"/>
      <c r="T75" s="202"/>
      <c r="U75" s="202"/>
      <c r="V75" s="202"/>
      <c r="W75" s="202"/>
      <c r="X75" s="202"/>
      <c r="Y75" s="202"/>
      <c r="Z75" s="202"/>
      <c r="AA75" s="202"/>
      <c r="AB75" s="202"/>
      <c r="AC75" s="202"/>
      <c r="AD75" s="202"/>
      <c r="AE75" s="202"/>
      <c r="AF75" s="202"/>
      <c r="AG75" s="202"/>
      <c r="AH75" s="202"/>
      <c r="AI75" s="202"/>
      <c r="AJ75" s="202"/>
      <c r="AK75" s="202"/>
      <c r="AL75" s="202"/>
      <c r="AM75" s="203"/>
    </row>
    <row r="76" spans="1:39" ht="33" customHeight="1" x14ac:dyDescent="0.3">
      <c r="A76" s="31" t="s">
        <v>147</v>
      </c>
      <c r="B76" s="32" t="s">
        <v>148</v>
      </c>
      <c r="C76" s="35" t="s">
        <v>149</v>
      </c>
      <c r="D76" s="56"/>
      <c r="E76" s="199"/>
      <c r="F76" s="25">
        <f t="shared" si="0"/>
        <v>0</v>
      </c>
      <c r="G76" s="200">
        <f t="shared" si="3"/>
        <v>0</v>
      </c>
      <c r="H76" s="204">
        <f t="shared" si="2"/>
        <v>0</v>
      </c>
      <c r="I76" s="202"/>
      <c r="J76" s="202"/>
      <c r="K76" s="202"/>
      <c r="L76" s="202"/>
      <c r="M76" s="202"/>
      <c r="N76" s="202"/>
      <c r="O76" s="202"/>
      <c r="P76" s="202"/>
      <c r="Q76" s="202"/>
      <c r="R76" s="202"/>
      <c r="S76" s="202"/>
      <c r="T76" s="202"/>
      <c r="U76" s="202"/>
      <c r="V76" s="202"/>
      <c r="W76" s="202"/>
      <c r="X76" s="202"/>
      <c r="Y76" s="202"/>
      <c r="Z76" s="202"/>
      <c r="AA76" s="202"/>
      <c r="AB76" s="202"/>
      <c r="AC76" s="202"/>
      <c r="AD76" s="202"/>
      <c r="AE76" s="202"/>
      <c r="AF76" s="202"/>
      <c r="AG76" s="202"/>
      <c r="AH76" s="202"/>
      <c r="AI76" s="202"/>
      <c r="AJ76" s="202"/>
      <c r="AK76" s="202"/>
      <c r="AL76" s="202"/>
      <c r="AM76" s="203"/>
    </row>
    <row r="77" spans="1:39" ht="33" customHeight="1" x14ac:dyDescent="0.3">
      <c r="A77" s="31" t="s">
        <v>150</v>
      </c>
      <c r="B77" s="34" t="s">
        <v>151</v>
      </c>
      <c r="C77" s="33" t="s">
        <v>149</v>
      </c>
      <c r="D77" s="56"/>
      <c r="E77" s="199"/>
      <c r="F77" s="25">
        <f t="shared" si="0"/>
        <v>0</v>
      </c>
      <c r="G77" s="200">
        <f t="shared" si="3"/>
        <v>0</v>
      </c>
      <c r="H77" s="204">
        <f t="shared" si="2"/>
        <v>0</v>
      </c>
      <c r="I77" s="202"/>
      <c r="J77" s="202"/>
      <c r="K77" s="202"/>
      <c r="L77" s="202"/>
      <c r="M77" s="202"/>
      <c r="N77" s="202"/>
      <c r="O77" s="202"/>
      <c r="P77" s="202"/>
      <c r="Q77" s="202"/>
      <c r="R77" s="202"/>
      <c r="S77" s="202"/>
      <c r="T77" s="202"/>
      <c r="U77" s="202"/>
      <c r="V77" s="202"/>
      <c r="W77" s="202"/>
      <c r="X77" s="202"/>
      <c r="Y77" s="202"/>
      <c r="Z77" s="202"/>
      <c r="AA77" s="202"/>
      <c r="AB77" s="202"/>
      <c r="AC77" s="202"/>
      <c r="AD77" s="202"/>
      <c r="AE77" s="202"/>
      <c r="AF77" s="202"/>
      <c r="AG77" s="202"/>
      <c r="AH77" s="202"/>
      <c r="AI77" s="202"/>
      <c r="AJ77" s="202"/>
      <c r="AK77" s="202"/>
      <c r="AL77" s="202"/>
      <c r="AM77" s="203"/>
    </row>
    <row r="78" spans="1:39" ht="33" customHeight="1" x14ac:dyDescent="0.3">
      <c r="A78" s="31" t="s">
        <v>152</v>
      </c>
      <c r="B78" s="32" t="s">
        <v>153</v>
      </c>
      <c r="C78" s="33" t="s">
        <v>149</v>
      </c>
      <c r="D78" s="56"/>
      <c r="E78" s="199"/>
      <c r="F78" s="25">
        <f t="shared" si="0"/>
        <v>0</v>
      </c>
      <c r="G78" s="200">
        <f t="shared" si="3"/>
        <v>0</v>
      </c>
      <c r="H78" s="204">
        <f t="shared" si="2"/>
        <v>0</v>
      </c>
      <c r="I78" s="202"/>
      <c r="J78" s="202"/>
      <c r="K78" s="202"/>
      <c r="L78" s="202"/>
      <c r="M78" s="202"/>
      <c r="N78" s="202"/>
      <c r="O78" s="202"/>
      <c r="P78" s="202"/>
      <c r="Q78" s="202"/>
      <c r="R78" s="202"/>
      <c r="S78" s="202"/>
      <c r="T78" s="202"/>
      <c r="U78" s="202"/>
      <c r="V78" s="202"/>
      <c r="W78" s="202"/>
      <c r="X78" s="202"/>
      <c r="Y78" s="202"/>
      <c r="Z78" s="202"/>
      <c r="AA78" s="202"/>
      <c r="AB78" s="202"/>
      <c r="AC78" s="202"/>
      <c r="AD78" s="202"/>
      <c r="AE78" s="202"/>
      <c r="AF78" s="202"/>
      <c r="AG78" s="202"/>
      <c r="AH78" s="202"/>
      <c r="AI78" s="202"/>
      <c r="AJ78" s="202"/>
      <c r="AK78" s="202"/>
      <c r="AL78" s="202"/>
      <c r="AM78" s="203"/>
    </row>
    <row r="79" spans="1:39" ht="33" customHeight="1" x14ac:dyDescent="0.3">
      <c r="A79" s="31" t="s">
        <v>154</v>
      </c>
      <c r="B79" s="34" t="s">
        <v>155</v>
      </c>
      <c r="C79" s="33" t="s">
        <v>149</v>
      </c>
      <c r="D79" s="56"/>
      <c r="E79" s="199"/>
      <c r="F79" s="25">
        <f t="shared" ref="F79:F142" si="4">E79*D79</f>
        <v>0</v>
      </c>
      <c r="G79" s="200">
        <f t="shared" si="3"/>
        <v>0</v>
      </c>
      <c r="H79" s="204">
        <f t="shared" si="2"/>
        <v>0</v>
      </c>
      <c r="I79" s="202"/>
      <c r="J79" s="202"/>
      <c r="K79" s="202"/>
      <c r="L79" s="202"/>
      <c r="M79" s="202"/>
      <c r="N79" s="202"/>
      <c r="O79" s="202"/>
      <c r="P79" s="202"/>
      <c r="Q79" s="202"/>
      <c r="R79" s="202"/>
      <c r="S79" s="202"/>
      <c r="T79" s="202"/>
      <c r="U79" s="202"/>
      <c r="V79" s="202"/>
      <c r="W79" s="202"/>
      <c r="X79" s="202"/>
      <c r="Y79" s="202"/>
      <c r="Z79" s="202"/>
      <c r="AA79" s="202"/>
      <c r="AB79" s="202"/>
      <c r="AC79" s="202"/>
      <c r="AD79" s="202"/>
      <c r="AE79" s="202"/>
      <c r="AF79" s="202"/>
      <c r="AG79" s="202"/>
      <c r="AH79" s="202"/>
      <c r="AI79" s="202"/>
      <c r="AJ79" s="202"/>
      <c r="AK79" s="202"/>
      <c r="AL79" s="202"/>
      <c r="AM79" s="203"/>
    </row>
    <row r="80" spans="1:39" ht="30.75" customHeight="1" x14ac:dyDescent="0.3">
      <c r="A80" s="31" t="s">
        <v>156</v>
      </c>
      <c r="B80" s="34" t="s">
        <v>157</v>
      </c>
      <c r="C80" s="33" t="s">
        <v>149</v>
      </c>
      <c r="D80" s="56"/>
      <c r="E80" s="199"/>
      <c r="F80" s="25">
        <f t="shared" si="4"/>
        <v>0</v>
      </c>
      <c r="G80" s="200">
        <f t="shared" si="3"/>
        <v>0</v>
      </c>
      <c r="H80" s="204">
        <f t="shared" ref="H80:H143" si="5">G80*D80</f>
        <v>0</v>
      </c>
      <c r="I80" s="202"/>
      <c r="J80" s="202"/>
      <c r="K80" s="202"/>
      <c r="L80" s="202"/>
      <c r="M80" s="202"/>
      <c r="N80" s="202"/>
      <c r="O80" s="202"/>
      <c r="P80" s="202"/>
      <c r="Q80" s="202"/>
      <c r="R80" s="202"/>
      <c r="S80" s="202"/>
      <c r="T80" s="202"/>
      <c r="U80" s="202"/>
      <c r="V80" s="202"/>
      <c r="W80" s="202"/>
      <c r="X80" s="202"/>
      <c r="Y80" s="202"/>
      <c r="Z80" s="202"/>
      <c r="AA80" s="202"/>
      <c r="AB80" s="202"/>
      <c r="AC80" s="202"/>
      <c r="AD80" s="202"/>
      <c r="AE80" s="202"/>
      <c r="AF80" s="202"/>
      <c r="AG80" s="202"/>
      <c r="AH80" s="202"/>
      <c r="AI80" s="202"/>
      <c r="AJ80" s="202"/>
      <c r="AK80" s="202"/>
      <c r="AL80" s="202"/>
      <c r="AM80" s="203"/>
    </row>
    <row r="81" spans="1:39" ht="33" customHeight="1" x14ac:dyDescent="0.3">
      <c r="A81" s="31" t="s">
        <v>158</v>
      </c>
      <c r="B81" s="34" t="s">
        <v>159</v>
      </c>
      <c r="C81" s="33" t="s">
        <v>35</v>
      </c>
      <c r="D81" s="56"/>
      <c r="E81" s="199"/>
      <c r="F81" s="25">
        <f t="shared" si="4"/>
        <v>0</v>
      </c>
      <c r="G81" s="200">
        <f t="shared" si="3"/>
        <v>0</v>
      </c>
      <c r="H81" s="204">
        <f t="shared" si="5"/>
        <v>0</v>
      </c>
      <c r="I81" s="202"/>
      <c r="J81" s="202"/>
      <c r="K81" s="202"/>
      <c r="L81" s="202"/>
      <c r="M81" s="202"/>
      <c r="N81" s="202"/>
      <c r="O81" s="202"/>
      <c r="P81" s="202"/>
      <c r="Q81" s="202"/>
      <c r="R81" s="202"/>
      <c r="S81" s="202"/>
      <c r="T81" s="202"/>
      <c r="U81" s="202"/>
      <c r="V81" s="202"/>
      <c r="W81" s="202"/>
      <c r="X81" s="202"/>
      <c r="Y81" s="202"/>
      <c r="Z81" s="202"/>
      <c r="AA81" s="202"/>
      <c r="AB81" s="202"/>
      <c r="AC81" s="202"/>
      <c r="AD81" s="202"/>
      <c r="AE81" s="202"/>
      <c r="AF81" s="202"/>
      <c r="AG81" s="202"/>
      <c r="AH81" s="202"/>
      <c r="AI81" s="202"/>
      <c r="AJ81" s="202"/>
      <c r="AK81" s="202"/>
      <c r="AL81" s="202"/>
      <c r="AM81" s="203"/>
    </row>
    <row r="82" spans="1:39" ht="33" customHeight="1" x14ac:dyDescent="0.3">
      <c r="A82" s="31" t="s">
        <v>160</v>
      </c>
      <c r="B82" s="44" t="s">
        <v>161</v>
      </c>
      <c r="C82" s="33" t="s">
        <v>87</v>
      </c>
      <c r="D82" s="56"/>
      <c r="E82" s="199"/>
      <c r="F82" s="25">
        <f t="shared" si="4"/>
        <v>0</v>
      </c>
      <c r="G82" s="200">
        <f t="shared" si="3"/>
        <v>0</v>
      </c>
      <c r="H82" s="204">
        <f t="shared" si="5"/>
        <v>0</v>
      </c>
      <c r="I82" s="202"/>
      <c r="J82" s="202"/>
      <c r="K82" s="202"/>
      <c r="L82" s="202"/>
      <c r="M82" s="202"/>
      <c r="N82" s="202"/>
      <c r="O82" s="202"/>
      <c r="P82" s="202"/>
      <c r="Q82" s="202"/>
      <c r="R82" s="202"/>
      <c r="S82" s="202"/>
      <c r="T82" s="202"/>
      <c r="U82" s="202"/>
      <c r="V82" s="202"/>
      <c r="W82" s="202"/>
      <c r="X82" s="202"/>
      <c r="Y82" s="202"/>
      <c r="Z82" s="202"/>
      <c r="AA82" s="202"/>
      <c r="AB82" s="202"/>
      <c r="AC82" s="202"/>
      <c r="AD82" s="202"/>
      <c r="AE82" s="202"/>
      <c r="AF82" s="202"/>
      <c r="AG82" s="202"/>
      <c r="AH82" s="202"/>
      <c r="AI82" s="202"/>
      <c r="AJ82" s="202"/>
      <c r="AK82" s="202"/>
      <c r="AL82" s="202"/>
      <c r="AM82" s="203"/>
    </row>
    <row r="83" spans="1:39" ht="33" customHeight="1" x14ac:dyDescent="0.3">
      <c r="A83" s="31" t="s">
        <v>162</v>
      </c>
      <c r="B83" s="44" t="s">
        <v>163</v>
      </c>
      <c r="C83" s="33" t="s">
        <v>87</v>
      </c>
      <c r="D83" s="56"/>
      <c r="E83" s="199"/>
      <c r="F83" s="25">
        <f t="shared" si="4"/>
        <v>0</v>
      </c>
      <c r="G83" s="200">
        <f t="shared" si="3"/>
        <v>0</v>
      </c>
      <c r="H83" s="204">
        <f t="shared" si="5"/>
        <v>0</v>
      </c>
      <c r="I83" s="202"/>
      <c r="J83" s="202"/>
      <c r="K83" s="202"/>
      <c r="L83" s="202"/>
      <c r="M83" s="202"/>
      <c r="N83" s="202"/>
      <c r="O83" s="202"/>
      <c r="P83" s="202"/>
      <c r="Q83" s="202"/>
      <c r="R83" s="202"/>
      <c r="S83" s="202"/>
      <c r="T83" s="202"/>
      <c r="U83" s="202"/>
      <c r="V83" s="202"/>
      <c r="W83" s="202"/>
      <c r="X83" s="202"/>
      <c r="Y83" s="202"/>
      <c r="Z83" s="202"/>
      <c r="AA83" s="202"/>
      <c r="AB83" s="202"/>
      <c r="AC83" s="202"/>
      <c r="AD83" s="202"/>
      <c r="AE83" s="202"/>
      <c r="AF83" s="202"/>
      <c r="AG83" s="202"/>
      <c r="AH83" s="202"/>
      <c r="AI83" s="202"/>
      <c r="AJ83" s="202"/>
      <c r="AK83" s="202"/>
      <c r="AL83" s="202"/>
      <c r="AM83" s="203"/>
    </row>
    <row r="84" spans="1:39" ht="33" customHeight="1" x14ac:dyDescent="0.3">
      <c r="A84" s="31" t="s">
        <v>164</v>
      </c>
      <c r="B84" s="34" t="s">
        <v>165</v>
      </c>
      <c r="C84" s="33" t="s">
        <v>87</v>
      </c>
      <c r="D84" s="56"/>
      <c r="E84" s="199"/>
      <c r="F84" s="25">
        <f t="shared" si="4"/>
        <v>0</v>
      </c>
      <c r="G84" s="200">
        <f t="shared" ref="G84:G147" si="6">SUM(I84:AM84)</f>
        <v>0</v>
      </c>
      <c r="H84" s="204">
        <f t="shared" si="5"/>
        <v>0</v>
      </c>
      <c r="I84" s="202"/>
      <c r="J84" s="202"/>
      <c r="K84" s="202"/>
      <c r="L84" s="202"/>
      <c r="M84" s="202"/>
      <c r="N84" s="202"/>
      <c r="O84" s="202"/>
      <c r="P84" s="202"/>
      <c r="Q84" s="202"/>
      <c r="R84" s="202"/>
      <c r="S84" s="202"/>
      <c r="T84" s="202"/>
      <c r="U84" s="202"/>
      <c r="V84" s="202"/>
      <c r="W84" s="202"/>
      <c r="X84" s="202"/>
      <c r="Y84" s="202"/>
      <c r="Z84" s="202"/>
      <c r="AA84" s="202"/>
      <c r="AB84" s="202"/>
      <c r="AC84" s="202"/>
      <c r="AD84" s="202"/>
      <c r="AE84" s="202"/>
      <c r="AF84" s="202"/>
      <c r="AG84" s="202"/>
      <c r="AH84" s="202"/>
      <c r="AI84" s="202"/>
      <c r="AJ84" s="202"/>
      <c r="AK84" s="202"/>
      <c r="AL84" s="202"/>
      <c r="AM84" s="203"/>
    </row>
    <row r="85" spans="1:39" ht="33" customHeight="1" x14ac:dyDescent="0.3">
      <c r="A85" s="31" t="s">
        <v>166</v>
      </c>
      <c r="B85" s="44" t="s">
        <v>167</v>
      </c>
      <c r="C85" s="33" t="s">
        <v>87</v>
      </c>
      <c r="D85" s="56"/>
      <c r="E85" s="199"/>
      <c r="F85" s="25">
        <f t="shared" si="4"/>
        <v>0</v>
      </c>
      <c r="G85" s="200">
        <f t="shared" si="6"/>
        <v>0</v>
      </c>
      <c r="H85" s="204">
        <f t="shared" si="5"/>
        <v>0</v>
      </c>
      <c r="I85" s="202"/>
      <c r="J85" s="202"/>
      <c r="K85" s="202"/>
      <c r="L85" s="202"/>
      <c r="M85" s="202"/>
      <c r="N85" s="202"/>
      <c r="O85" s="202"/>
      <c r="P85" s="202"/>
      <c r="Q85" s="202"/>
      <c r="R85" s="202"/>
      <c r="S85" s="202"/>
      <c r="T85" s="202"/>
      <c r="U85" s="202"/>
      <c r="V85" s="202"/>
      <c r="W85" s="202"/>
      <c r="X85" s="202"/>
      <c r="Y85" s="202"/>
      <c r="Z85" s="202"/>
      <c r="AA85" s="202"/>
      <c r="AB85" s="202"/>
      <c r="AC85" s="202"/>
      <c r="AD85" s="202"/>
      <c r="AE85" s="202"/>
      <c r="AF85" s="202"/>
      <c r="AG85" s="202"/>
      <c r="AH85" s="202"/>
      <c r="AI85" s="202"/>
      <c r="AJ85" s="202"/>
      <c r="AK85" s="202"/>
      <c r="AL85" s="202"/>
      <c r="AM85" s="203"/>
    </row>
    <row r="86" spans="1:39" ht="33" customHeight="1" x14ac:dyDescent="0.3">
      <c r="A86" s="31" t="s">
        <v>168</v>
      </c>
      <c r="B86" s="34" t="s">
        <v>169</v>
      </c>
      <c r="C86" s="33" t="s">
        <v>21</v>
      </c>
      <c r="D86" s="56"/>
      <c r="E86" s="199"/>
      <c r="F86" s="25">
        <f t="shared" si="4"/>
        <v>0</v>
      </c>
      <c r="G86" s="200">
        <f t="shared" si="6"/>
        <v>0</v>
      </c>
      <c r="H86" s="204">
        <f t="shared" si="5"/>
        <v>0</v>
      </c>
      <c r="I86" s="202"/>
      <c r="J86" s="202"/>
      <c r="K86" s="202"/>
      <c r="L86" s="202"/>
      <c r="M86" s="202"/>
      <c r="N86" s="202"/>
      <c r="O86" s="202"/>
      <c r="P86" s="202"/>
      <c r="Q86" s="202"/>
      <c r="R86" s="202"/>
      <c r="S86" s="202"/>
      <c r="T86" s="202"/>
      <c r="U86" s="202"/>
      <c r="V86" s="202"/>
      <c r="W86" s="202"/>
      <c r="X86" s="202"/>
      <c r="Y86" s="202"/>
      <c r="Z86" s="202"/>
      <c r="AA86" s="202"/>
      <c r="AB86" s="202"/>
      <c r="AC86" s="202"/>
      <c r="AD86" s="202"/>
      <c r="AE86" s="202"/>
      <c r="AF86" s="202"/>
      <c r="AG86" s="202"/>
      <c r="AH86" s="202"/>
      <c r="AI86" s="202"/>
      <c r="AJ86" s="202"/>
      <c r="AK86" s="202"/>
      <c r="AL86" s="202"/>
      <c r="AM86" s="203"/>
    </row>
    <row r="87" spans="1:39" ht="33" customHeight="1" x14ac:dyDescent="0.3">
      <c r="A87" s="31" t="s">
        <v>170</v>
      </c>
      <c r="B87" s="34" t="s">
        <v>171</v>
      </c>
      <c r="C87" s="33" t="s">
        <v>21</v>
      </c>
      <c r="D87" s="56"/>
      <c r="E87" s="199"/>
      <c r="F87" s="25">
        <f t="shared" si="4"/>
        <v>0</v>
      </c>
      <c r="G87" s="200">
        <f t="shared" si="6"/>
        <v>0</v>
      </c>
      <c r="H87" s="204">
        <f t="shared" si="5"/>
        <v>0</v>
      </c>
      <c r="I87" s="202"/>
      <c r="J87" s="202"/>
      <c r="K87" s="202"/>
      <c r="L87" s="202"/>
      <c r="M87" s="202"/>
      <c r="N87" s="202"/>
      <c r="O87" s="202"/>
      <c r="P87" s="202"/>
      <c r="Q87" s="202"/>
      <c r="R87" s="202"/>
      <c r="S87" s="202"/>
      <c r="T87" s="202"/>
      <c r="U87" s="202"/>
      <c r="V87" s="202"/>
      <c r="W87" s="202"/>
      <c r="X87" s="202"/>
      <c r="Y87" s="202"/>
      <c r="Z87" s="202"/>
      <c r="AA87" s="202"/>
      <c r="AB87" s="202"/>
      <c r="AC87" s="202"/>
      <c r="AD87" s="202"/>
      <c r="AE87" s="202"/>
      <c r="AF87" s="202"/>
      <c r="AG87" s="202"/>
      <c r="AH87" s="202"/>
      <c r="AI87" s="202"/>
      <c r="AJ87" s="202"/>
      <c r="AK87" s="202"/>
      <c r="AL87" s="202"/>
      <c r="AM87" s="203"/>
    </row>
    <row r="88" spans="1:39" ht="33" customHeight="1" x14ac:dyDescent="0.3">
      <c r="A88" s="31" t="s">
        <v>172</v>
      </c>
      <c r="B88" s="34" t="s">
        <v>173</v>
      </c>
      <c r="C88" s="33" t="s">
        <v>21</v>
      </c>
      <c r="D88" s="56"/>
      <c r="E88" s="199"/>
      <c r="F88" s="25">
        <f t="shared" si="4"/>
        <v>0</v>
      </c>
      <c r="G88" s="200">
        <f t="shared" si="6"/>
        <v>0</v>
      </c>
      <c r="H88" s="204">
        <f t="shared" si="5"/>
        <v>0</v>
      </c>
      <c r="I88" s="202"/>
      <c r="J88" s="202"/>
      <c r="K88" s="202"/>
      <c r="L88" s="202"/>
      <c r="M88" s="202"/>
      <c r="N88" s="202"/>
      <c r="O88" s="202"/>
      <c r="P88" s="202"/>
      <c r="Q88" s="202"/>
      <c r="R88" s="202"/>
      <c r="S88" s="202"/>
      <c r="T88" s="202"/>
      <c r="U88" s="202"/>
      <c r="V88" s="202"/>
      <c r="W88" s="202"/>
      <c r="X88" s="202"/>
      <c r="Y88" s="202"/>
      <c r="Z88" s="202"/>
      <c r="AA88" s="202"/>
      <c r="AB88" s="202"/>
      <c r="AC88" s="202"/>
      <c r="AD88" s="202"/>
      <c r="AE88" s="202"/>
      <c r="AF88" s="202"/>
      <c r="AG88" s="202"/>
      <c r="AH88" s="202"/>
      <c r="AI88" s="202"/>
      <c r="AJ88" s="202"/>
      <c r="AK88" s="202"/>
      <c r="AL88" s="202"/>
      <c r="AM88" s="203"/>
    </row>
    <row r="89" spans="1:39" ht="33" customHeight="1" x14ac:dyDescent="0.3">
      <c r="A89" s="31" t="s">
        <v>174</v>
      </c>
      <c r="B89" s="34" t="s">
        <v>175</v>
      </c>
      <c r="C89" s="33" t="s">
        <v>21</v>
      </c>
      <c r="D89" s="56"/>
      <c r="E89" s="199"/>
      <c r="F89" s="25">
        <f t="shared" si="4"/>
        <v>0</v>
      </c>
      <c r="G89" s="200">
        <f t="shared" si="6"/>
        <v>0</v>
      </c>
      <c r="H89" s="204">
        <f t="shared" si="5"/>
        <v>0</v>
      </c>
      <c r="I89" s="202"/>
      <c r="J89" s="202"/>
      <c r="K89" s="202"/>
      <c r="L89" s="202"/>
      <c r="M89" s="202"/>
      <c r="N89" s="202"/>
      <c r="O89" s="202"/>
      <c r="P89" s="202"/>
      <c r="Q89" s="202"/>
      <c r="R89" s="202"/>
      <c r="S89" s="202"/>
      <c r="T89" s="202"/>
      <c r="U89" s="202"/>
      <c r="V89" s="202"/>
      <c r="W89" s="202"/>
      <c r="X89" s="202"/>
      <c r="Y89" s="202"/>
      <c r="Z89" s="202"/>
      <c r="AA89" s="202"/>
      <c r="AB89" s="202"/>
      <c r="AC89" s="202"/>
      <c r="AD89" s="202"/>
      <c r="AE89" s="202"/>
      <c r="AF89" s="202"/>
      <c r="AG89" s="202"/>
      <c r="AH89" s="202"/>
      <c r="AI89" s="202"/>
      <c r="AJ89" s="202"/>
      <c r="AK89" s="202"/>
      <c r="AL89" s="202"/>
      <c r="AM89" s="203"/>
    </row>
    <row r="90" spans="1:39" ht="33" customHeight="1" x14ac:dyDescent="0.3">
      <c r="A90" s="31" t="s">
        <v>176</v>
      </c>
      <c r="B90" s="34" t="s">
        <v>177</v>
      </c>
      <c r="C90" s="33" t="s">
        <v>21</v>
      </c>
      <c r="D90" s="56"/>
      <c r="E90" s="199"/>
      <c r="F90" s="25">
        <f t="shared" si="4"/>
        <v>0</v>
      </c>
      <c r="G90" s="200">
        <f t="shared" si="6"/>
        <v>0</v>
      </c>
      <c r="H90" s="204">
        <f t="shared" si="5"/>
        <v>0</v>
      </c>
      <c r="I90" s="202"/>
      <c r="J90" s="202"/>
      <c r="K90" s="202"/>
      <c r="L90" s="202"/>
      <c r="M90" s="202"/>
      <c r="N90" s="202"/>
      <c r="O90" s="202"/>
      <c r="P90" s="202"/>
      <c r="Q90" s="202"/>
      <c r="R90" s="202"/>
      <c r="S90" s="202"/>
      <c r="T90" s="202"/>
      <c r="U90" s="202"/>
      <c r="V90" s="202"/>
      <c r="W90" s="202"/>
      <c r="X90" s="202"/>
      <c r="Y90" s="202"/>
      <c r="Z90" s="202"/>
      <c r="AA90" s="202"/>
      <c r="AB90" s="202"/>
      <c r="AC90" s="202"/>
      <c r="AD90" s="202"/>
      <c r="AE90" s="202"/>
      <c r="AF90" s="202"/>
      <c r="AG90" s="202"/>
      <c r="AH90" s="202"/>
      <c r="AI90" s="202"/>
      <c r="AJ90" s="202"/>
      <c r="AK90" s="202"/>
      <c r="AL90" s="202"/>
      <c r="AM90" s="203"/>
    </row>
    <row r="91" spans="1:39" ht="33" customHeight="1" x14ac:dyDescent="0.3">
      <c r="A91" s="31" t="s">
        <v>178</v>
      </c>
      <c r="B91" s="44" t="s">
        <v>179</v>
      </c>
      <c r="C91" s="33" t="s">
        <v>21</v>
      </c>
      <c r="D91" s="56"/>
      <c r="E91" s="199"/>
      <c r="F91" s="25">
        <f t="shared" si="4"/>
        <v>0</v>
      </c>
      <c r="G91" s="200">
        <f t="shared" si="6"/>
        <v>0</v>
      </c>
      <c r="H91" s="204">
        <f t="shared" si="5"/>
        <v>0</v>
      </c>
      <c r="I91" s="202"/>
      <c r="J91" s="202"/>
      <c r="K91" s="202"/>
      <c r="L91" s="202"/>
      <c r="M91" s="202"/>
      <c r="N91" s="202"/>
      <c r="O91" s="202"/>
      <c r="P91" s="202"/>
      <c r="Q91" s="202"/>
      <c r="R91" s="202"/>
      <c r="S91" s="202"/>
      <c r="T91" s="202"/>
      <c r="U91" s="202"/>
      <c r="V91" s="202"/>
      <c r="W91" s="202"/>
      <c r="X91" s="202"/>
      <c r="Y91" s="202"/>
      <c r="Z91" s="202"/>
      <c r="AA91" s="202"/>
      <c r="AB91" s="202"/>
      <c r="AC91" s="202"/>
      <c r="AD91" s="202"/>
      <c r="AE91" s="202"/>
      <c r="AF91" s="202"/>
      <c r="AG91" s="202"/>
      <c r="AH91" s="202"/>
      <c r="AI91" s="202"/>
      <c r="AJ91" s="202"/>
      <c r="AK91" s="202"/>
      <c r="AL91" s="202"/>
      <c r="AM91" s="203"/>
    </row>
    <row r="92" spans="1:39" ht="33" customHeight="1" x14ac:dyDescent="0.3">
      <c r="A92" s="31" t="s">
        <v>180</v>
      </c>
      <c r="B92" s="45" t="s">
        <v>181</v>
      </c>
      <c r="C92" s="35" t="s">
        <v>182</v>
      </c>
      <c r="D92" s="56"/>
      <c r="E92" s="199"/>
      <c r="F92" s="25">
        <f t="shared" si="4"/>
        <v>0</v>
      </c>
      <c r="G92" s="200">
        <f t="shared" si="6"/>
        <v>0</v>
      </c>
      <c r="H92" s="204">
        <f t="shared" si="5"/>
        <v>0</v>
      </c>
      <c r="I92" s="202"/>
      <c r="J92" s="202"/>
      <c r="K92" s="202"/>
      <c r="L92" s="202"/>
      <c r="M92" s="202"/>
      <c r="N92" s="202"/>
      <c r="O92" s="202"/>
      <c r="P92" s="202"/>
      <c r="Q92" s="202"/>
      <c r="R92" s="202"/>
      <c r="S92" s="202"/>
      <c r="T92" s="202"/>
      <c r="U92" s="202"/>
      <c r="V92" s="202"/>
      <c r="W92" s="202"/>
      <c r="X92" s="202"/>
      <c r="Y92" s="202"/>
      <c r="Z92" s="202"/>
      <c r="AA92" s="202"/>
      <c r="AB92" s="202"/>
      <c r="AC92" s="202"/>
      <c r="AD92" s="202"/>
      <c r="AE92" s="202"/>
      <c r="AF92" s="202"/>
      <c r="AG92" s="202"/>
      <c r="AH92" s="202"/>
      <c r="AI92" s="202"/>
      <c r="AJ92" s="202"/>
      <c r="AK92" s="202"/>
      <c r="AL92" s="202"/>
      <c r="AM92" s="203"/>
    </row>
    <row r="93" spans="1:39" ht="33" customHeight="1" x14ac:dyDescent="0.3">
      <c r="A93" s="31" t="s">
        <v>183</v>
      </c>
      <c r="B93" s="45" t="s">
        <v>184</v>
      </c>
      <c r="C93" s="35" t="s">
        <v>182</v>
      </c>
      <c r="D93" s="56"/>
      <c r="E93" s="199"/>
      <c r="F93" s="25">
        <f t="shared" si="4"/>
        <v>0</v>
      </c>
      <c r="G93" s="200">
        <f t="shared" si="6"/>
        <v>0</v>
      </c>
      <c r="H93" s="204">
        <f t="shared" si="5"/>
        <v>0</v>
      </c>
      <c r="I93" s="202"/>
      <c r="J93" s="202"/>
      <c r="K93" s="202"/>
      <c r="L93" s="202"/>
      <c r="M93" s="202"/>
      <c r="N93" s="202"/>
      <c r="O93" s="202"/>
      <c r="P93" s="202"/>
      <c r="Q93" s="202"/>
      <c r="R93" s="202"/>
      <c r="S93" s="202"/>
      <c r="T93" s="202"/>
      <c r="U93" s="202"/>
      <c r="V93" s="202"/>
      <c r="W93" s="202"/>
      <c r="X93" s="202"/>
      <c r="Y93" s="202"/>
      <c r="Z93" s="202"/>
      <c r="AA93" s="202"/>
      <c r="AB93" s="202"/>
      <c r="AC93" s="202"/>
      <c r="AD93" s="202"/>
      <c r="AE93" s="202"/>
      <c r="AF93" s="202"/>
      <c r="AG93" s="202"/>
      <c r="AH93" s="202"/>
      <c r="AI93" s="202"/>
      <c r="AJ93" s="202"/>
      <c r="AK93" s="202"/>
      <c r="AL93" s="202"/>
      <c r="AM93" s="203"/>
    </row>
    <row r="94" spans="1:39" ht="33" customHeight="1" x14ac:dyDescent="0.3">
      <c r="A94" s="31" t="s">
        <v>185</v>
      </c>
      <c r="B94" s="46" t="s">
        <v>186</v>
      </c>
      <c r="C94" s="35" t="s">
        <v>182</v>
      </c>
      <c r="D94" s="56"/>
      <c r="E94" s="199"/>
      <c r="F94" s="25">
        <f t="shared" si="4"/>
        <v>0</v>
      </c>
      <c r="G94" s="200">
        <f t="shared" si="6"/>
        <v>0</v>
      </c>
      <c r="H94" s="204">
        <f t="shared" si="5"/>
        <v>0</v>
      </c>
      <c r="I94" s="202"/>
      <c r="J94" s="202"/>
      <c r="K94" s="202"/>
      <c r="L94" s="202"/>
      <c r="M94" s="202"/>
      <c r="N94" s="202"/>
      <c r="O94" s="202"/>
      <c r="P94" s="202"/>
      <c r="Q94" s="202"/>
      <c r="R94" s="202"/>
      <c r="S94" s="202"/>
      <c r="T94" s="202"/>
      <c r="U94" s="202"/>
      <c r="V94" s="202"/>
      <c r="W94" s="202"/>
      <c r="X94" s="202"/>
      <c r="Y94" s="202"/>
      <c r="Z94" s="202"/>
      <c r="AA94" s="202"/>
      <c r="AB94" s="202"/>
      <c r="AC94" s="202"/>
      <c r="AD94" s="202"/>
      <c r="AE94" s="202"/>
      <c r="AF94" s="202"/>
      <c r="AG94" s="202"/>
      <c r="AH94" s="202"/>
      <c r="AI94" s="202"/>
      <c r="AJ94" s="202"/>
      <c r="AK94" s="202"/>
      <c r="AL94" s="202"/>
      <c r="AM94" s="203"/>
    </row>
    <row r="95" spans="1:39" ht="33" customHeight="1" x14ac:dyDescent="0.3">
      <c r="A95" s="31" t="s">
        <v>187</v>
      </c>
      <c r="B95" s="34" t="s">
        <v>188</v>
      </c>
      <c r="C95" s="35" t="s">
        <v>182</v>
      </c>
      <c r="D95" s="56"/>
      <c r="E95" s="199"/>
      <c r="F95" s="25">
        <f t="shared" si="4"/>
        <v>0</v>
      </c>
      <c r="G95" s="200">
        <f t="shared" si="6"/>
        <v>0</v>
      </c>
      <c r="H95" s="204">
        <f t="shared" si="5"/>
        <v>0</v>
      </c>
      <c r="I95" s="202"/>
      <c r="J95" s="202"/>
      <c r="K95" s="202"/>
      <c r="L95" s="202"/>
      <c r="M95" s="202"/>
      <c r="N95" s="202"/>
      <c r="O95" s="202"/>
      <c r="P95" s="202"/>
      <c r="Q95" s="202"/>
      <c r="R95" s="202"/>
      <c r="S95" s="202"/>
      <c r="T95" s="202"/>
      <c r="U95" s="202"/>
      <c r="V95" s="202"/>
      <c r="W95" s="202"/>
      <c r="X95" s="202"/>
      <c r="Y95" s="202"/>
      <c r="Z95" s="202"/>
      <c r="AA95" s="202"/>
      <c r="AB95" s="202"/>
      <c r="AC95" s="202"/>
      <c r="AD95" s="202"/>
      <c r="AE95" s="202"/>
      <c r="AF95" s="202"/>
      <c r="AG95" s="202"/>
      <c r="AH95" s="202"/>
      <c r="AI95" s="202"/>
      <c r="AJ95" s="202"/>
      <c r="AK95" s="202"/>
      <c r="AL95" s="202"/>
      <c r="AM95" s="203"/>
    </row>
    <row r="96" spans="1:39" ht="33" customHeight="1" x14ac:dyDescent="0.3">
      <c r="A96" s="31" t="s">
        <v>189</v>
      </c>
      <c r="B96" s="34" t="s">
        <v>190</v>
      </c>
      <c r="C96" s="35" t="s">
        <v>21</v>
      </c>
      <c r="D96" s="56"/>
      <c r="E96" s="199"/>
      <c r="F96" s="25">
        <f t="shared" si="4"/>
        <v>0</v>
      </c>
      <c r="G96" s="200">
        <f t="shared" si="6"/>
        <v>0</v>
      </c>
      <c r="H96" s="204">
        <f t="shared" si="5"/>
        <v>0</v>
      </c>
      <c r="I96" s="202"/>
      <c r="J96" s="202"/>
      <c r="K96" s="202"/>
      <c r="L96" s="202"/>
      <c r="M96" s="202"/>
      <c r="N96" s="202"/>
      <c r="O96" s="202"/>
      <c r="P96" s="202"/>
      <c r="Q96" s="202"/>
      <c r="R96" s="202"/>
      <c r="S96" s="202"/>
      <c r="T96" s="202"/>
      <c r="U96" s="202"/>
      <c r="V96" s="202"/>
      <c r="W96" s="202"/>
      <c r="X96" s="202"/>
      <c r="Y96" s="202"/>
      <c r="Z96" s="202"/>
      <c r="AA96" s="202"/>
      <c r="AB96" s="202"/>
      <c r="AC96" s="202"/>
      <c r="AD96" s="202"/>
      <c r="AE96" s="202"/>
      <c r="AF96" s="202"/>
      <c r="AG96" s="202"/>
      <c r="AH96" s="202"/>
      <c r="AI96" s="202"/>
      <c r="AJ96" s="202"/>
      <c r="AK96" s="202"/>
      <c r="AL96" s="202"/>
      <c r="AM96" s="203"/>
    </row>
    <row r="97" spans="1:39" ht="33" customHeight="1" x14ac:dyDescent="0.3">
      <c r="A97" s="31" t="s">
        <v>191</v>
      </c>
      <c r="B97" s="46" t="s">
        <v>192</v>
      </c>
      <c r="C97" s="35" t="s">
        <v>21</v>
      </c>
      <c r="D97" s="56"/>
      <c r="E97" s="199"/>
      <c r="F97" s="25">
        <f t="shared" si="4"/>
        <v>0</v>
      </c>
      <c r="G97" s="200">
        <f t="shared" si="6"/>
        <v>0</v>
      </c>
      <c r="H97" s="204">
        <f t="shared" si="5"/>
        <v>0</v>
      </c>
      <c r="I97" s="202"/>
      <c r="J97" s="202"/>
      <c r="K97" s="202"/>
      <c r="L97" s="202"/>
      <c r="M97" s="202"/>
      <c r="N97" s="202"/>
      <c r="O97" s="202"/>
      <c r="P97" s="202"/>
      <c r="Q97" s="202"/>
      <c r="R97" s="202"/>
      <c r="S97" s="202"/>
      <c r="T97" s="202"/>
      <c r="U97" s="202"/>
      <c r="V97" s="202"/>
      <c r="W97" s="202"/>
      <c r="X97" s="202"/>
      <c r="Y97" s="202"/>
      <c r="Z97" s="202"/>
      <c r="AA97" s="202"/>
      <c r="AB97" s="202"/>
      <c r="AC97" s="202"/>
      <c r="AD97" s="202"/>
      <c r="AE97" s="202"/>
      <c r="AF97" s="202"/>
      <c r="AG97" s="202"/>
      <c r="AH97" s="202"/>
      <c r="AI97" s="202"/>
      <c r="AJ97" s="202"/>
      <c r="AK97" s="202"/>
      <c r="AL97" s="202"/>
      <c r="AM97" s="203"/>
    </row>
    <row r="98" spans="1:39" ht="33" customHeight="1" x14ac:dyDescent="0.3">
      <c r="A98" s="31" t="s">
        <v>193</v>
      </c>
      <c r="B98" s="46" t="s">
        <v>194</v>
      </c>
      <c r="C98" s="35" t="s">
        <v>21</v>
      </c>
      <c r="D98" s="56"/>
      <c r="E98" s="199"/>
      <c r="F98" s="25">
        <f t="shared" si="4"/>
        <v>0</v>
      </c>
      <c r="G98" s="200">
        <f t="shared" si="6"/>
        <v>0</v>
      </c>
      <c r="H98" s="204">
        <f t="shared" si="5"/>
        <v>0</v>
      </c>
      <c r="I98" s="202"/>
      <c r="J98" s="202"/>
      <c r="K98" s="202"/>
      <c r="L98" s="202"/>
      <c r="M98" s="202"/>
      <c r="N98" s="202"/>
      <c r="O98" s="202"/>
      <c r="P98" s="202"/>
      <c r="Q98" s="202"/>
      <c r="R98" s="202"/>
      <c r="S98" s="202"/>
      <c r="T98" s="202"/>
      <c r="U98" s="202"/>
      <c r="V98" s="202"/>
      <c r="W98" s="202"/>
      <c r="X98" s="202"/>
      <c r="Y98" s="202"/>
      <c r="Z98" s="202"/>
      <c r="AA98" s="202"/>
      <c r="AB98" s="202"/>
      <c r="AC98" s="202"/>
      <c r="AD98" s="202"/>
      <c r="AE98" s="202"/>
      <c r="AF98" s="202"/>
      <c r="AG98" s="202"/>
      <c r="AH98" s="202"/>
      <c r="AI98" s="202"/>
      <c r="AJ98" s="202"/>
      <c r="AK98" s="202"/>
      <c r="AL98" s="202"/>
      <c r="AM98" s="203"/>
    </row>
    <row r="99" spans="1:39" ht="33" customHeight="1" x14ac:dyDescent="0.3">
      <c r="A99" s="31" t="s">
        <v>195</v>
      </c>
      <c r="B99" s="46" t="s">
        <v>196</v>
      </c>
      <c r="C99" s="35" t="s">
        <v>21</v>
      </c>
      <c r="D99" s="56"/>
      <c r="E99" s="199"/>
      <c r="F99" s="25">
        <f t="shared" si="4"/>
        <v>0</v>
      </c>
      <c r="G99" s="200">
        <f t="shared" si="6"/>
        <v>0</v>
      </c>
      <c r="H99" s="204">
        <f t="shared" si="5"/>
        <v>0</v>
      </c>
      <c r="I99" s="202"/>
      <c r="J99" s="202"/>
      <c r="K99" s="202"/>
      <c r="L99" s="202"/>
      <c r="M99" s="202"/>
      <c r="N99" s="202"/>
      <c r="O99" s="202"/>
      <c r="P99" s="202"/>
      <c r="Q99" s="202"/>
      <c r="R99" s="202"/>
      <c r="S99" s="202"/>
      <c r="T99" s="202"/>
      <c r="U99" s="202"/>
      <c r="V99" s="202"/>
      <c r="W99" s="202"/>
      <c r="X99" s="202"/>
      <c r="Y99" s="202"/>
      <c r="Z99" s="202"/>
      <c r="AA99" s="202"/>
      <c r="AB99" s="202"/>
      <c r="AC99" s="202"/>
      <c r="AD99" s="202"/>
      <c r="AE99" s="202"/>
      <c r="AF99" s="202"/>
      <c r="AG99" s="202"/>
      <c r="AH99" s="202"/>
      <c r="AI99" s="202"/>
      <c r="AJ99" s="202"/>
      <c r="AK99" s="202"/>
      <c r="AL99" s="202"/>
      <c r="AM99" s="203"/>
    </row>
    <row r="100" spans="1:39" ht="33" customHeight="1" x14ac:dyDescent="0.3">
      <c r="A100" s="31" t="s">
        <v>197</v>
      </c>
      <c r="B100" s="34" t="s">
        <v>198</v>
      </c>
      <c r="C100" s="35" t="s">
        <v>21</v>
      </c>
      <c r="D100" s="56"/>
      <c r="E100" s="199"/>
      <c r="F100" s="25">
        <f t="shared" si="4"/>
        <v>0</v>
      </c>
      <c r="G100" s="200">
        <f t="shared" si="6"/>
        <v>0</v>
      </c>
      <c r="H100" s="204">
        <f t="shared" si="5"/>
        <v>0</v>
      </c>
      <c r="I100" s="202"/>
      <c r="J100" s="202"/>
      <c r="K100" s="202"/>
      <c r="L100" s="202"/>
      <c r="M100" s="202"/>
      <c r="N100" s="202"/>
      <c r="O100" s="202"/>
      <c r="P100" s="202"/>
      <c r="Q100" s="202"/>
      <c r="R100" s="202"/>
      <c r="S100" s="202"/>
      <c r="T100" s="202"/>
      <c r="U100" s="202"/>
      <c r="V100" s="202"/>
      <c r="W100" s="202"/>
      <c r="X100" s="202"/>
      <c r="Y100" s="202"/>
      <c r="Z100" s="202"/>
      <c r="AA100" s="202"/>
      <c r="AB100" s="202"/>
      <c r="AC100" s="202"/>
      <c r="AD100" s="202"/>
      <c r="AE100" s="202"/>
      <c r="AF100" s="202"/>
      <c r="AG100" s="202"/>
      <c r="AH100" s="202"/>
      <c r="AI100" s="202"/>
      <c r="AJ100" s="202"/>
      <c r="AK100" s="202"/>
      <c r="AL100" s="202"/>
      <c r="AM100" s="203"/>
    </row>
    <row r="101" spans="1:39" ht="33" customHeight="1" x14ac:dyDescent="0.3">
      <c r="A101" s="31" t="s">
        <v>199</v>
      </c>
      <c r="B101" s="34" t="s">
        <v>200</v>
      </c>
      <c r="C101" s="35" t="s">
        <v>182</v>
      </c>
      <c r="D101" s="56"/>
      <c r="E101" s="199"/>
      <c r="F101" s="25">
        <f t="shared" si="4"/>
        <v>0</v>
      </c>
      <c r="G101" s="200">
        <f t="shared" si="6"/>
        <v>0</v>
      </c>
      <c r="H101" s="204">
        <f t="shared" si="5"/>
        <v>0</v>
      </c>
      <c r="I101" s="202"/>
      <c r="J101" s="202"/>
      <c r="K101" s="202"/>
      <c r="L101" s="202"/>
      <c r="M101" s="202"/>
      <c r="N101" s="202"/>
      <c r="O101" s="202"/>
      <c r="P101" s="202"/>
      <c r="Q101" s="202"/>
      <c r="R101" s="202"/>
      <c r="S101" s="202"/>
      <c r="T101" s="202"/>
      <c r="U101" s="202"/>
      <c r="V101" s="202"/>
      <c r="W101" s="202"/>
      <c r="X101" s="202"/>
      <c r="Y101" s="202"/>
      <c r="Z101" s="202"/>
      <c r="AA101" s="202"/>
      <c r="AB101" s="202"/>
      <c r="AC101" s="202"/>
      <c r="AD101" s="202"/>
      <c r="AE101" s="202"/>
      <c r="AF101" s="202"/>
      <c r="AG101" s="202"/>
      <c r="AH101" s="202"/>
      <c r="AI101" s="202"/>
      <c r="AJ101" s="202"/>
      <c r="AK101" s="202"/>
      <c r="AL101" s="202"/>
      <c r="AM101" s="203"/>
    </row>
    <row r="102" spans="1:39" ht="33" customHeight="1" x14ac:dyDescent="0.3">
      <c r="A102" s="31" t="s">
        <v>201</v>
      </c>
      <c r="B102" s="34" t="s">
        <v>202</v>
      </c>
      <c r="C102" s="35" t="s">
        <v>203</v>
      </c>
      <c r="D102" s="56"/>
      <c r="E102" s="199"/>
      <c r="F102" s="25">
        <f t="shared" si="4"/>
        <v>0</v>
      </c>
      <c r="G102" s="200">
        <f t="shared" si="6"/>
        <v>0</v>
      </c>
      <c r="H102" s="204">
        <f t="shared" si="5"/>
        <v>0</v>
      </c>
      <c r="I102" s="202"/>
      <c r="J102" s="202"/>
      <c r="K102" s="202"/>
      <c r="L102" s="202"/>
      <c r="M102" s="202"/>
      <c r="N102" s="202"/>
      <c r="O102" s="202"/>
      <c r="P102" s="202"/>
      <c r="Q102" s="202"/>
      <c r="R102" s="202"/>
      <c r="S102" s="202"/>
      <c r="T102" s="202"/>
      <c r="U102" s="202"/>
      <c r="V102" s="202"/>
      <c r="W102" s="202"/>
      <c r="X102" s="202"/>
      <c r="Y102" s="202"/>
      <c r="Z102" s="202"/>
      <c r="AA102" s="202"/>
      <c r="AB102" s="202"/>
      <c r="AC102" s="202"/>
      <c r="AD102" s="202"/>
      <c r="AE102" s="202"/>
      <c r="AF102" s="202"/>
      <c r="AG102" s="202"/>
      <c r="AH102" s="202"/>
      <c r="AI102" s="202"/>
      <c r="AJ102" s="202"/>
      <c r="AK102" s="202"/>
      <c r="AL102" s="202"/>
      <c r="AM102" s="203"/>
    </row>
    <row r="103" spans="1:39" ht="33" customHeight="1" x14ac:dyDescent="0.3">
      <c r="A103" s="31" t="s">
        <v>204</v>
      </c>
      <c r="B103" s="45" t="s">
        <v>205</v>
      </c>
      <c r="C103" s="35" t="s">
        <v>21</v>
      </c>
      <c r="D103" s="56"/>
      <c r="E103" s="199"/>
      <c r="F103" s="25">
        <f t="shared" si="4"/>
        <v>0</v>
      </c>
      <c r="G103" s="200">
        <f t="shared" si="6"/>
        <v>0</v>
      </c>
      <c r="H103" s="204">
        <f t="shared" si="5"/>
        <v>0</v>
      </c>
      <c r="I103" s="202"/>
      <c r="J103" s="202"/>
      <c r="K103" s="202"/>
      <c r="L103" s="202"/>
      <c r="M103" s="202"/>
      <c r="N103" s="202"/>
      <c r="O103" s="202"/>
      <c r="P103" s="202"/>
      <c r="Q103" s="202"/>
      <c r="R103" s="202"/>
      <c r="S103" s="202"/>
      <c r="T103" s="202"/>
      <c r="U103" s="202"/>
      <c r="V103" s="202"/>
      <c r="W103" s="202"/>
      <c r="X103" s="202"/>
      <c r="Y103" s="202"/>
      <c r="Z103" s="202"/>
      <c r="AA103" s="202"/>
      <c r="AB103" s="202"/>
      <c r="AC103" s="202"/>
      <c r="AD103" s="202"/>
      <c r="AE103" s="202"/>
      <c r="AF103" s="202"/>
      <c r="AG103" s="202"/>
      <c r="AH103" s="202"/>
      <c r="AI103" s="202"/>
      <c r="AJ103" s="202"/>
      <c r="AK103" s="202"/>
      <c r="AL103" s="202"/>
      <c r="AM103" s="203"/>
    </row>
    <row r="104" spans="1:39" ht="33" customHeight="1" x14ac:dyDescent="0.3">
      <c r="A104" s="31" t="s">
        <v>206</v>
      </c>
      <c r="B104" s="45" t="s">
        <v>207</v>
      </c>
      <c r="C104" s="35" t="s">
        <v>182</v>
      </c>
      <c r="D104" s="56"/>
      <c r="E104" s="199"/>
      <c r="F104" s="25">
        <f t="shared" si="4"/>
        <v>0</v>
      </c>
      <c r="G104" s="200">
        <f t="shared" si="6"/>
        <v>0</v>
      </c>
      <c r="H104" s="204">
        <f t="shared" si="5"/>
        <v>0</v>
      </c>
      <c r="I104" s="202"/>
      <c r="J104" s="202"/>
      <c r="K104" s="202"/>
      <c r="L104" s="202"/>
      <c r="M104" s="202"/>
      <c r="N104" s="202"/>
      <c r="O104" s="202"/>
      <c r="P104" s="202"/>
      <c r="Q104" s="202"/>
      <c r="R104" s="202"/>
      <c r="S104" s="202"/>
      <c r="T104" s="202"/>
      <c r="U104" s="202"/>
      <c r="V104" s="202"/>
      <c r="W104" s="202"/>
      <c r="X104" s="202"/>
      <c r="Y104" s="202"/>
      <c r="Z104" s="202"/>
      <c r="AA104" s="202"/>
      <c r="AB104" s="202"/>
      <c r="AC104" s="202"/>
      <c r="AD104" s="202"/>
      <c r="AE104" s="202"/>
      <c r="AF104" s="202"/>
      <c r="AG104" s="202"/>
      <c r="AH104" s="202"/>
      <c r="AI104" s="202"/>
      <c r="AJ104" s="202"/>
      <c r="AK104" s="202"/>
      <c r="AL104" s="202"/>
      <c r="AM104" s="203"/>
    </row>
    <row r="105" spans="1:39" ht="33" customHeight="1" x14ac:dyDescent="0.3">
      <c r="A105" s="31" t="s">
        <v>208</v>
      </c>
      <c r="B105" s="45" t="s">
        <v>209</v>
      </c>
      <c r="C105" s="35" t="s">
        <v>182</v>
      </c>
      <c r="D105" s="56"/>
      <c r="E105" s="199"/>
      <c r="F105" s="25">
        <f t="shared" si="4"/>
        <v>0</v>
      </c>
      <c r="G105" s="200">
        <f t="shared" si="6"/>
        <v>0</v>
      </c>
      <c r="H105" s="204">
        <f t="shared" si="5"/>
        <v>0</v>
      </c>
      <c r="I105" s="202"/>
      <c r="J105" s="202"/>
      <c r="K105" s="202"/>
      <c r="L105" s="202"/>
      <c r="M105" s="202"/>
      <c r="N105" s="202"/>
      <c r="O105" s="202"/>
      <c r="P105" s="202"/>
      <c r="Q105" s="202"/>
      <c r="R105" s="202"/>
      <c r="S105" s="202"/>
      <c r="T105" s="202"/>
      <c r="U105" s="202"/>
      <c r="V105" s="202"/>
      <c r="W105" s="202"/>
      <c r="X105" s="202"/>
      <c r="Y105" s="202"/>
      <c r="Z105" s="202"/>
      <c r="AA105" s="202"/>
      <c r="AB105" s="202"/>
      <c r="AC105" s="202"/>
      <c r="AD105" s="202"/>
      <c r="AE105" s="202"/>
      <c r="AF105" s="202"/>
      <c r="AG105" s="202"/>
      <c r="AH105" s="202"/>
      <c r="AI105" s="202"/>
      <c r="AJ105" s="202"/>
      <c r="AK105" s="202"/>
      <c r="AL105" s="202"/>
      <c r="AM105" s="203"/>
    </row>
    <row r="106" spans="1:39" ht="33" customHeight="1" x14ac:dyDescent="0.3">
      <c r="A106" s="31" t="s">
        <v>210</v>
      </c>
      <c r="B106" s="44" t="s">
        <v>211</v>
      </c>
      <c r="C106" s="35" t="s">
        <v>182</v>
      </c>
      <c r="D106" s="56"/>
      <c r="E106" s="199"/>
      <c r="F106" s="25">
        <f t="shared" si="4"/>
        <v>0</v>
      </c>
      <c r="G106" s="200">
        <f t="shared" si="6"/>
        <v>0</v>
      </c>
      <c r="H106" s="204">
        <f t="shared" si="5"/>
        <v>0</v>
      </c>
      <c r="I106" s="202"/>
      <c r="J106" s="202"/>
      <c r="K106" s="202"/>
      <c r="L106" s="202"/>
      <c r="M106" s="202"/>
      <c r="N106" s="202"/>
      <c r="O106" s="202"/>
      <c r="P106" s="202"/>
      <c r="Q106" s="202"/>
      <c r="R106" s="202"/>
      <c r="S106" s="202"/>
      <c r="T106" s="202"/>
      <c r="U106" s="202"/>
      <c r="V106" s="202"/>
      <c r="W106" s="202"/>
      <c r="X106" s="202"/>
      <c r="Y106" s="202"/>
      <c r="Z106" s="202"/>
      <c r="AA106" s="202"/>
      <c r="AB106" s="202"/>
      <c r="AC106" s="202"/>
      <c r="AD106" s="202"/>
      <c r="AE106" s="202"/>
      <c r="AF106" s="202"/>
      <c r="AG106" s="202"/>
      <c r="AH106" s="202"/>
      <c r="AI106" s="202"/>
      <c r="AJ106" s="202"/>
      <c r="AK106" s="202"/>
      <c r="AL106" s="202"/>
      <c r="AM106" s="203"/>
    </row>
    <row r="107" spans="1:39" ht="33" customHeight="1" x14ac:dyDescent="0.3">
      <c r="A107" s="31" t="s">
        <v>212</v>
      </c>
      <c r="B107" s="44" t="s">
        <v>213</v>
      </c>
      <c r="C107" s="35" t="s">
        <v>21</v>
      </c>
      <c r="D107" s="56"/>
      <c r="E107" s="199"/>
      <c r="F107" s="25">
        <f t="shared" si="4"/>
        <v>0</v>
      </c>
      <c r="G107" s="200">
        <f t="shared" si="6"/>
        <v>0</v>
      </c>
      <c r="H107" s="204">
        <f t="shared" si="5"/>
        <v>0</v>
      </c>
      <c r="I107" s="202"/>
      <c r="J107" s="202"/>
      <c r="K107" s="202"/>
      <c r="L107" s="202"/>
      <c r="M107" s="202"/>
      <c r="N107" s="202"/>
      <c r="O107" s="202"/>
      <c r="P107" s="202"/>
      <c r="Q107" s="202"/>
      <c r="R107" s="202"/>
      <c r="S107" s="202"/>
      <c r="T107" s="202"/>
      <c r="U107" s="202"/>
      <c r="V107" s="202"/>
      <c r="W107" s="202"/>
      <c r="X107" s="202"/>
      <c r="Y107" s="202"/>
      <c r="Z107" s="202"/>
      <c r="AA107" s="202"/>
      <c r="AB107" s="202"/>
      <c r="AC107" s="202"/>
      <c r="AD107" s="202"/>
      <c r="AE107" s="202"/>
      <c r="AF107" s="202"/>
      <c r="AG107" s="202"/>
      <c r="AH107" s="202"/>
      <c r="AI107" s="202"/>
      <c r="AJ107" s="202"/>
      <c r="AK107" s="202"/>
      <c r="AL107" s="202"/>
      <c r="AM107" s="203"/>
    </row>
    <row r="108" spans="1:39" ht="33" customHeight="1" x14ac:dyDescent="0.3">
      <c r="A108" s="31" t="s">
        <v>214</v>
      </c>
      <c r="B108" s="34" t="s">
        <v>215</v>
      </c>
      <c r="C108" s="35" t="s">
        <v>21</v>
      </c>
      <c r="D108" s="56"/>
      <c r="E108" s="199"/>
      <c r="F108" s="25">
        <f t="shared" si="4"/>
        <v>0</v>
      </c>
      <c r="G108" s="200">
        <f t="shared" si="6"/>
        <v>0</v>
      </c>
      <c r="H108" s="204">
        <f t="shared" si="5"/>
        <v>0</v>
      </c>
      <c r="I108" s="202"/>
      <c r="J108" s="202"/>
      <c r="K108" s="202"/>
      <c r="L108" s="202"/>
      <c r="M108" s="202"/>
      <c r="N108" s="202"/>
      <c r="O108" s="202"/>
      <c r="P108" s="202"/>
      <c r="Q108" s="202"/>
      <c r="R108" s="202"/>
      <c r="S108" s="202"/>
      <c r="T108" s="202"/>
      <c r="U108" s="202"/>
      <c r="V108" s="202"/>
      <c r="W108" s="202"/>
      <c r="X108" s="202"/>
      <c r="Y108" s="202"/>
      <c r="Z108" s="202"/>
      <c r="AA108" s="202"/>
      <c r="AB108" s="202"/>
      <c r="AC108" s="202"/>
      <c r="AD108" s="202"/>
      <c r="AE108" s="202"/>
      <c r="AF108" s="202"/>
      <c r="AG108" s="202"/>
      <c r="AH108" s="202"/>
      <c r="AI108" s="202"/>
      <c r="AJ108" s="202"/>
      <c r="AK108" s="202"/>
      <c r="AL108" s="202"/>
      <c r="AM108" s="203"/>
    </row>
    <row r="109" spans="1:39" ht="33" customHeight="1" x14ac:dyDescent="0.3">
      <c r="A109" s="31" t="s">
        <v>216</v>
      </c>
      <c r="B109" s="32" t="s">
        <v>217</v>
      </c>
      <c r="C109" s="35" t="s">
        <v>21</v>
      </c>
      <c r="D109" s="56"/>
      <c r="E109" s="199"/>
      <c r="F109" s="25">
        <f t="shared" si="4"/>
        <v>0</v>
      </c>
      <c r="G109" s="200">
        <f t="shared" si="6"/>
        <v>0</v>
      </c>
      <c r="H109" s="204">
        <f t="shared" si="5"/>
        <v>0</v>
      </c>
      <c r="I109" s="202"/>
      <c r="J109" s="202"/>
      <c r="K109" s="202"/>
      <c r="L109" s="202"/>
      <c r="M109" s="202"/>
      <c r="N109" s="202"/>
      <c r="O109" s="202"/>
      <c r="P109" s="202"/>
      <c r="Q109" s="202"/>
      <c r="R109" s="202"/>
      <c r="S109" s="202"/>
      <c r="T109" s="202"/>
      <c r="U109" s="202"/>
      <c r="V109" s="202"/>
      <c r="W109" s="202"/>
      <c r="X109" s="202"/>
      <c r="Y109" s="202"/>
      <c r="Z109" s="202"/>
      <c r="AA109" s="202"/>
      <c r="AB109" s="202"/>
      <c r="AC109" s="202"/>
      <c r="AD109" s="202"/>
      <c r="AE109" s="202"/>
      <c r="AF109" s="202"/>
      <c r="AG109" s="202"/>
      <c r="AH109" s="202"/>
      <c r="AI109" s="202"/>
      <c r="AJ109" s="202"/>
      <c r="AK109" s="202"/>
      <c r="AL109" s="202"/>
      <c r="AM109" s="203"/>
    </row>
    <row r="110" spans="1:39" ht="33" customHeight="1" x14ac:dyDescent="0.3">
      <c r="A110" s="31" t="s">
        <v>218</v>
      </c>
      <c r="B110" s="32" t="s">
        <v>219</v>
      </c>
      <c r="C110" s="35" t="s">
        <v>220</v>
      </c>
      <c r="D110" s="56"/>
      <c r="E110" s="199"/>
      <c r="F110" s="25">
        <f t="shared" si="4"/>
        <v>0</v>
      </c>
      <c r="G110" s="200">
        <f t="shared" si="6"/>
        <v>0</v>
      </c>
      <c r="H110" s="204">
        <f t="shared" si="5"/>
        <v>0</v>
      </c>
      <c r="I110" s="202"/>
      <c r="J110" s="202"/>
      <c r="K110" s="202"/>
      <c r="L110" s="202"/>
      <c r="M110" s="202"/>
      <c r="N110" s="202"/>
      <c r="O110" s="202"/>
      <c r="P110" s="202"/>
      <c r="Q110" s="202"/>
      <c r="R110" s="202"/>
      <c r="S110" s="202"/>
      <c r="T110" s="202"/>
      <c r="U110" s="202"/>
      <c r="V110" s="202"/>
      <c r="W110" s="202"/>
      <c r="X110" s="202"/>
      <c r="Y110" s="202"/>
      <c r="Z110" s="202"/>
      <c r="AA110" s="202"/>
      <c r="AB110" s="202"/>
      <c r="AC110" s="202"/>
      <c r="AD110" s="202"/>
      <c r="AE110" s="202"/>
      <c r="AF110" s="202"/>
      <c r="AG110" s="202"/>
      <c r="AH110" s="202"/>
      <c r="AI110" s="202"/>
      <c r="AJ110" s="202"/>
      <c r="AK110" s="202"/>
      <c r="AL110" s="202"/>
      <c r="AM110" s="203"/>
    </row>
    <row r="111" spans="1:39" ht="33" customHeight="1" x14ac:dyDescent="0.3">
      <c r="A111" s="31" t="s">
        <v>221</v>
      </c>
      <c r="B111" s="34" t="s">
        <v>222</v>
      </c>
      <c r="C111" s="35" t="s">
        <v>220</v>
      </c>
      <c r="D111" s="56"/>
      <c r="E111" s="199"/>
      <c r="F111" s="25">
        <f t="shared" si="4"/>
        <v>0</v>
      </c>
      <c r="G111" s="200">
        <f t="shared" si="6"/>
        <v>0</v>
      </c>
      <c r="H111" s="204">
        <f t="shared" si="5"/>
        <v>0</v>
      </c>
      <c r="I111" s="202"/>
      <c r="J111" s="202"/>
      <c r="K111" s="202"/>
      <c r="L111" s="202"/>
      <c r="M111" s="202"/>
      <c r="N111" s="202"/>
      <c r="O111" s="202"/>
      <c r="P111" s="202"/>
      <c r="Q111" s="202"/>
      <c r="R111" s="202"/>
      <c r="S111" s="202"/>
      <c r="T111" s="202"/>
      <c r="U111" s="202"/>
      <c r="V111" s="202"/>
      <c r="W111" s="202"/>
      <c r="X111" s="202"/>
      <c r="Y111" s="202"/>
      <c r="Z111" s="202"/>
      <c r="AA111" s="202"/>
      <c r="AB111" s="202"/>
      <c r="AC111" s="202"/>
      <c r="AD111" s="202"/>
      <c r="AE111" s="202"/>
      <c r="AF111" s="202"/>
      <c r="AG111" s="202"/>
      <c r="AH111" s="202"/>
      <c r="AI111" s="202"/>
      <c r="AJ111" s="202"/>
      <c r="AK111" s="202"/>
      <c r="AL111" s="202"/>
      <c r="AM111" s="203"/>
    </row>
    <row r="112" spans="1:39" ht="33" customHeight="1" x14ac:dyDescent="0.3">
      <c r="A112" s="31" t="s">
        <v>223</v>
      </c>
      <c r="B112" s="34" t="s">
        <v>224</v>
      </c>
      <c r="C112" s="35" t="s">
        <v>220</v>
      </c>
      <c r="D112" s="56"/>
      <c r="E112" s="199"/>
      <c r="F112" s="25">
        <f t="shared" si="4"/>
        <v>0</v>
      </c>
      <c r="G112" s="200">
        <f t="shared" si="6"/>
        <v>0</v>
      </c>
      <c r="H112" s="204">
        <f t="shared" si="5"/>
        <v>0</v>
      </c>
      <c r="I112" s="202"/>
      <c r="J112" s="202"/>
      <c r="K112" s="202"/>
      <c r="L112" s="202"/>
      <c r="M112" s="202"/>
      <c r="N112" s="202"/>
      <c r="O112" s="202"/>
      <c r="P112" s="202"/>
      <c r="Q112" s="202"/>
      <c r="R112" s="202"/>
      <c r="S112" s="202"/>
      <c r="T112" s="202"/>
      <c r="U112" s="202"/>
      <c r="V112" s="202"/>
      <c r="W112" s="202"/>
      <c r="X112" s="202"/>
      <c r="Y112" s="202"/>
      <c r="Z112" s="202"/>
      <c r="AA112" s="202"/>
      <c r="AB112" s="202"/>
      <c r="AC112" s="202"/>
      <c r="AD112" s="202"/>
      <c r="AE112" s="202"/>
      <c r="AF112" s="202"/>
      <c r="AG112" s="202"/>
      <c r="AH112" s="202"/>
      <c r="AI112" s="202"/>
      <c r="AJ112" s="202"/>
      <c r="AK112" s="202"/>
      <c r="AL112" s="202"/>
      <c r="AM112" s="203"/>
    </row>
    <row r="113" spans="1:39" ht="33" customHeight="1" x14ac:dyDescent="0.3">
      <c r="A113" s="31" t="s">
        <v>225</v>
      </c>
      <c r="B113" s="34" t="s">
        <v>226</v>
      </c>
      <c r="C113" s="35" t="s">
        <v>227</v>
      </c>
      <c r="D113" s="56"/>
      <c r="E113" s="199"/>
      <c r="F113" s="25">
        <f t="shared" si="4"/>
        <v>0</v>
      </c>
      <c r="G113" s="200">
        <f t="shared" si="6"/>
        <v>0</v>
      </c>
      <c r="H113" s="204">
        <f t="shared" si="5"/>
        <v>0</v>
      </c>
      <c r="I113" s="202"/>
      <c r="J113" s="202"/>
      <c r="K113" s="202"/>
      <c r="L113" s="202"/>
      <c r="M113" s="202"/>
      <c r="N113" s="202"/>
      <c r="O113" s="202"/>
      <c r="P113" s="202"/>
      <c r="Q113" s="202"/>
      <c r="R113" s="202"/>
      <c r="S113" s="202"/>
      <c r="T113" s="202"/>
      <c r="U113" s="202"/>
      <c r="V113" s="202"/>
      <c r="W113" s="202"/>
      <c r="X113" s="202"/>
      <c r="Y113" s="202"/>
      <c r="Z113" s="202"/>
      <c r="AA113" s="202"/>
      <c r="AB113" s="202"/>
      <c r="AC113" s="202"/>
      <c r="AD113" s="202"/>
      <c r="AE113" s="202"/>
      <c r="AF113" s="202"/>
      <c r="AG113" s="202"/>
      <c r="AH113" s="202"/>
      <c r="AI113" s="202"/>
      <c r="AJ113" s="202"/>
      <c r="AK113" s="202"/>
      <c r="AL113" s="202"/>
      <c r="AM113" s="203"/>
    </row>
    <row r="114" spans="1:39" ht="33" customHeight="1" x14ac:dyDescent="0.3">
      <c r="A114" s="31" t="s">
        <v>228</v>
      </c>
      <c r="B114" s="34" t="s">
        <v>229</v>
      </c>
      <c r="C114" s="35" t="s">
        <v>227</v>
      </c>
      <c r="D114" s="56"/>
      <c r="E114" s="199"/>
      <c r="F114" s="25">
        <f t="shared" si="4"/>
        <v>0</v>
      </c>
      <c r="G114" s="200">
        <f t="shared" si="6"/>
        <v>0</v>
      </c>
      <c r="H114" s="204">
        <f t="shared" si="5"/>
        <v>0</v>
      </c>
      <c r="I114" s="202"/>
      <c r="J114" s="202"/>
      <c r="K114" s="202"/>
      <c r="L114" s="202"/>
      <c r="M114" s="202"/>
      <c r="N114" s="202"/>
      <c r="O114" s="202"/>
      <c r="P114" s="202"/>
      <c r="Q114" s="202"/>
      <c r="R114" s="202"/>
      <c r="S114" s="202"/>
      <c r="T114" s="202"/>
      <c r="U114" s="202"/>
      <c r="V114" s="202"/>
      <c r="W114" s="202"/>
      <c r="X114" s="202"/>
      <c r="Y114" s="202"/>
      <c r="Z114" s="202"/>
      <c r="AA114" s="202"/>
      <c r="AB114" s="202"/>
      <c r="AC114" s="202"/>
      <c r="AD114" s="202"/>
      <c r="AE114" s="202"/>
      <c r="AF114" s="202"/>
      <c r="AG114" s="202"/>
      <c r="AH114" s="202"/>
      <c r="AI114" s="202"/>
      <c r="AJ114" s="202"/>
      <c r="AK114" s="202"/>
      <c r="AL114" s="202"/>
      <c r="AM114" s="203"/>
    </row>
    <row r="115" spans="1:39" ht="33" customHeight="1" x14ac:dyDescent="0.3">
      <c r="A115" s="31" t="s">
        <v>230</v>
      </c>
      <c r="B115" s="34" t="s">
        <v>231</v>
      </c>
      <c r="C115" s="35" t="s">
        <v>227</v>
      </c>
      <c r="D115" s="56"/>
      <c r="E115" s="199"/>
      <c r="F115" s="25">
        <f t="shared" si="4"/>
        <v>0</v>
      </c>
      <c r="G115" s="200">
        <f t="shared" si="6"/>
        <v>0</v>
      </c>
      <c r="H115" s="204">
        <f t="shared" si="5"/>
        <v>0</v>
      </c>
      <c r="I115" s="202"/>
      <c r="J115" s="202"/>
      <c r="K115" s="202"/>
      <c r="L115" s="202"/>
      <c r="M115" s="202"/>
      <c r="N115" s="202"/>
      <c r="O115" s="202"/>
      <c r="P115" s="202"/>
      <c r="Q115" s="202"/>
      <c r="R115" s="202"/>
      <c r="S115" s="202"/>
      <c r="T115" s="202"/>
      <c r="U115" s="202"/>
      <c r="V115" s="202"/>
      <c r="W115" s="202"/>
      <c r="X115" s="202"/>
      <c r="Y115" s="202"/>
      <c r="Z115" s="202"/>
      <c r="AA115" s="202"/>
      <c r="AB115" s="202"/>
      <c r="AC115" s="202"/>
      <c r="AD115" s="202"/>
      <c r="AE115" s="202"/>
      <c r="AF115" s="202"/>
      <c r="AG115" s="202"/>
      <c r="AH115" s="202"/>
      <c r="AI115" s="202"/>
      <c r="AJ115" s="202"/>
      <c r="AK115" s="202"/>
      <c r="AL115" s="202"/>
      <c r="AM115" s="203"/>
    </row>
    <row r="116" spans="1:39" ht="33" customHeight="1" x14ac:dyDescent="0.3">
      <c r="A116" s="31" t="s">
        <v>232</v>
      </c>
      <c r="B116" s="34" t="s">
        <v>233</v>
      </c>
      <c r="C116" s="35" t="s">
        <v>35</v>
      </c>
      <c r="D116" s="56"/>
      <c r="E116" s="199"/>
      <c r="F116" s="25">
        <f t="shared" si="4"/>
        <v>0</v>
      </c>
      <c r="G116" s="200">
        <f t="shared" si="6"/>
        <v>0</v>
      </c>
      <c r="H116" s="204">
        <f t="shared" si="5"/>
        <v>0</v>
      </c>
      <c r="I116" s="202"/>
      <c r="J116" s="202"/>
      <c r="K116" s="202"/>
      <c r="L116" s="202"/>
      <c r="M116" s="202"/>
      <c r="N116" s="202"/>
      <c r="O116" s="202"/>
      <c r="P116" s="202"/>
      <c r="Q116" s="202"/>
      <c r="R116" s="202"/>
      <c r="S116" s="202"/>
      <c r="T116" s="202"/>
      <c r="U116" s="202"/>
      <c r="V116" s="202"/>
      <c r="W116" s="202"/>
      <c r="X116" s="202"/>
      <c r="Y116" s="202"/>
      <c r="Z116" s="202"/>
      <c r="AA116" s="202"/>
      <c r="AB116" s="202"/>
      <c r="AC116" s="202"/>
      <c r="AD116" s="202"/>
      <c r="AE116" s="202"/>
      <c r="AF116" s="202"/>
      <c r="AG116" s="202"/>
      <c r="AH116" s="202"/>
      <c r="AI116" s="202"/>
      <c r="AJ116" s="202"/>
      <c r="AK116" s="202"/>
      <c r="AL116" s="202"/>
      <c r="AM116" s="203"/>
    </row>
    <row r="117" spans="1:39" ht="33" customHeight="1" x14ac:dyDescent="0.3">
      <c r="A117" s="31" t="s">
        <v>234</v>
      </c>
      <c r="B117" s="245" t="s">
        <v>235</v>
      </c>
      <c r="C117" s="35" t="s">
        <v>35</v>
      </c>
      <c r="D117" s="56"/>
      <c r="E117" s="199"/>
      <c r="F117" s="25">
        <f t="shared" si="4"/>
        <v>0</v>
      </c>
      <c r="G117" s="200">
        <f t="shared" si="6"/>
        <v>0</v>
      </c>
      <c r="H117" s="204">
        <f t="shared" si="5"/>
        <v>0</v>
      </c>
      <c r="I117" s="202"/>
      <c r="J117" s="202"/>
      <c r="K117" s="202"/>
      <c r="L117" s="202"/>
      <c r="M117" s="202"/>
      <c r="N117" s="202"/>
      <c r="O117" s="202"/>
      <c r="P117" s="202"/>
      <c r="Q117" s="202"/>
      <c r="R117" s="202"/>
      <c r="S117" s="202"/>
      <c r="T117" s="202"/>
      <c r="U117" s="202"/>
      <c r="V117" s="202"/>
      <c r="W117" s="202"/>
      <c r="X117" s="202"/>
      <c r="Y117" s="202"/>
      <c r="Z117" s="202"/>
      <c r="AA117" s="202"/>
      <c r="AB117" s="202"/>
      <c r="AC117" s="202"/>
      <c r="AD117" s="202"/>
      <c r="AE117" s="202"/>
      <c r="AF117" s="202"/>
      <c r="AG117" s="202"/>
      <c r="AH117" s="202"/>
      <c r="AI117" s="202"/>
      <c r="AJ117" s="202"/>
      <c r="AK117" s="202"/>
      <c r="AL117" s="202"/>
      <c r="AM117" s="203"/>
    </row>
    <row r="118" spans="1:39" ht="33" customHeight="1" x14ac:dyDescent="0.3">
      <c r="A118" s="31" t="s">
        <v>236</v>
      </c>
      <c r="B118" s="34" t="s">
        <v>237</v>
      </c>
      <c r="C118" s="35" t="s">
        <v>35</v>
      </c>
      <c r="D118" s="56"/>
      <c r="E118" s="199"/>
      <c r="F118" s="25">
        <f t="shared" si="4"/>
        <v>0</v>
      </c>
      <c r="G118" s="200">
        <f t="shared" si="6"/>
        <v>0</v>
      </c>
      <c r="H118" s="204">
        <f t="shared" si="5"/>
        <v>0</v>
      </c>
      <c r="I118" s="202"/>
      <c r="J118" s="202"/>
      <c r="K118" s="202"/>
      <c r="L118" s="202"/>
      <c r="M118" s="202"/>
      <c r="N118" s="202"/>
      <c r="O118" s="202"/>
      <c r="P118" s="202"/>
      <c r="Q118" s="202"/>
      <c r="R118" s="202"/>
      <c r="S118" s="202"/>
      <c r="T118" s="202"/>
      <c r="U118" s="202"/>
      <c r="V118" s="202"/>
      <c r="W118" s="202"/>
      <c r="X118" s="202"/>
      <c r="Y118" s="202"/>
      <c r="Z118" s="202"/>
      <c r="AA118" s="202"/>
      <c r="AB118" s="202"/>
      <c r="AC118" s="202"/>
      <c r="AD118" s="202"/>
      <c r="AE118" s="202"/>
      <c r="AF118" s="202"/>
      <c r="AG118" s="202"/>
      <c r="AH118" s="202"/>
      <c r="AI118" s="202"/>
      <c r="AJ118" s="202"/>
      <c r="AK118" s="202"/>
      <c r="AL118" s="202"/>
      <c r="AM118" s="203"/>
    </row>
    <row r="119" spans="1:39" ht="33" customHeight="1" x14ac:dyDescent="0.3">
      <c r="A119" s="31" t="s">
        <v>238</v>
      </c>
      <c r="B119" s="34" t="s">
        <v>239</v>
      </c>
      <c r="C119" s="35" t="s">
        <v>87</v>
      </c>
      <c r="D119" s="56"/>
      <c r="E119" s="199"/>
      <c r="F119" s="25">
        <f t="shared" si="4"/>
        <v>0</v>
      </c>
      <c r="G119" s="200">
        <f t="shared" si="6"/>
        <v>0</v>
      </c>
      <c r="H119" s="204">
        <f t="shared" si="5"/>
        <v>0</v>
      </c>
      <c r="I119" s="202"/>
      <c r="J119" s="202"/>
      <c r="K119" s="202"/>
      <c r="L119" s="202"/>
      <c r="M119" s="202"/>
      <c r="N119" s="202"/>
      <c r="O119" s="202"/>
      <c r="P119" s="202"/>
      <c r="Q119" s="202"/>
      <c r="R119" s="202"/>
      <c r="S119" s="202"/>
      <c r="T119" s="202"/>
      <c r="U119" s="202"/>
      <c r="V119" s="202"/>
      <c r="W119" s="202"/>
      <c r="X119" s="202"/>
      <c r="Y119" s="202"/>
      <c r="Z119" s="202"/>
      <c r="AA119" s="202"/>
      <c r="AB119" s="202"/>
      <c r="AC119" s="202"/>
      <c r="AD119" s="202"/>
      <c r="AE119" s="202"/>
      <c r="AF119" s="202"/>
      <c r="AG119" s="202"/>
      <c r="AH119" s="202"/>
      <c r="AI119" s="202"/>
      <c r="AJ119" s="202"/>
      <c r="AK119" s="202"/>
      <c r="AL119" s="202"/>
      <c r="AM119" s="203"/>
    </row>
    <row r="120" spans="1:39" ht="33" customHeight="1" x14ac:dyDescent="0.3">
      <c r="A120" s="31" t="s">
        <v>240</v>
      </c>
      <c r="B120" s="34" t="s">
        <v>241</v>
      </c>
      <c r="C120" s="35" t="s">
        <v>242</v>
      </c>
      <c r="D120" s="56"/>
      <c r="E120" s="199"/>
      <c r="F120" s="25">
        <f t="shared" si="4"/>
        <v>0</v>
      </c>
      <c r="G120" s="200">
        <f t="shared" si="6"/>
        <v>0</v>
      </c>
      <c r="H120" s="204">
        <f t="shared" si="5"/>
        <v>0</v>
      </c>
      <c r="I120" s="202"/>
      <c r="J120" s="202"/>
      <c r="K120" s="202"/>
      <c r="L120" s="202"/>
      <c r="M120" s="202"/>
      <c r="N120" s="202"/>
      <c r="O120" s="202"/>
      <c r="P120" s="202"/>
      <c r="Q120" s="202"/>
      <c r="R120" s="202"/>
      <c r="S120" s="202"/>
      <c r="T120" s="202"/>
      <c r="U120" s="202"/>
      <c r="V120" s="202"/>
      <c r="W120" s="202"/>
      <c r="X120" s="202"/>
      <c r="Y120" s="202"/>
      <c r="Z120" s="202"/>
      <c r="AA120" s="202"/>
      <c r="AB120" s="202"/>
      <c r="AC120" s="202"/>
      <c r="AD120" s="202"/>
      <c r="AE120" s="202"/>
      <c r="AF120" s="202"/>
      <c r="AG120" s="202"/>
      <c r="AH120" s="202"/>
      <c r="AI120" s="202"/>
      <c r="AJ120" s="202"/>
      <c r="AK120" s="202"/>
      <c r="AL120" s="202"/>
      <c r="AM120" s="203"/>
    </row>
    <row r="121" spans="1:39" ht="33" customHeight="1" x14ac:dyDescent="0.3">
      <c r="A121" s="31" t="s">
        <v>243</v>
      </c>
      <c r="B121" s="246" t="s">
        <v>244</v>
      </c>
      <c r="C121" s="33" t="s">
        <v>227</v>
      </c>
      <c r="D121" s="56"/>
      <c r="E121" s="199"/>
      <c r="F121" s="25">
        <f t="shared" si="4"/>
        <v>0</v>
      </c>
      <c r="G121" s="200">
        <f t="shared" si="6"/>
        <v>0</v>
      </c>
      <c r="H121" s="204">
        <f t="shared" si="5"/>
        <v>0</v>
      </c>
      <c r="I121" s="202"/>
      <c r="J121" s="202"/>
      <c r="K121" s="202"/>
      <c r="L121" s="202"/>
      <c r="M121" s="202"/>
      <c r="N121" s="202"/>
      <c r="O121" s="202"/>
      <c r="P121" s="202"/>
      <c r="Q121" s="202"/>
      <c r="R121" s="202"/>
      <c r="S121" s="202"/>
      <c r="T121" s="202"/>
      <c r="U121" s="202"/>
      <c r="V121" s="202"/>
      <c r="W121" s="202"/>
      <c r="X121" s="202"/>
      <c r="Y121" s="202"/>
      <c r="Z121" s="202"/>
      <c r="AA121" s="202"/>
      <c r="AB121" s="202"/>
      <c r="AC121" s="202"/>
      <c r="AD121" s="202"/>
      <c r="AE121" s="202"/>
      <c r="AF121" s="202"/>
      <c r="AG121" s="202"/>
      <c r="AH121" s="202"/>
      <c r="AI121" s="202"/>
      <c r="AJ121" s="202"/>
      <c r="AK121" s="202"/>
      <c r="AL121" s="202"/>
      <c r="AM121" s="203"/>
    </row>
    <row r="122" spans="1:39" ht="33" customHeight="1" x14ac:dyDescent="0.3">
      <c r="A122" s="31" t="s">
        <v>245</v>
      </c>
      <c r="B122" s="246" t="s">
        <v>246</v>
      </c>
      <c r="C122" s="33" t="s">
        <v>227</v>
      </c>
      <c r="D122" s="56"/>
      <c r="E122" s="199"/>
      <c r="F122" s="25">
        <f t="shared" si="4"/>
        <v>0</v>
      </c>
      <c r="G122" s="200">
        <f t="shared" si="6"/>
        <v>0</v>
      </c>
      <c r="H122" s="204">
        <f t="shared" si="5"/>
        <v>0</v>
      </c>
      <c r="I122" s="202"/>
      <c r="J122" s="202"/>
      <c r="K122" s="202"/>
      <c r="L122" s="202"/>
      <c r="M122" s="202"/>
      <c r="N122" s="202"/>
      <c r="O122" s="202"/>
      <c r="P122" s="202"/>
      <c r="Q122" s="202"/>
      <c r="R122" s="202"/>
      <c r="S122" s="202"/>
      <c r="T122" s="202"/>
      <c r="U122" s="202"/>
      <c r="V122" s="202"/>
      <c r="W122" s="202"/>
      <c r="X122" s="202"/>
      <c r="Y122" s="202"/>
      <c r="Z122" s="202"/>
      <c r="AA122" s="202"/>
      <c r="AB122" s="202"/>
      <c r="AC122" s="202"/>
      <c r="AD122" s="202"/>
      <c r="AE122" s="202"/>
      <c r="AF122" s="202"/>
      <c r="AG122" s="202"/>
      <c r="AH122" s="202"/>
      <c r="AI122" s="202"/>
      <c r="AJ122" s="202"/>
      <c r="AK122" s="202"/>
      <c r="AL122" s="202"/>
      <c r="AM122" s="203"/>
    </row>
    <row r="123" spans="1:39" ht="33" customHeight="1" x14ac:dyDescent="0.3">
      <c r="A123" s="31" t="s">
        <v>247</v>
      </c>
      <c r="B123" s="246" t="s">
        <v>248</v>
      </c>
      <c r="C123" s="33" t="s">
        <v>220</v>
      </c>
      <c r="D123" s="56"/>
      <c r="E123" s="199"/>
      <c r="F123" s="25">
        <f t="shared" si="4"/>
        <v>0</v>
      </c>
      <c r="G123" s="200">
        <f t="shared" si="6"/>
        <v>0</v>
      </c>
      <c r="H123" s="204">
        <f t="shared" si="5"/>
        <v>0</v>
      </c>
      <c r="I123" s="202"/>
      <c r="J123" s="202"/>
      <c r="K123" s="202"/>
      <c r="L123" s="202"/>
      <c r="M123" s="202"/>
      <c r="N123" s="202"/>
      <c r="O123" s="202"/>
      <c r="P123" s="202"/>
      <c r="Q123" s="202"/>
      <c r="R123" s="202"/>
      <c r="S123" s="202"/>
      <c r="T123" s="202"/>
      <c r="U123" s="202"/>
      <c r="V123" s="202"/>
      <c r="W123" s="202"/>
      <c r="X123" s="202"/>
      <c r="Y123" s="202"/>
      <c r="Z123" s="202"/>
      <c r="AA123" s="202"/>
      <c r="AB123" s="202"/>
      <c r="AC123" s="202"/>
      <c r="AD123" s="202"/>
      <c r="AE123" s="202"/>
      <c r="AF123" s="202"/>
      <c r="AG123" s="202"/>
      <c r="AH123" s="202"/>
      <c r="AI123" s="202"/>
      <c r="AJ123" s="202"/>
      <c r="AK123" s="202"/>
      <c r="AL123" s="202"/>
      <c r="AM123" s="203"/>
    </row>
    <row r="124" spans="1:39" ht="33" customHeight="1" x14ac:dyDescent="0.3">
      <c r="A124" s="40" t="s">
        <v>249</v>
      </c>
      <c r="B124" s="32" t="s">
        <v>250</v>
      </c>
      <c r="C124" s="33" t="s">
        <v>227</v>
      </c>
      <c r="D124" s="56"/>
      <c r="E124" s="199"/>
      <c r="F124" s="25">
        <f t="shared" si="4"/>
        <v>0</v>
      </c>
      <c r="G124" s="200">
        <f t="shared" si="6"/>
        <v>0</v>
      </c>
      <c r="H124" s="204">
        <f t="shared" si="5"/>
        <v>0</v>
      </c>
      <c r="I124" s="202"/>
      <c r="J124" s="202"/>
      <c r="K124" s="202"/>
      <c r="L124" s="202"/>
      <c r="M124" s="202"/>
      <c r="N124" s="202"/>
      <c r="O124" s="202"/>
      <c r="P124" s="202"/>
      <c r="Q124" s="202"/>
      <c r="R124" s="202"/>
      <c r="S124" s="202"/>
      <c r="T124" s="202"/>
      <c r="U124" s="202"/>
      <c r="V124" s="202"/>
      <c r="W124" s="202"/>
      <c r="X124" s="202"/>
      <c r="Y124" s="202"/>
      <c r="Z124" s="202"/>
      <c r="AA124" s="202"/>
      <c r="AB124" s="202"/>
      <c r="AC124" s="202"/>
      <c r="AD124" s="202"/>
      <c r="AE124" s="202"/>
      <c r="AF124" s="202"/>
      <c r="AG124" s="202"/>
      <c r="AH124" s="202"/>
      <c r="AI124" s="202"/>
      <c r="AJ124" s="202"/>
      <c r="AK124" s="202"/>
      <c r="AL124" s="202"/>
      <c r="AM124" s="203"/>
    </row>
    <row r="125" spans="1:39" ht="33" customHeight="1" x14ac:dyDescent="0.3">
      <c r="A125" s="40" t="s">
        <v>251</v>
      </c>
      <c r="B125" s="32" t="s">
        <v>252</v>
      </c>
      <c r="C125" s="33" t="s">
        <v>87</v>
      </c>
      <c r="D125" s="56"/>
      <c r="E125" s="199"/>
      <c r="F125" s="25">
        <f t="shared" si="4"/>
        <v>0</v>
      </c>
      <c r="G125" s="200">
        <f t="shared" si="6"/>
        <v>0</v>
      </c>
      <c r="H125" s="204">
        <f t="shared" si="5"/>
        <v>0</v>
      </c>
      <c r="I125" s="202"/>
      <c r="J125" s="202"/>
      <c r="K125" s="202"/>
      <c r="L125" s="202"/>
      <c r="M125" s="202"/>
      <c r="N125" s="202"/>
      <c r="O125" s="202"/>
      <c r="P125" s="202"/>
      <c r="Q125" s="202"/>
      <c r="R125" s="202"/>
      <c r="S125" s="202"/>
      <c r="T125" s="202"/>
      <c r="U125" s="202"/>
      <c r="V125" s="202"/>
      <c r="W125" s="202"/>
      <c r="X125" s="202"/>
      <c r="Y125" s="202"/>
      <c r="Z125" s="202"/>
      <c r="AA125" s="202"/>
      <c r="AB125" s="202"/>
      <c r="AC125" s="202"/>
      <c r="AD125" s="202"/>
      <c r="AE125" s="202"/>
      <c r="AF125" s="202"/>
      <c r="AG125" s="202"/>
      <c r="AH125" s="202"/>
      <c r="AI125" s="202"/>
      <c r="AJ125" s="202"/>
      <c r="AK125" s="202"/>
      <c r="AL125" s="202"/>
      <c r="AM125" s="203"/>
    </row>
    <row r="126" spans="1:39" ht="33" customHeight="1" x14ac:dyDescent="0.3">
      <c r="A126" s="40" t="s">
        <v>253</v>
      </c>
      <c r="B126" s="32" t="s">
        <v>254</v>
      </c>
      <c r="C126" s="33" t="s">
        <v>87</v>
      </c>
      <c r="D126" s="56"/>
      <c r="E126" s="199"/>
      <c r="F126" s="25">
        <f t="shared" si="4"/>
        <v>0</v>
      </c>
      <c r="G126" s="200">
        <f t="shared" si="6"/>
        <v>0</v>
      </c>
      <c r="H126" s="204">
        <f t="shared" si="5"/>
        <v>0</v>
      </c>
      <c r="I126" s="202"/>
      <c r="J126" s="202"/>
      <c r="K126" s="202"/>
      <c r="L126" s="202"/>
      <c r="M126" s="202"/>
      <c r="N126" s="202"/>
      <c r="O126" s="202"/>
      <c r="P126" s="202"/>
      <c r="Q126" s="202"/>
      <c r="R126" s="202"/>
      <c r="S126" s="202"/>
      <c r="T126" s="202"/>
      <c r="U126" s="202"/>
      <c r="V126" s="202"/>
      <c r="W126" s="202"/>
      <c r="X126" s="202"/>
      <c r="Y126" s="202"/>
      <c r="Z126" s="202"/>
      <c r="AA126" s="202"/>
      <c r="AB126" s="202"/>
      <c r="AC126" s="202"/>
      <c r="AD126" s="202"/>
      <c r="AE126" s="202"/>
      <c r="AF126" s="202"/>
      <c r="AG126" s="202"/>
      <c r="AH126" s="202"/>
      <c r="AI126" s="202"/>
      <c r="AJ126" s="202"/>
      <c r="AK126" s="202"/>
      <c r="AL126" s="202"/>
      <c r="AM126" s="203"/>
    </row>
    <row r="127" spans="1:39" ht="33" customHeight="1" x14ac:dyDescent="0.3">
      <c r="A127" s="31" t="s">
        <v>255</v>
      </c>
      <c r="B127" s="34" t="s">
        <v>256</v>
      </c>
      <c r="C127" s="33" t="s">
        <v>21</v>
      </c>
      <c r="D127" s="56"/>
      <c r="E127" s="199"/>
      <c r="F127" s="25">
        <f t="shared" si="4"/>
        <v>0</v>
      </c>
      <c r="G127" s="200">
        <f t="shared" si="6"/>
        <v>0</v>
      </c>
      <c r="H127" s="204">
        <f t="shared" si="5"/>
        <v>0</v>
      </c>
      <c r="I127" s="202"/>
      <c r="J127" s="202"/>
      <c r="K127" s="202"/>
      <c r="L127" s="202"/>
      <c r="M127" s="202"/>
      <c r="N127" s="202"/>
      <c r="O127" s="202"/>
      <c r="P127" s="202"/>
      <c r="Q127" s="202"/>
      <c r="R127" s="202"/>
      <c r="S127" s="202"/>
      <c r="T127" s="202"/>
      <c r="U127" s="202"/>
      <c r="V127" s="202"/>
      <c r="W127" s="202"/>
      <c r="X127" s="202"/>
      <c r="Y127" s="202"/>
      <c r="Z127" s="202"/>
      <c r="AA127" s="202"/>
      <c r="AB127" s="202"/>
      <c r="AC127" s="202"/>
      <c r="AD127" s="202"/>
      <c r="AE127" s="202"/>
      <c r="AF127" s="202"/>
      <c r="AG127" s="202"/>
      <c r="AH127" s="202"/>
      <c r="AI127" s="202"/>
      <c r="AJ127" s="202"/>
      <c r="AK127" s="202"/>
      <c r="AL127" s="202"/>
      <c r="AM127" s="203"/>
    </row>
    <row r="128" spans="1:39" ht="33" customHeight="1" x14ac:dyDescent="0.3">
      <c r="A128" s="49" t="s">
        <v>257</v>
      </c>
      <c r="B128" s="34" t="s">
        <v>258</v>
      </c>
      <c r="C128" s="50" t="s">
        <v>87</v>
      </c>
      <c r="D128" s="56"/>
      <c r="E128" s="199"/>
      <c r="F128" s="25">
        <f t="shared" si="4"/>
        <v>0</v>
      </c>
      <c r="G128" s="200">
        <f t="shared" si="6"/>
        <v>0</v>
      </c>
      <c r="H128" s="204">
        <f t="shared" si="5"/>
        <v>0</v>
      </c>
      <c r="I128" s="202"/>
      <c r="J128" s="202"/>
      <c r="K128" s="202"/>
      <c r="L128" s="202"/>
      <c r="M128" s="202"/>
      <c r="N128" s="202"/>
      <c r="O128" s="202"/>
      <c r="P128" s="202"/>
      <c r="Q128" s="202"/>
      <c r="R128" s="202"/>
      <c r="S128" s="202"/>
      <c r="T128" s="202"/>
      <c r="U128" s="202"/>
      <c r="V128" s="202"/>
      <c r="W128" s="202"/>
      <c r="X128" s="202"/>
      <c r="Y128" s="202"/>
      <c r="Z128" s="202"/>
      <c r="AA128" s="202"/>
      <c r="AB128" s="202"/>
      <c r="AC128" s="202"/>
      <c r="AD128" s="202"/>
      <c r="AE128" s="202"/>
      <c r="AF128" s="202"/>
      <c r="AG128" s="202"/>
      <c r="AH128" s="202"/>
      <c r="AI128" s="202"/>
      <c r="AJ128" s="202"/>
      <c r="AK128" s="202"/>
      <c r="AL128" s="202"/>
      <c r="AM128" s="203"/>
    </row>
    <row r="129" spans="1:39" ht="33" customHeight="1" x14ac:dyDescent="0.3">
      <c r="A129" s="31" t="s">
        <v>259</v>
      </c>
      <c r="B129" s="34" t="s">
        <v>260</v>
      </c>
      <c r="C129" s="35" t="s">
        <v>87</v>
      </c>
      <c r="D129" s="56"/>
      <c r="E129" s="199"/>
      <c r="F129" s="25">
        <f t="shared" si="4"/>
        <v>0</v>
      </c>
      <c r="G129" s="200">
        <f t="shared" si="6"/>
        <v>0</v>
      </c>
      <c r="H129" s="204">
        <f t="shared" si="5"/>
        <v>0</v>
      </c>
      <c r="I129" s="202"/>
      <c r="J129" s="202"/>
      <c r="K129" s="202"/>
      <c r="L129" s="202"/>
      <c r="M129" s="202"/>
      <c r="N129" s="202"/>
      <c r="O129" s="202"/>
      <c r="P129" s="202"/>
      <c r="Q129" s="202"/>
      <c r="R129" s="202"/>
      <c r="S129" s="202"/>
      <c r="T129" s="202"/>
      <c r="U129" s="202"/>
      <c r="V129" s="202"/>
      <c r="W129" s="202"/>
      <c r="X129" s="202"/>
      <c r="Y129" s="202"/>
      <c r="Z129" s="202"/>
      <c r="AA129" s="202"/>
      <c r="AB129" s="202"/>
      <c r="AC129" s="202"/>
      <c r="AD129" s="202"/>
      <c r="AE129" s="202"/>
      <c r="AF129" s="202"/>
      <c r="AG129" s="202"/>
      <c r="AH129" s="202"/>
      <c r="AI129" s="202"/>
      <c r="AJ129" s="202"/>
      <c r="AK129" s="202"/>
      <c r="AL129" s="202"/>
      <c r="AM129" s="203"/>
    </row>
    <row r="130" spans="1:39" ht="33" customHeight="1" x14ac:dyDescent="0.3">
      <c r="A130" s="31" t="s">
        <v>261</v>
      </c>
      <c r="B130" s="34" t="s">
        <v>262</v>
      </c>
      <c r="C130" s="35" t="s">
        <v>227</v>
      </c>
      <c r="D130" s="56"/>
      <c r="E130" s="199"/>
      <c r="F130" s="25">
        <f t="shared" si="4"/>
        <v>0</v>
      </c>
      <c r="G130" s="200">
        <f t="shared" si="6"/>
        <v>0</v>
      </c>
      <c r="H130" s="204">
        <f t="shared" si="5"/>
        <v>0</v>
      </c>
      <c r="I130" s="202"/>
      <c r="J130" s="202"/>
      <c r="K130" s="202"/>
      <c r="L130" s="202"/>
      <c r="M130" s="202"/>
      <c r="N130" s="202"/>
      <c r="O130" s="202"/>
      <c r="P130" s="202"/>
      <c r="Q130" s="202"/>
      <c r="R130" s="202"/>
      <c r="S130" s="202"/>
      <c r="T130" s="202"/>
      <c r="U130" s="202"/>
      <c r="V130" s="202"/>
      <c r="W130" s="202"/>
      <c r="X130" s="202"/>
      <c r="Y130" s="202"/>
      <c r="Z130" s="202"/>
      <c r="AA130" s="202"/>
      <c r="AB130" s="202"/>
      <c r="AC130" s="202"/>
      <c r="AD130" s="202"/>
      <c r="AE130" s="202"/>
      <c r="AF130" s="202"/>
      <c r="AG130" s="202"/>
      <c r="AH130" s="202"/>
      <c r="AI130" s="202"/>
      <c r="AJ130" s="202"/>
      <c r="AK130" s="202"/>
      <c r="AL130" s="202"/>
      <c r="AM130" s="203"/>
    </row>
    <row r="131" spans="1:39" ht="33" customHeight="1" x14ac:dyDescent="0.3">
      <c r="A131" s="31" t="s">
        <v>263</v>
      </c>
      <c r="B131" s="244" t="s">
        <v>264</v>
      </c>
      <c r="C131" s="51" t="s">
        <v>227</v>
      </c>
      <c r="D131" s="56"/>
      <c r="E131" s="199"/>
      <c r="F131" s="25">
        <f t="shared" si="4"/>
        <v>0</v>
      </c>
      <c r="G131" s="200">
        <f t="shared" si="6"/>
        <v>0</v>
      </c>
      <c r="H131" s="204">
        <f t="shared" si="5"/>
        <v>0</v>
      </c>
      <c r="I131" s="202"/>
      <c r="J131" s="202"/>
      <c r="K131" s="202"/>
      <c r="L131" s="202"/>
      <c r="M131" s="202"/>
      <c r="N131" s="202"/>
      <c r="O131" s="202"/>
      <c r="P131" s="202"/>
      <c r="Q131" s="202"/>
      <c r="R131" s="202"/>
      <c r="S131" s="202"/>
      <c r="T131" s="202"/>
      <c r="U131" s="202"/>
      <c r="V131" s="202"/>
      <c r="W131" s="202"/>
      <c r="X131" s="202"/>
      <c r="Y131" s="202"/>
      <c r="Z131" s="202"/>
      <c r="AA131" s="202"/>
      <c r="AB131" s="202"/>
      <c r="AC131" s="202"/>
      <c r="AD131" s="202"/>
      <c r="AE131" s="202"/>
      <c r="AF131" s="202"/>
      <c r="AG131" s="202"/>
      <c r="AH131" s="202"/>
      <c r="AI131" s="202"/>
      <c r="AJ131" s="202"/>
      <c r="AK131" s="202"/>
      <c r="AL131" s="202"/>
      <c r="AM131" s="203"/>
    </row>
    <row r="132" spans="1:39" ht="38.25" customHeight="1" x14ac:dyDescent="0.3">
      <c r="A132" s="31" t="s">
        <v>265</v>
      </c>
      <c r="B132" s="244" t="s">
        <v>266</v>
      </c>
      <c r="C132" s="51" t="s">
        <v>21</v>
      </c>
      <c r="D132" s="56"/>
      <c r="E132" s="199"/>
      <c r="F132" s="25">
        <f t="shared" si="4"/>
        <v>0</v>
      </c>
      <c r="G132" s="200">
        <f t="shared" si="6"/>
        <v>0</v>
      </c>
      <c r="H132" s="204">
        <f t="shared" si="5"/>
        <v>0</v>
      </c>
      <c r="I132" s="202"/>
      <c r="J132" s="202"/>
      <c r="K132" s="202"/>
      <c r="L132" s="202"/>
      <c r="M132" s="202"/>
      <c r="N132" s="202"/>
      <c r="O132" s="202"/>
      <c r="P132" s="202"/>
      <c r="Q132" s="202"/>
      <c r="R132" s="202"/>
      <c r="S132" s="202"/>
      <c r="T132" s="202"/>
      <c r="U132" s="202"/>
      <c r="V132" s="202"/>
      <c r="W132" s="202"/>
      <c r="X132" s="202"/>
      <c r="Y132" s="202"/>
      <c r="Z132" s="202"/>
      <c r="AA132" s="202"/>
      <c r="AB132" s="202"/>
      <c r="AC132" s="202"/>
      <c r="AD132" s="202"/>
      <c r="AE132" s="202"/>
      <c r="AF132" s="202"/>
      <c r="AG132" s="202"/>
      <c r="AH132" s="202"/>
      <c r="AI132" s="202"/>
      <c r="AJ132" s="202"/>
      <c r="AK132" s="202"/>
      <c r="AL132" s="202"/>
      <c r="AM132" s="203"/>
    </row>
    <row r="133" spans="1:39" ht="38.25" customHeight="1" x14ac:dyDescent="0.3">
      <c r="A133" s="31" t="s">
        <v>267</v>
      </c>
      <c r="B133" s="34" t="s">
        <v>268</v>
      </c>
      <c r="C133" s="51" t="s">
        <v>21</v>
      </c>
      <c r="D133" s="56"/>
      <c r="E133" s="199"/>
      <c r="F133" s="25">
        <f t="shared" si="4"/>
        <v>0</v>
      </c>
      <c r="G133" s="200">
        <f t="shared" si="6"/>
        <v>0</v>
      </c>
      <c r="H133" s="204">
        <f t="shared" si="5"/>
        <v>0</v>
      </c>
      <c r="I133" s="202"/>
      <c r="J133" s="202"/>
      <c r="K133" s="202"/>
      <c r="L133" s="202"/>
      <c r="M133" s="202"/>
      <c r="N133" s="202"/>
      <c r="O133" s="202"/>
      <c r="P133" s="202"/>
      <c r="Q133" s="202"/>
      <c r="R133" s="202"/>
      <c r="S133" s="202"/>
      <c r="T133" s="202"/>
      <c r="U133" s="202"/>
      <c r="V133" s="202"/>
      <c r="W133" s="202"/>
      <c r="X133" s="202"/>
      <c r="Y133" s="202"/>
      <c r="Z133" s="202"/>
      <c r="AA133" s="202"/>
      <c r="AB133" s="202"/>
      <c r="AC133" s="202"/>
      <c r="AD133" s="202"/>
      <c r="AE133" s="202"/>
      <c r="AF133" s="202"/>
      <c r="AG133" s="202"/>
      <c r="AH133" s="202"/>
      <c r="AI133" s="202"/>
      <c r="AJ133" s="202"/>
      <c r="AK133" s="202"/>
      <c r="AL133" s="202"/>
      <c r="AM133" s="203"/>
    </row>
    <row r="134" spans="1:39" ht="38.25" customHeight="1" x14ac:dyDescent="0.3">
      <c r="A134" s="31" t="s">
        <v>269</v>
      </c>
      <c r="B134" s="34" t="s">
        <v>270</v>
      </c>
      <c r="C134" s="51" t="s">
        <v>21</v>
      </c>
      <c r="D134" s="56"/>
      <c r="E134" s="199"/>
      <c r="F134" s="25">
        <f t="shared" si="4"/>
        <v>0</v>
      </c>
      <c r="G134" s="200">
        <f t="shared" si="6"/>
        <v>0</v>
      </c>
      <c r="H134" s="204">
        <f t="shared" si="5"/>
        <v>0</v>
      </c>
      <c r="I134" s="202"/>
      <c r="J134" s="202"/>
      <c r="K134" s="202"/>
      <c r="L134" s="202"/>
      <c r="M134" s="202"/>
      <c r="N134" s="202"/>
      <c r="O134" s="202"/>
      <c r="P134" s="202"/>
      <c r="Q134" s="202"/>
      <c r="R134" s="202"/>
      <c r="S134" s="202"/>
      <c r="T134" s="202"/>
      <c r="U134" s="202"/>
      <c r="V134" s="202"/>
      <c r="W134" s="202"/>
      <c r="X134" s="202"/>
      <c r="Y134" s="202"/>
      <c r="Z134" s="202"/>
      <c r="AA134" s="202"/>
      <c r="AB134" s="202"/>
      <c r="AC134" s="202"/>
      <c r="AD134" s="202"/>
      <c r="AE134" s="202"/>
      <c r="AF134" s="202"/>
      <c r="AG134" s="202"/>
      <c r="AH134" s="202"/>
      <c r="AI134" s="202"/>
      <c r="AJ134" s="202"/>
      <c r="AK134" s="202"/>
      <c r="AL134" s="202"/>
      <c r="AM134" s="203"/>
    </row>
    <row r="135" spans="1:39" ht="33" customHeight="1" x14ac:dyDescent="0.3">
      <c r="A135" s="31" t="s">
        <v>271</v>
      </c>
      <c r="B135" s="34" t="s">
        <v>272</v>
      </c>
      <c r="C135" s="51" t="s">
        <v>21</v>
      </c>
      <c r="D135" s="56"/>
      <c r="E135" s="199"/>
      <c r="F135" s="25">
        <f t="shared" si="4"/>
        <v>0</v>
      </c>
      <c r="G135" s="200">
        <f t="shared" si="6"/>
        <v>0</v>
      </c>
      <c r="H135" s="204">
        <f t="shared" si="5"/>
        <v>0</v>
      </c>
      <c r="I135" s="202"/>
      <c r="J135" s="202"/>
      <c r="K135" s="202"/>
      <c r="L135" s="202"/>
      <c r="M135" s="202"/>
      <c r="N135" s="202"/>
      <c r="O135" s="202"/>
      <c r="P135" s="202"/>
      <c r="Q135" s="202"/>
      <c r="R135" s="202"/>
      <c r="S135" s="202"/>
      <c r="T135" s="202"/>
      <c r="U135" s="202"/>
      <c r="V135" s="202"/>
      <c r="W135" s="202"/>
      <c r="X135" s="202"/>
      <c r="Y135" s="202"/>
      <c r="Z135" s="202"/>
      <c r="AA135" s="202"/>
      <c r="AB135" s="202"/>
      <c r="AC135" s="202"/>
      <c r="AD135" s="202"/>
      <c r="AE135" s="202"/>
      <c r="AF135" s="202"/>
      <c r="AG135" s="202"/>
      <c r="AH135" s="202"/>
      <c r="AI135" s="202"/>
      <c r="AJ135" s="202"/>
      <c r="AK135" s="202"/>
      <c r="AL135" s="202"/>
      <c r="AM135" s="203"/>
    </row>
    <row r="136" spans="1:39" ht="33" customHeight="1" x14ac:dyDescent="0.3">
      <c r="A136" s="31" t="s">
        <v>273</v>
      </c>
      <c r="B136" s="34" t="s">
        <v>274</v>
      </c>
      <c r="C136" s="51" t="s">
        <v>21</v>
      </c>
      <c r="D136" s="56"/>
      <c r="E136" s="199"/>
      <c r="F136" s="25">
        <f t="shared" si="4"/>
        <v>0</v>
      </c>
      <c r="G136" s="200">
        <f t="shared" si="6"/>
        <v>0</v>
      </c>
      <c r="H136" s="204">
        <f t="shared" si="5"/>
        <v>0</v>
      </c>
      <c r="I136" s="202"/>
      <c r="J136" s="202"/>
      <c r="K136" s="202"/>
      <c r="L136" s="202"/>
      <c r="M136" s="202"/>
      <c r="N136" s="202"/>
      <c r="O136" s="202"/>
      <c r="P136" s="202"/>
      <c r="Q136" s="202"/>
      <c r="R136" s="202"/>
      <c r="S136" s="202"/>
      <c r="T136" s="202"/>
      <c r="U136" s="202"/>
      <c r="V136" s="202"/>
      <c r="W136" s="202"/>
      <c r="X136" s="202"/>
      <c r="Y136" s="202"/>
      <c r="Z136" s="202"/>
      <c r="AA136" s="202"/>
      <c r="AB136" s="202"/>
      <c r="AC136" s="202"/>
      <c r="AD136" s="202"/>
      <c r="AE136" s="202"/>
      <c r="AF136" s="202"/>
      <c r="AG136" s="202"/>
      <c r="AH136" s="202"/>
      <c r="AI136" s="202"/>
      <c r="AJ136" s="202"/>
      <c r="AK136" s="202"/>
      <c r="AL136" s="202"/>
      <c r="AM136" s="203"/>
    </row>
    <row r="137" spans="1:39" ht="33" customHeight="1" x14ac:dyDescent="0.3">
      <c r="A137" s="31" t="s">
        <v>275</v>
      </c>
      <c r="B137" s="32" t="s">
        <v>276</v>
      </c>
      <c r="C137" s="51" t="s">
        <v>220</v>
      </c>
      <c r="D137" s="56"/>
      <c r="E137" s="199"/>
      <c r="F137" s="25">
        <f t="shared" si="4"/>
        <v>0</v>
      </c>
      <c r="G137" s="200">
        <f t="shared" si="6"/>
        <v>0</v>
      </c>
      <c r="H137" s="204">
        <f t="shared" si="5"/>
        <v>0</v>
      </c>
      <c r="I137" s="202"/>
      <c r="J137" s="202"/>
      <c r="K137" s="202"/>
      <c r="L137" s="202"/>
      <c r="M137" s="202"/>
      <c r="N137" s="202"/>
      <c r="O137" s="202"/>
      <c r="P137" s="202"/>
      <c r="Q137" s="202"/>
      <c r="R137" s="202"/>
      <c r="S137" s="202"/>
      <c r="T137" s="202"/>
      <c r="U137" s="202"/>
      <c r="V137" s="202"/>
      <c r="W137" s="202"/>
      <c r="X137" s="202"/>
      <c r="Y137" s="202"/>
      <c r="Z137" s="202"/>
      <c r="AA137" s="202"/>
      <c r="AB137" s="202"/>
      <c r="AC137" s="202"/>
      <c r="AD137" s="202"/>
      <c r="AE137" s="202"/>
      <c r="AF137" s="202"/>
      <c r="AG137" s="202"/>
      <c r="AH137" s="202"/>
      <c r="AI137" s="202"/>
      <c r="AJ137" s="202"/>
      <c r="AK137" s="202"/>
      <c r="AL137" s="202"/>
      <c r="AM137" s="203"/>
    </row>
    <row r="138" spans="1:39" ht="33" customHeight="1" x14ac:dyDescent="0.3">
      <c r="A138" s="31" t="s">
        <v>277</v>
      </c>
      <c r="B138" s="36" t="s">
        <v>278</v>
      </c>
      <c r="C138" s="51" t="s">
        <v>203</v>
      </c>
      <c r="D138" s="56"/>
      <c r="E138" s="199"/>
      <c r="F138" s="25">
        <f t="shared" si="4"/>
        <v>0</v>
      </c>
      <c r="G138" s="200">
        <f t="shared" si="6"/>
        <v>0</v>
      </c>
      <c r="H138" s="204">
        <f t="shared" si="5"/>
        <v>0</v>
      </c>
      <c r="I138" s="202"/>
      <c r="J138" s="202"/>
      <c r="K138" s="202"/>
      <c r="L138" s="202"/>
      <c r="M138" s="202"/>
      <c r="N138" s="202"/>
      <c r="O138" s="202"/>
      <c r="P138" s="202"/>
      <c r="Q138" s="202"/>
      <c r="R138" s="202"/>
      <c r="S138" s="202"/>
      <c r="T138" s="202"/>
      <c r="U138" s="202"/>
      <c r="V138" s="202"/>
      <c r="W138" s="202"/>
      <c r="X138" s="202"/>
      <c r="Y138" s="202"/>
      <c r="Z138" s="202"/>
      <c r="AA138" s="202"/>
      <c r="AB138" s="202"/>
      <c r="AC138" s="202"/>
      <c r="AD138" s="202"/>
      <c r="AE138" s="202"/>
      <c r="AF138" s="202"/>
      <c r="AG138" s="202"/>
      <c r="AH138" s="202"/>
      <c r="AI138" s="202"/>
      <c r="AJ138" s="202"/>
      <c r="AK138" s="202"/>
      <c r="AL138" s="202"/>
      <c r="AM138" s="203"/>
    </row>
    <row r="139" spans="1:39" ht="33" customHeight="1" x14ac:dyDescent="0.3">
      <c r="A139" s="31" t="s">
        <v>279</v>
      </c>
      <c r="B139" s="34" t="s">
        <v>280</v>
      </c>
      <c r="C139" s="33" t="s">
        <v>203</v>
      </c>
      <c r="D139" s="56"/>
      <c r="E139" s="199"/>
      <c r="F139" s="25">
        <f t="shared" si="4"/>
        <v>0</v>
      </c>
      <c r="G139" s="200">
        <f t="shared" si="6"/>
        <v>0</v>
      </c>
      <c r="H139" s="204">
        <f t="shared" si="5"/>
        <v>0</v>
      </c>
      <c r="I139" s="202"/>
      <c r="J139" s="202"/>
      <c r="K139" s="202"/>
      <c r="L139" s="202"/>
      <c r="M139" s="202"/>
      <c r="N139" s="202"/>
      <c r="O139" s="202"/>
      <c r="P139" s="202"/>
      <c r="Q139" s="202"/>
      <c r="R139" s="202"/>
      <c r="S139" s="202"/>
      <c r="T139" s="202"/>
      <c r="U139" s="202"/>
      <c r="V139" s="202"/>
      <c r="W139" s="202"/>
      <c r="X139" s="202"/>
      <c r="Y139" s="202"/>
      <c r="Z139" s="202"/>
      <c r="AA139" s="202"/>
      <c r="AB139" s="202"/>
      <c r="AC139" s="202"/>
      <c r="AD139" s="202"/>
      <c r="AE139" s="202"/>
      <c r="AF139" s="202"/>
      <c r="AG139" s="202"/>
      <c r="AH139" s="202"/>
      <c r="AI139" s="202"/>
      <c r="AJ139" s="202"/>
      <c r="AK139" s="202"/>
      <c r="AL139" s="202"/>
      <c r="AM139" s="203"/>
    </row>
    <row r="140" spans="1:39" ht="33" customHeight="1" x14ac:dyDescent="0.3">
      <c r="A140" s="31" t="s">
        <v>281</v>
      </c>
      <c r="B140" s="34" t="s">
        <v>282</v>
      </c>
      <c r="C140" s="33" t="s">
        <v>220</v>
      </c>
      <c r="D140" s="56"/>
      <c r="E140" s="199"/>
      <c r="F140" s="25">
        <f t="shared" si="4"/>
        <v>0</v>
      </c>
      <c r="G140" s="200">
        <f t="shared" si="6"/>
        <v>0</v>
      </c>
      <c r="H140" s="204">
        <f t="shared" si="5"/>
        <v>0</v>
      </c>
      <c r="I140" s="202"/>
      <c r="J140" s="202"/>
      <c r="K140" s="202"/>
      <c r="L140" s="202"/>
      <c r="M140" s="202"/>
      <c r="N140" s="202"/>
      <c r="O140" s="202"/>
      <c r="P140" s="202"/>
      <c r="Q140" s="202"/>
      <c r="R140" s="202"/>
      <c r="S140" s="202"/>
      <c r="T140" s="202"/>
      <c r="U140" s="202"/>
      <c r="V140" s="202"/>
      <c r="W140" s="202"/>
      <c r="X140" s="202"/>
      <c r="Y140" s="202"/>
      <c r="Z140" s="202"/>
      <c r="AA140" s="202"/>
      <c r="AB140" s="202"/>
      <c r="AC140" s="202"/>
      <c r="AD140" s="202"/>
      <c r="AE140" s="202"/>
      <c r="AF140" s="202"/>
      <c r="AG140" s="202"/>
      <c r="AH140" s="202"/>
      <c r="AI140" s="202"/>
      <c r="AJ140" s="202"/>
      <c r="AK140" s="202"/>
      <c r="AL140" s="202"/>
      <c r="AM140" s="203"/>
    </row>
    <row r="141" spans="1:39" ht="33" customHeight="1" x14ac:dyDescent="0.3">
      <c r="A141" s="31" t="s">
        <v>283</v>
      </c>
      <c r="B141" s="34" t="s">
        <v>284</v>
      </c>
      <c r="C141" s="33" t="s">
        <v>220</v>
      </c>
      <c r="D141" s="56"/>
      <c r="E141" s="199"/>
      <c r="F141" s="25">
        <f t="shared" si="4"/>
        <v>0</v>
      </c>
      <c r="G141" s="200">
        <f t="shared" si="6"/>
        <v>0</v>
      </c>
      <c r="H141" s="204">
        <f t="shared" si="5"/>
        <v>0</v>
      </c>
      <c r="I141" s="202"/>
      <c r="J141" s="202"/>
      <c r="K141" s="202"/>
      <c r="L141" s="202"/>
      <c r="M141" s="202"/>
      <c r="N141" s="202"/>
      <c r="O141" s="202"/>
      <c r="P141" s="202"/>
      <c r="Q141" s="202"/>
      <c r="R141" s="202"/>
      <c r="S141" s="202"/>
      <c r="T141" s="202"/>
      <c r="U141" s="202"/>
      <c r="V141" s="202"/>
      <c r="W141" s="202"/>
      <c r="X141" s="202"/>
      <c r="Y141" s="202"/>
      <c r="Z141" s="202"/>
      <c r="AA141" s="202"/>
      <c r="AB141" s="202"/>
      <c r="AC141" s="202"/>
      <c r="AD141" s="202"/>
      <c r="AE141" s="202"/>
      <c r="AF141" s="202"/>
      <c r="AG141" s="202"/>
      <c r="AH141" s="202"/>
      <c r="AI141" s="202"/>
      <c r="AJ141" s="202"/>
      <c r="AK141" s="202"/>
      <c r="AL141" s="202"/>
      <c r="AM141" s="203"/>
    </row>
    <row r="142" spans="1:39" ht="33" customHeight="1" x14ac:dyDescent="0.3">
      <c r="A142" s="31" t="s">
        <v>285</v>
      </c>
      <c r="B142" s="34" t="s">
        <v>286</v>
      </c>
      <c r="C142" s="33" t="s">
        <v>203</v>
      </c>
      <c r="D142" s="56"/>
      <c r="E142" s="199"/>
      <c r="F142" s="25">
        <f t="shared" si="4"/>
        <v>0</v>
      </c>
      <c r="G142" s="200">
        <f t="shared" si="6"/>
        <v>0</v>
      </c>
      <c r="H142" s="204">
        <f t="shared" si="5"/>
        <v>0</v>
      </c>
      <c r="I142" s="202"/>
      <c r="J142" s="202"/>
      <c r="K142" s="202"/>
      <c r="L142" s="202"/>
      <c r="M142" s="202"/>
      <c r="N142" s="202"/>
      <c r="O142" s="202"/>
      <c r="P142" s="202"/>
      <c r="Q142" s="202"/>
      <c r="R142" s="202"/>
      <c r="S142" s="202"/>
      <c r="T142" s="202"/>
      <c r="U142" s="202"/>
      <c r="V142" s="202"/>
      <c r="W142" s="202"/>
      <c r="X142" s="202"/>
      <c r="Y142" s="202"/>
      <c r="Z142" s="202"/>
      <c r="AA142" s="202"/>
      <c r="AB142" s="202"/>
      <c r="AC142" s="202"/>
      <c r="AD142" s="202"/>
      <c r="AE142" s="202"/>
      <c r="AF142" s="202"/>
      <c r="AG142" s="202"/>
      <c r="AH142" s="202"/>
      <c r="AI142" s="202"/>
      <c r="AJ142" s="202"/>
      <c r="AK142" s="202"/>
      <c r="AL142" s="202"/>
      <c r="AM142" s="203"/>
    </row>
    <row r="143" spans="1:39" ht="33" customHeight="1" x14ac:dyDescent="0.3">
      <c r="A143" s="31" t="s">
        <v>287</v>
      </c>
      <c r="B143" s="34" t="s">
        <v>288</v>
      </c>
      <c r="C143" s="33" t="s">
        <v>203</v>
      </c>
      <c r="D143" s="56"/>
      <c r="E143" s="199"/>
      <c r="F143" s="25">
        <f t="shared" ref="F143:F207" si="7">E143*D143</f>
        <v>0</v>
      </c>
      <c r="G143" s="200">
        <f t="shared" si="6"/>
        <v>0</v>
      </c>
      <c r="H143" s="204">
        <f t="shared" si="5"/>
        <v>0</v>
      </c>
      <c r="I143" s="202"/>
      <c r="J143" s="202"/>
      <c r="K143" s="202"/>
      <c r="L143" s="202"/>
      <c r="M143" s="202"/>
      <c r="N143" s="202"/>
      <c r="O143" s="202"/>
      <c r="P143" s="202"/>
      <c r="Q143" s="202"/>
      <c r="R143" s="202"/>
      <c r="S143" s="202"/>
      <c r="T143" s="202"/>
      <c r="U143" s="202"/>
      <c r="V143" s="202"/>
      <c r="W143" s="202"/>
      <c r="X143" s="202"/>
      <c r="Y143" s="202"/>
      <c r="Z143" s="202"/>
      <c r="AA143" s="202"/>
      <c r="AB143" s="202"/>
      <c r="AC143" s="202"/>
      <c r="AD143" s="202"/>
      <c r="AE143" s="202"/>
      <c r="AF143" s="202"/>
      <c r="AG143" s="202"/>
      <c r="AH143" s="202"/>
      <c r="AI143" s="202"/>
      <c r="AJ143" s="202"/>
      <c r="AK143" s="202"/>
      <c r="AL143" s="202"/>
      <c r="AM143" s="203"/>
    </row>
    <row r="144" spans="1:39" ht="33" customHeight="1" x14ac:dyDescent="0.3">
      <c r="A144" s="31" t="s">
        <v>289</v>
      </c>
      <c r="B144" s="34" t="s">
        <v>290</v>
      </c>
      <c r="C144" s="33" t="s">
        <v>21</v>
      </c>
      <c r="D144" s="56"/>
      <c r="E144" s="199"/>
      <c r="F144" s="25">
        <f t="shared" si="7"/>
        <v>0</v>
      </c>
      <c r="G144" s="200">
        <f t="shared" si="6"/>
        <v>0</v>
      </c>
      <c r="H144" s="204">
        <f t="shared" ref="H144:H212" si="8">G144*D144</f>
        <v>0</v>
      </c>
      <c r="I144" s="202"/>
      <c r="J144" s="202"/>
      <c r="K144" s="202"/>
      <c r="L144" s="202"/>
      <c r="M144" s="202"/>
      <c r="N144" s="202"/>
      <c r="O144" s="202"/>
      <c r="P144" s="202"/>
      <c r="Q144" s="202"/>
      <c r="R144" s="202"/>
      <c r="S144" s="202"/>
      <c r="T144" s="202"/>
      <c r="U144" s="202"/>
      <c r="V144" s="202"/>
      <c r="W144" s="202"/>
      <c r="X144" s="202"/>
      <c r="Y144" s="202"/>
      <c r="Z144" s="202"/>
      <c r="AA144" s="202"/>
      <c r="AB144" s="202"/>
      <c r="AC144" s="202"/>
      <c r="AD144" s="202"/>
      <c r="AE144" s="202"/>
      <c r="AF144" s="202"/>
      <c r="AG144" s="202"/>
      <c r="AH144" s="202"/>
      <c r="AI144" s="202"/>
      <c r="AJ144" s="202"/>
      <c r="AK144" s="202"/>
      <c r="AL144" s="202"/>
      <c r="AM144" s="203"/>
    </row>
    <row r="145" spans="1:39" ht="33" customHeight="1" x14ac:dyDescent="0.3">
      <c r="A145" s="31" t="s">
        <v>291</v>
      </c>
      <c r="B145" s="34" t="s">
        <v>292</v>
      </c>
      <c r="C145" s="35" t="s">
        <v>21</v>
      </c>
      <c r="D145" s="56"/>
      <c r="E145" s="199"/>
      <c r="F145" s="25">
        <f t="shared" si="7"/>
        <v>0</v>
      </c>
      <c r="G145" s="200">
        <f t="shared" si="6"/>
        <v>0</v>
      </c>
      <c r="H145" s="204">
        <f t="shared" si="8"/>
        <v>0</v>
      </c>
      <c r="I145" s="202"/>
      <c r="J145" s="202"/>
      <c r="K145" s="202"/>
      <c r="L145" s="202"/>
      <c r="M145" s="202"/>
      <c r="N145" s="202"/>
      <c r="O145" s="202"/>
      <c r="P145" s="202"/>
      <c r="Q145" s="202"/>
      <c r="R145" s="202"/>
      <c r="S145" s="202"/>
      <c r="T145" s="202"/>
      <c r="U145" s="202"/>
      <c r="V145" s="202"/>
      <c r="W145" s="202"/>
      <c r="X145" s="202"/>
      <c r="Y145" s="202"/>
      <c r="Z145" s="202"/>
      <c r="AA145" s="202"/>
      <c r="AB145" s="202"/>
      <c r="AC145" s="202"/>
      <c r="AD145" s="202"/>
      <c r="AE145" s="202"/>
      <c r="AF145" s="202"/>
      <c r="AG145" s="202"/>
      <c r="AH145" s="202"/>
      <c r="AI145" s="202"/>
      <c r="AJ145" s="202"/>
      <c r="AK145" s="202"/>
      <c r="AL145" s="202"/>
      <c r="AM145" s="203"/>
    </row>
    <row r="146" spans="1:39" ht="33" customHeight="1" x14ac:dyDescent="0.3">
      <c r="A146" s="31" t="s">
        <v>293</v>
      </c>
      <c r="B146" s="34" t="s">
        <v>294</v>
      </c>
      <c r="C146" s="35" t="s">
        <v>21</v>
      </c>
      <c r="D146" s="56"/>
      <c r="E146" s="199"/>
      <c r="F146" s="25">
        <f t="shared" si="7"/>
        <v>0</v>
      </c>
      <c r="G146" s="200">
        <f t="shared" si="6"/>
        <v>0</v>
      </c>
      <c r="H146" s="204">
        <f t="shared" si="8"/>
        <v>0</v>
      </c>
      <c r="I146" s="202"/>
      <c r="J146" s="202"/>
      <c r="K146" s="202"/>
      <c r="L146" s="202"/>
      <c r="M146" s="202"/>
      <c r="N146" s="202"/>
      <c r="O146" s="202"/>
      <c r="P146" s="202"/>
      <c r="Q146" s="202"/>
      <c r="R146" s="202"/>
      <c r="S146" s="202"/>
      <c r="T146" s="202"/>
      <c r="U146" s="202"/>
      <c r="V146" s="202"/>
      <c r="W146" s="202"/>
      <c r="X146" s="202"/>
      <c r="Y146" s="202"/>
      <c r="Z146" s="202"/>
      <c r="AA146" s="202"/>
      <c r="AB146" s="202"/>
      <c r="AC146" s="202"/>
      <c r="AD146" s="202"/>
      <c r="AE146" s="202"/>
      <c r="AF146" s="202"/>
      <c r="AG146" s="202"/>
      <c r="AH146" s="202"/>
      <c r="AI146" s="202"/>
      <c r="AJ146" s="202"/>
      <c r="AK146" s="202"/>
      <c r="AL146" s="202"/>
      <c r="AM146" s="203"/>
    </row>
    <row r="147" spans="1:39" ht="33" customHeight="1" x14ac:dyDescent="0.3">
      <c r="A147" s="31" t="s">
        <v>295</v>
      </c>
      <c r="B147" s="34" t="s">
        <v>296</v>
      </c>
      <c r="C147" s="35" t="s">
        <v>182</v>
      </c>
      <c r="D147" s="56"/>
      <c r="E147" s="199"/>
      <c r="F147" s="25">
        <f t="shared" si="7"/>
        <v>0</v>
      </c>
      <c r="G147" s="200">
        <f t="shared" si="6"/>
        <v>0</v>
      </c>
      <c r="H147" s="204">
        <f t="shared" si="8"/>
        <v>0</v>
      </c>
      <c r="I147" s="202"/>
      <c r="J147" s="202"/>
      <c r="K147" s="202"/>
      <c r="L147" s="202"/>
      <c r="M147" s="202"/>
      <c r="N147" s="202"/>
      <c r="O147" s="202"/>
      <c r="P147" s="202"/>
      <c r="Q147" s="202"/>
      <c r="R147" s="202"/>
      <c r="S147" s="202"/>
      <c r="T147" s="202"/>
      <c r="U147" s="202"/>
      <c r="V147" s="202"/>
      <c r="W147" s="202"/>
      <c r="X147" s="202"/>
      <c r="Y147" s="202"/>
      <c r="Z147" s="202"/>
      <c r="AA147" s="202"/>
      <c r="AB147" s="202"/>
      <c r="AC147" s="202"/>
      <c r="AD147" s="202"/>
      <c r="AE147" s="202"/>
      <c r="AF147" s="202"/>
      <c r="AG147" s="202"/>
      <c r="AH147" s="202"/>
      <c r="AI147" s="202"/>
      <c r="AJ147" s="202"/>
      <c r="AK147" s="202"/>
      <c r="AL147" s="202"/>
      <c r="AM147" s="203"/>
    </row>
    <row r="148" spans="1:39" ht="33" customHeight="1" x14ac:dyDescent="0.3">
      <c r="A148" s="31" t="s">
        <v>297</v>
      </c>
      <c r="B148" s="34" t="s">
        <v>298</v>
      </c>
      <c r="C148" s="33" t="s">
        <v>182</v>
      </c>
      <c r="D148" s="56"/>
      <c r="E148" s="199"/>
      <c r="F148" s="25">
        <f t="shared" si="7"/>
        <v>0</v>
      </c>
      <c r="G148" s="200">
        <f t="shared" ref="G148:G212" si="9">SUM(I148:AM148)</f>
        <v>0</v>
      </c>
      <c r="H148" s="204">
        <f t="shared" si="8"/>
        <v>0</v>
      </c>
      <c r="I148" s="202"/>
      <c r="J148" s="202"/>
      <c r="K148" s="202"/>
      <c r="L148" s="202"/>
      <c r="M148" s="202"/>
      <c r="N148" s="202"/>
      <c r="O148" s="202"/>
      <c r="P148" s="202"/>
      <c r="Q148" s="202"/>
      <c r="R148" s="202"/>
      <c r="S148" s="202"/>
      <c r="T148" s="202"/>
      <c r="U148" s="202"/>
      <c r="V148" s="202"/>
      <c r="W148" s="202"/>
      <c r="X148" s="202"/>
      <c r="Y148" s="202"/>
      <c r="Z148" s="202"/>
      <c r="AA148" s="202"/>
      <c r="AB148" s="202"/>
      <c r="AC148" s="202"/>
      <c r="AD148" s="202"/>
      <c r="AE148" s="202"/>
      <c r="AF148" s="202"/>
      <c r="AG148" s="202"/>
      <c r="AH148" s="202"/>
      <c r="AI148" s="202"/>
      <c r="AJ148" s="202"/>
      <c r="AK148" s="202"/>
      <c r="AL148" s="202"/>
      <c r="AM148" s="203"/>
    </row>
    <row r="149" spans="1:39" ht="33" customHeight="1" x14ac:dyDescent="0.3">
      <c r="A149" s="31" t="s">
        <v>299</v>
      </c>
      <c r="B149" s="34" t="s">
        <v>300</v>
      </c>
      <c r="C149" s="33" t="s">
        <v>182</v>
      </c>
      <c r="D149" s="56"/>
      <c r="E149" s="199"/>
      <c r="F149" s="25">
        <f t="shared" si="7"/>
        <v>0</v>
      </c>
      <c r="G149" s="200">
        <f t="shared" si="9"/>
        <v>0</v>
      </c>
      <c r="H149" s="204">
        <f t="shared" si="8"/>
        <v>0</v>
      </c>
      <c r="I149" s="202"/>
      <c r="J149" s="202"/>
      <c r="K149" s="202"/>
      <c r="L149" s="202"/>
      <c r="M149" s="202"/>
      <c r="N149" s="202"/>
      <c r="O149" s="202"/>
      <c r="P149" s="202"/>
      <c r="Q149" s="202"/>
      <c r="R149" s="202"/>
      <c r="S149" s="202"/>
      <c r="T149" s="202"/>
      <c r="U149" s="202"/>
      <c r="V149" s="202"/>
      <c r="W149" s="202"/>
      <c r="X149" s="202"/>
      <c r="Y149" s="202"/>
      <c r="Z149" s="202"/>
      <c r="AA149" s="202"/>
      <c r="AB149" s="202"/>
      <c r="AC149" s="202"/>
      <c r="AD149" s="202"/>
      <c r="AE149" s="202"/>
      <c r="AF149" s="202"/>
      <c r="AG149" s="202"/>
      <c r="AH149" s="202"/>
      <c r="AI149" s="202"/>
      <c r="AJ149" s="202"/>
      <c r="AK149" s="202"/>
      <c r="AL149" s="202"/>
      <c r="AM149" s="203"/>
    </row>
    <row r="150" spans="1:39" ht="33" customHeight="1" x14ac:dyDescent="0.3">
      <c r="A150" s="31" t="s">
        <v>301</v>
      </c>
      <c r="B150" s="34" t="s">
        <v>302</v>
      </c>
      <c r="C150" s="33" t="s">
        <v>182</v>
      </c>
      <c r="D150" s="56"/>
      <c r="E150" s="199"/>
      <c r="F150" s="25">
        <f t="shared" si="7"/>
        <v>0</v>
      </c>
      <c r="G150" s="200">
        <f t="shared" si="9"/>
        <v>0</v>
      </c>
      <c r="H150" s="204">
        <f t="shared" si="8"/>
        <v>0</v>
      </c>
      <c r="I150" s="202"/>
      <c r="J150" s="202"/>
      <c r="K150" s="202"/>
      <c r="L150" s="202"/>
      <c r="M150" s="202"/>
      <c r="N150" s="202"/>
      <c r="O150" s="202"/>
      <c r="P150" s="202"/>
      <c r="Q150" s="202"/>
      <c r="R150" s="202"/>
      <c r="S150" s="202"/>
      <c r="T150" s="202"/>
      <c r="U150" s="202"/>
      <c r="V150" s="202"/>
      <c r="W150" s="202"/>
      <c r="X150" s="202"/>
      <c r="Y150" s="202"/>
      <c r="Z150" s="202"/>
      <c r="AA150" s="202"/>
      <c r="AB150" s="202"/>
      <c r="AC150" s="202"/>
      <c r="AD150" s="202"/>
      <c r="AE150" s="202"/>
      <c r="AF150" s="202"/>
      <c r="AG150" s="202"/>
      <c r="AH150" s="202"/>
      <c r="AI150" s="202"/>
      <c r="AJ150" s="202"/>
      <c r="AK150" s="202"/>
      <c r="AL150" s="202"/>
      <c r="AM150" s="203"/>
    </row>
    <row r="151" spans="1:39" ht="33" customHeight="1" x14ac:dyDescent="0.3">
      <c r="A151" s="31" t="s">
        <v>303</v>
      </c>
      <c r="B151" s="34" t="s">
        <v>304</v>
      </c>
      <c r="C151" s="33" t="s">
        <v>87</v>
      </c>
      <c r="D151" s="56"/>
      <c r="E151" s="199"/>
      <c r="F151" s="25">
        <f t="shared" si="7"/>
        <v>0</v>
      </c>
      <c r="G151" s="200">
        <f t="shared" si="9"/>
        <v>0</v>
      </c>
      <c r="H151" s="204">
        <f t="shared" si="8"/>
        <v>0</v>
      </c>
      <c r="I151" s="202"/>
      <c r="J151" s="202"/>
      <c r="K151" s="202"/>
      <c r="L151" s="202"/>
      <c r="M151" s="202"/>
      <c r="N151" s="202"/>
      <c r="O151" s="202"/>
      <c r="P151" s="202"/>
      <c r="Q151" s="202"/>
      <c r="R151" s="202"/>
      <c r="S151" s="202"/>
      <c r="T151" s="202"/>
      <c r="U151" s="202"/>
      <c r="V151" s="202"/>
      <c r="W151" s="202"/>
      <c r="X151" s="202"/>
      <c r="Y151" s="202"/>
      <c r="Z151" s="202"/>
      <c r="AA151" s="202"/>
      <c r="AB151" s="202"/>
      <c r="AC151" s="202"/>
      <c r="AD151" s="202"/>
      <c r="AE151" s="202"/>
      <c r="AF151" s="202"/>
      <c r="AG151" s="202"/>
      <c r="AH151" s="202"/>
      <c r="AI151" s="202"/>
      <c r="AJ151" s="202"/>
      <c r="AK151" s="202"/>
      <c r="AL151" s="202"/>
      <c r="AM151" s="203"/>
    </row>
    <row r="152" spans="1:39" ht="33" customHeight="1" x14ac:dyDescent="0.3">
      <c r="A152" s="31" t="s">
        <v>305</v>
      </c>
      <c r="B152" s="34" t="s">
        <v>306</v>
      </c>
      <c r="C152" s="33" t="s">
        <v>182</v>
      </c>
      <c r="D152" s="56"/>
      <c r="E152" s="199"/>
      <c r="F152" s="25">
        <f t="shared" si="7"/>
        <v>0</v>
      </c>
      <c r="G152" s="200">
        <f t="shared" si="9"/>
        <v>0</v>
      </c>
      <c r="H152" s="204">
        <f t="shared" si="8"/>
        <v>0</v>
      </c>
      <c r="I152" s="202"/>
      <c r="J152" s="202"/>
      <c r="K152" s="202"/>
      <c r="L152" s="202"/>
      <c r="M152" s="202"/>
      <c r="N152" s="202"/>
      <c r="O152" s="202"/>
      <c r="P152" s="202"/>
      <c r="Q152" s="202"/>
      <c r="R152" s="202"/>
      <c r="S152" s="202"/>
      <c r="T152" s="202"/>
      <c r="U152" s="202"/>
      <c r="V152" s="202"/>
      <c r="W152" s="202"/>
      <c r="X152" s="202"/>
      <c r="Y152" s="202"/>
      <c r="Z152" s="202"/>
      <c r="AA152" s="202"/>
      <c r="AB152" s="202"/>
      <c r="AC152" s="202"/>
      <c r="AD152" s="202"/>
      <c r="AE152" s="202"/>
      <c r="AF152" s="202"/>
      <c r="AG152" s="202"/>
      <c r="AH152" s="202"/>
      <c r="AI152" s="202"/>
      <c r="AJ152" s="202"/>
      <c r="AK152" s="202"/>
      <c r="AL152" s="202"/>
      <c r="AM152" s="203"/>
    </row>
    <row r="153" spans="1:39" ht="33" customHeight="1" x14ac:dyDescent="0.3">
      <c r="A153" s="31" t="s">
        <v>307</v>
      </c>
      <c r="B153" s="32" t="s">
        <v>308</v>
      </c>
      <c r="C153" s="33" t="s">
        <v>203</v>
      </c>
      <c r="D153" s="56"/>
      <c r="E153" s="199"/>
      <c r="F153" s="25">
        <f t="shared" si="7"/>
        <v>0</v>
      </c>
      <c r="G153" s="200">
        <f t="shared" si="9"/>
        <v>0</v>
      </c>
      <c r="H153" s="204">
        <f t="shared" si="8"/>
        <v>0</v>
      </c>
      <c r="I153" s="202"/>
      <c r="J153" s="202"/>
      <c r="K153" s="202"/>
      <c r="L153" s="202"/>
      <c r="M153" s="202"/>
      <c r="N153" s="202"/>
      <c r="O153" s="202"/>
      <c r="P153" s="202"/>
      <c r="Q153" s="202"/>
      <c r="R153" s="202"/>
      <c r="S153" s="202"/>
      <c r="T153" s="202"/>
      <c r="U153" s="202"/>
      <c r="V153" s="202"/>
      <c r="W153" s="202"/>
      <c r="X153" s="202"/>
      <c r="Y153" s="202"/>
      <c r="Z153" s="202"/>
      <c r="AA153" s="202"/>
      <c r="AB153" s="202"/>
      <c r="AC153" s="202"/>
      <c r="AD153" s="202"/>
      <c r="AE153" s="202"/>
      <c r="AF153" s="202"/>
      <c r="AG153" s="202"/>
      <c r="AH153" s="202"/>
      <c r="AI153" s="202"/>
      <c r="AJ153" s="202"/>
      <c r="AK153" s="202"/>
      <c r="AL153" s="202"/>
      <c r="AM153" s="203"/>
    </row>
    <row r="154" spans="1:39" ht="33" customHeight="1" x14ac:dyDescent="0.3">
      <c r="A154" s="31" t="s">
        <v>309</v>
      </c>
      <c r="B154" s="32" t="s">
        <v>310</v>
      </c>
      <c r="C154" s="35" t="s">
        <v>203</v>
      </c>
      <c r="D154" s="56"/>
      <c r="E154" s="199"/>
      <c r="F154" s="25">
        <f t="shared" si="7"/>
        <v>0</v>
      </c>
      <c r="G154" s="200">
        <f t="shared" si="9"/>
        <v>0</v>
      </c>
      <c r="H154" s="204">
        <f t="shared" si="8"/>
        <v>0</v>
      </c>
      <c r="I154" s="202"/>
      <c r="J154" s="202"/>
      <c r="K154" s="202"/>
      <c r="L154" s="202"/>
      <c r="M154" s="202"/>
      <c r="N154" s="202"/>
      <c r="O154" s="202"/>
      <c r="P154" s="202"/>
      <c r="Q154" s="202"/>
      <c r="R154" s="202"/>
      <c r="S154" s="202"/>
      <c r="T154" s="202"/>
      <c r="U154" s="202"/>
      <c r="V154" s="202"/>
      <c r="W154" s="202"/>
      <c r="X154" s="202"/>
      <c r="Y154" s="202"/>
      <c r="Z154" s="202"/>
      <c r="AA154" s="202"/>
      <c r="AB154" s="202"/>
      <c r="AC154" s="202"/>
      <c r="AD154" s="202"/>
      <c r="AE154" s="202"/>
      <c r="AF154" s="202"/>
      <c r="AG154" s="202"/>
      <c r="AH154" s="202"/>
      <c r="AI154" s="202"/>
      <c r="AJ154" s="202"/>
      <c r="AK154" s="202"/>
      <c r="AL154" s="202"/>
      <c r="AM154" s="203"/>
    </row>
    <row r="155" spans="1:39" ht="33" customHeight="1" x14ac:dyDescent="0.3">
      <c r="A155" s="31" t="s">
        <v>311</v>
      </c>
      <c r="B155" s="34" t="s">
        <v>312</v>
      </c>
      <c r="C155" s="35" t="s">
        <v>203</v>
      </c>
      <c r="D155" s="56"/>
      <c r="E155" s="199"/>
      <c r="F155" s="25">
        <f t="shared" si="7"/>
        <v>0</v>
      </c>
      <c r="G155" s="200">
        <f t="shared" si="9"/>
        <v>0</v>
      </c>
      <c r="H155" s="204">
        <f t="shared" si="8"/>
        <v>0</v>
      </c>
      <c r="I155" s="202"/>
      <c r="J155" s="202"/>
      <c r="K155" s="202"/>
      <c r="L155" s="202"/>
      <c r="M155" s="202"/>
      <c r="N155" s="202"/>
      <c r="O155" s="202"/>
      <c r="P155" s="202"/>
      <c r="Q155" s="202"/>
      <c r="R155" s="202"/>
      <c r="S155" s="202"/>
      <c r="T155" s="202"/>
      <c r="U155" s="202"/>
      <c r="V155" s="202"/>
      <c r="W155" s="202"/>
      <c r="X155" s="202"/>
      <c r="Y155" s="202"/>
      <c r="Z155" s="202"/>
      <c r="AA155" s="202"/>
      <c r="AB155" s="202"/>
      <c r="AC155" s="202"/>
      <c r="AD155" s="202"/>
      <c r="AE155" s="202"/>
      <c r="AF155" s="202"/>
      <c r="AG155" s="202"/>
      <c r="AH155" s="202"/>
      <c r="AI155" s="202"/>
      <c r="AJ155" s="202"/>
      <c r="AK155" s="202"/>
      <c r="AL155" s="202"/>
      <c r="AM155" s="203"/>
    </row>
    <row r="156" spans="1:39" ht="33" customHeight="1" x14ac:dyDescent="0.3">
      <c r="A156" s="31" t="s">
        <v>313</v>
      </c>
      <c r="B156" s="34" t="s">
        <v>314</v>
      </c>
      <c r="C156" s="35" t="s">
        <v>203</v>
      </c>
      <c r="D156" s="56"/>
      <c r="E156" s="199"/>
      <c r="F156" s="25">
        <f t="shared" si="7"/>
        <v>0</v>
      </c>
      <c r="G156" s="200">
        <f t="shared" si="9"/>
        <v>0</v>
      </c>
      <c r="H156" s="204">
        <f t="shared" si="8"/>
        <v>0</v>
      </c>
      <c r="I156" s="202"/>
      <c r="J156" s="202"/>
      <c r="K156" s="202"/>
      <c r="L156" s="202"/>
      <c r="M156" s="202"/>
      <c r="N156" s="202"/>
      <c r="O156" s="202"/>
      <c r="P156" s="202"/>
      <c r="Q156" s="202"/>
      <c r="R156" s="202"/>
      <c r="S156" s="202"/>
      <c r="T156" s="202"/>
      <c r="U156" s="202"/>
      <c r="V156" s="202"/>
      <c r="W156" s="202"/>
      <c r="X156" s="202"/>
      <c r="Y156" s="202"/>
      <c r="Z156" s="202"/>
      <c r="AA156" s="202"/>
      <c r="AB156" s="202"/>
      <c r="AC156" s="202"/>
      <c r="AD156" s="202"/>
      <c r="AE156" s="202"/>
      <c r="AF156" s="202"/>
      <c r="AG156" s="202"/>
      <c r="AH156" s="202"/>
      <c r="AI156" s="202"/>
      <c r="AJ156" s="202"/>
      <c r="AK156" s="202"/>
      <c r="AL156" s="202"/>
      <c r="AM156" s="203"/>
    </row>
    <row r="157" spans="1:39" ht="33" customHeight="1" x14ac:dyDescent="0.3">
      <c r="A157" s="31" t="s">
        <v>315</v>
      </c>
      <c r="B157" s="34" t="s">
        <v>316</v>
      </c>
      <c r="C157" s="35" t="s">
        <v>203</v>
      </c>
      <c r="D157" s="56"/>
      <c r="E157" s="199"/>
      <c r="F157" s="25">
        <f t="shared" si="7"/>
        <v>0</v>
      </c>
      <c r="G157" s="200">
        <f t="shared" si="9"/>
        <v>0</v>
      </c>
      <c r="H157" s="204">
        <f t="shared" si="8"/>
        <v>0</v>
      </c>
      <c r="I157" s="202"/>
      <c r="J157" s="202"/>
      <c r="K157" s="202"/>
      <c r="L157" s="202"/>
      <c r="M157" s="202"/>
      <c r="N157" s="202"/>
      <c r="O157" s="202"/>
      <c r="P157" s="202"/>
      <c r="Q157" s="202"/>
      <c r="R157" s="202"/>
      <c r="S157" s="202"/>
      <c r="T157" s="202"/>
      <c r="U157" s="202"/>
      <c r="V157" s="202"/>
      <c r="W157" s="202"/>
      <c r="X157" s="202"/>
      <c r="Y157" s="202"/>
      <c r="Z157" s="202"/>
      <c r="AA157" s="202"/>
      <c r="AB157" s="202"/>
      <c r="AC157" s="202"/>
      <c r="AD157" s="202"/>
      <c r="AE157" s="202"/>
      <c r="AF157" s="202"/>
      <c r="AG157" s="202"/>
      <c r="AH157" s="202"/>
      <c r="AI157" s="202"/>
      <c r="AJ157" s="202"/>
      <c r="AK157" s="202"/>
      <c r="AL157" s="202"/>
      <c r="AM157" s="203"/>
    </row>
    <row r="158" spans="1:39" ht="33" customHeight="1" x14ac:dyDescent="0.3">
      <c r="A158" s="31" t="s">
        <v>317</v>
      </c>
      <c r="B158" s="34" t="s">
        <v>318</v>
      </c>
      <c r="C158" s="35" t="s">
        <v>203</v>
      </c>
      <c r="D158" s="56"/>
      <c r="E158" s="199"/>
      <c r="F158" s="25">
        <f t="shared" si="7"/>
        <v>0</v>
      </c>
      <c r="G158" s="200">
        <f t="shared" si="9"/>
        <v>0</v>
      </c>
      <c r="H158" s="204">
        <f t="shared" si="8"/>
        <v>0</v>
      </c>
      <c r="I158" s="202"/>
      <c r="J158" s="202"/>
      <c r="K158" s="202"/>
      <c r="L158" s="202"/>
      <c r="M158" s="202"/>
      <c r="N158" s="202"/>
      <c r="O158" s="202"/>
      <c r="P158" s="202"/>
      <c r="Q158" s="202"/>
      <c r="R158" s="202"/>
      <c r="S158" s="202"/>
      <c r="T158" s="202"/>
      <c r="U158" s="202"/>
      <c r="V158" s="202"/>
      <c r="W158" s="202"/>
      <c r="X158" s="202"/>
      <c r="Y158" s="202"/>
      <c r="Z158" s="202"/>
      <c r="AA158" s="202"/>
      <c r="AB158" s="202"/>
      <c r="AC158" s="202"/>
      <c r="AD158" s="202"/>
      <c r="AE158" s="202"/>
      <c r="AF158" s="202"/>
      <c r="AG158" s="202"/>
      <c r="AH158" s="202"/>
      <c r="AI158" s="202"/>
      <c r="AJ158" s="202"/>
      <c r="AK158" s="202"/>
      <c r="AL158" s="202"/>
      <c r="AM158" s="203"/>
    </row>
    <row r="159" spans="1:39" ht="33" customHeight="1" x14ac:dyDescent="0.3">
      <c r="A159" s="31" t="s">
        <v>319</v>
      </c>
      <c r="B159" s="34" t="s">
        <v>320</v>
      </c>
      <c r="C159" s="33" t="s">
        <v>227</v>
      </c>
      <c r="D159" s="56"/>
      <c r="E159" s="199"/>
      <c r="F159" s="25">
        <f t="shared" si="7"/>
        <v>0</v>
      </c>
      <c r="G159" s="200">
        <f t="shared" si="9"/>
        <v>0</v>
      </c>
      <c r="H159" s="204">
        <f t="shared" si="8"/>
        <v>0</v>
      </c>
      <c r="I159" s="202"/>
      <c r="J159" s="202"/>
      <c r="K159" s="202"/>
      <c r="L159" s="202"/>
      <c r="M159" s="202"/>
      <c r="N159" s="202"/>
      <c r="O159" s="202"/>
      <c r="P159" s="202"/>
      <c r="Q159" s="202"/>
      <c r="R159" s="202"/>
      <c r="S159" s="202"/>
      <c r="T159" s="202"/>
      <c r="U159" s="202"/>
      <c r="V159" s="202"/>
      <c r="W159" s="202"/>
      <c r="X159" s="202"/>
      <c r="Y159" s="202"/>
      <c r="Z159" s="202"/>
      <c r="AA159" s="202"/>
      <c r="AB159" s="202"/>
      <c r="AC159" s="202"/>
      <c r="AD159" s="202"/>
      <c r="AE159" s="202"/>
      <c r="AF159" s="202"/>
      <c r="AG159" s="202"/>
      <c r="AH159" s="202"/>
      <c r="AI159" s="202"/>
      <c r="AJ159" s="202"/>
      <c r="AK159" s="202"/>
      <c r="AL159" s="202"/>
      <c r="AM159" s="203"/>
    </row>
    <row r="160" spans="1:39" ht="33" customHeight="1" x14ac:dyDescent="0.3">
      <c r="A160" s="31" t="s">
        <v>321</v>
      </c>
      <c r="B160" s="34" t="s">
        <v>322</v>
      </c>
      <c r="C160" s="33" t="s">
        <v>227</v>
      </c>
      <c r="D160" s="56"/>
      <c r="E160" s="199"/>
      <c r="F160" s="25">
        <f t="shared" si="7"/>
        <v>0</v>
      </c>
      <c r="G160" s="200">
        <f t="shared" si="9"/>
        <v>0</v>
      </c>
      <c r="H160" s="204">
        <f t="shared" si="8"/>
        <v>0</v>
      </c>
      <c r="I160" s="202"/>
      <c r="J160" s="202"/>
      <c r="K160" s="202"/>
      <c r="L160" s="202"/>
      <c r="M160" s="202"/>
      <c r="N160" s="202"/>
      <c r="O160" s="202"/>
      <c r="P160" s="202"/>
      <c r="Q160" s="202"/>
      <c r="R160" s="202"/>
      <c r="S160" s="202"/>
      <c r="T160" s="202"/>
      <c r="U160" s="202"/>
      <c r="V160" s="202"/>
      <c r="W160" s="202"/>
      <c r="X160" s="202"/>
      <c r="Y160" s="202"/>
      <c r="Z160" s="202"/>
      <c r="AA160" s="202"/>
      <c r="AB160" s="202"/>
      <c r="AC160" s="202"/>
      <c r="AD160" s="202"/>
      <c r="AE160" s="202"/>
      <c r="AF160" s="202"/>
      <c r="AG160" s="202"/>
      <c r="AH160" s="202"/>
      <c r="AI160" s="202"/>
      <c r="AJ160" s="202"/>
      <c r="AK160" s="202"/>
      <c r="AL160" s="202"/>
      <c r="AM160" s="203"/>
    </row>
    <row r="161" spans="1:39" ht="33" customHeight="1" x14ac:dyDescent="0.3">
      <c r="A161" s="31" t="s">
        <v>323</v>
      </c>
      <c r="B161" s="34" t="s">
        <v>324</v>
      </c>
      <c r="C161" s="33" t="s">
        <v>227</v>
      </c>
      <c r="D161" s="56"/>
      <c r="E161" s="199"/>
      <c r="F161" s="25">
        <f t="shared" si="7"/>
        <v>0</v>
      </c>
      <c r="G161" s="200">
        <f t="shared" si="9"/>
        <v>0</v>
      </c>
      <c r="H161" s="204">
        <f t="shared" si="8"/>
        <v>0</v>
      </c>
      <c r="I161" s="202"/>
      <c r="J161" s="202"/>
      <c r="K161" s="202"/>
      <c r="L161" s="202"/>
      <c r="M161" s="202"/>
      <c r="N161" s="202"/>
      <c r="O161" s="202"/>
      <c r="P161" s="202"/>
      <c r="Q161" s="202"/>
      <c r="R161" s="202"/>
      <c r="S161" s="202"/>
      <c r="T161" s="202"/>
      <c r="U161" s="202"/>
      <c r="V161" s="202"/>
      <c r="W161" s="202"/>
      <c r="X161" s="202"/>
      <c r="Y161" s="202"/>
      <c r="Z161" s="202"/>
      <c r="AA161" s="202"/>
      <c r="AB161" s="202"/>
      <c r="AC161" s="202"/>
      <c r="AD161" s="202"/>
      <c r="AE161" s="202"/>
      <c r="AF161" s="202"/>
      <c r="AG161" s="202"/>
      <c r="AH161" s="202"/>
      <c r="AI161" s="202"/>
      <c r="AJ161" s="202"/>
      <c r="AK161" s="202"/>
      <c r="AL161" s="202"/>
      <c r="AM161" s="203"/>
    </row>
    <row r="162" spans="1:39" ht="33" customHeight="1" x14ac:dyDescent="0.3">
      <c r="A162" s="31" t="s">
        <v>325</v>
      </c>
      <c r="B162" s="34" t="s">
        <v>326</v>
      </c>
      <c r="C162" s="33" t="s">
        <v>227</v>
      </c>
      <c r="D162" s="56"/>
      <c r="E162" s="199"/>
      <c r="F162" s="25">
        <f t="shared" si="7"/>
        <v>0</v>
      </c>
      <c r="G162" s="200">
        <f t="shared" si="9"/>
        <v>0</v>
      </c>
      <c r="H162" s="204">
        <f t="shared" si="8"/>
        <v>0</v>
      </c>
      <c r="I162" s="202"/>
      <c r="J162" s="202"/>
      <c r="K162" s="202"/>
      <c r="L162" s="202"/>
      <c r="M162" s="202"/>
      <c r="N162" s="202"/>
      <c r="O162" s="202"/>
      <c r="P162" s="202"/>
      <c r="Q162" s="202"/>
      <c r="R162" s="202"/>
      <c r="S162" s="202"/>
      <c r="T162" s="202"/>
      <c r="U162" s="202"/>
      <c r="V162" s="202"/>
      <c r="W162" s="202"/>
      <c r="X162" s="202"/>
      <c r="Y162" s="202"/>
      <c r="Z162" s="202"/>
      <c r="AA162" s="202"/>
      <c r="AB162" s="202"/>
      <c r="AC162" s="202"/>
      <c r="AD162" s="202"/>
      <c r="AE162" s="202"/>
      <c r="AF162" s="202"/>
      <c r="AG162" s="202"/>
      <c r="AH162" s="202"/>
      <c r="AI162" s="202"/>
      <c r="AJ162" s="202"/>
      <c r="AK162" s="202"/>
      <c r="AL162" s="202"/>
      <c r="AM162" s="203"/>
    </row>
    <row r="163" spans="1:39" ht="33" customHeight="1" x14ac:dyDescent="0.3">
      <c r="A163" s="31" t="s">
        <v>327</v>
      </c>
      <c r="B163" s="34" t="s">
        <v>328</v>
      </c>
      <c r="C163" s="33" t="s">
        <v>203</v>
      </c>
      <c r="D163" s="56"/>
      <c r="E163" s="199"/>
      <c r="F163" s="25">
        <f t="shared" si="7"/>
        <v>0</v>
      </c>
      <c r="G163" s="200">
        <f t="shared" si="9"/>
        <v>0</v>
      </c>
      <c r="H163" s="204">
        <f t="shared" si="8"/>
        <v>0</v>
      </c>
      <c r="I163" s="202"/>
      <c r="J163" s="202"/>
      <c r="K163" s="202"/>
      <c r="L163" s="202"/>
      <c r="M163" s="202"/>
      <c r="N163" s="202"/>
      <c r="O163" s="202"/>
      <c r="P163" s="202"/>
      <c r="Q163" s="202"/>
      <c r="R163" s="202"/>
      <c r="S163" s="202"/>
      <c r="T163" s="202"/>
      <c r="U163" s="202"/>
      <c r="V163" s="202"/>
      <c r="W163" s="202"/>
      <c r="X163" s="202"/>
      <c r="Y163" s="202"/>
      <c r="Z163" s="202"/>
      <c r="AA163" s="202"/>
      <c r="AB163" s="202"/>
      <c r="AC163" s="202"/>
      <c r="AD163" s="202"/>
      <c r="AE163" s="202"/>
      <c r="AF163" s="202"/>
      <c r="AG163" s="202"/>
      <c r="AH163" s="202"/>
      <c r="AI163" s="202"/>
      <c r="AJ163" s="202"/>
      <c r="AK163" s="202"/>
      <c r="AL163" s="202"/>
      <c r="AM163" s="203"/>
    </row>
    <row r="164" spans="1:39" ht="33" customHeight="1" x14ac:dyDescent="0.3">
      <c r="A164" s="31" t="s">
        <v>329</v>
      </c>
      <c r="B164" s="34" t="s">
        <v>330</v>
      </c>
      <c r="C164" s="33" t="s">
        <v>203</v>
      </c>
      <c r="D164" s="56"/>
      <c r="E164" s="199"/>
      <c r="F164" s="25">
        <f t="shared" si="7"/>
        <v>0</v>
      </c>
      <c r="G164" s="200">
        <f t="shared" si="9"/>
        <v>0</v>
      </c>
      <c r="H164" s="204">
        <f t="shared" si="8"/>
        <v>0</v>
      </c>
      <c r="I164" s="202"/>
      <c r="J164" s="202"/>
      <c r="K164" s="202"/>
      <c r="L164" s="202"/>
      <c r="M164" s="202"/>
      <c r="N164" s="202"/>
      <c r="O164" s="202"/>
      <c r="P164" s="202"/>
      <c r="Q164" s="202"/>
      <c r="R164" s="202"/>
      <c r="S164" s="202"/>
      <c r="T164" s="202"/>
      <c r="U164" s="202"/>
      <c r="V164" s="202"/>
      <c r="W164" s="202"/>
      <c r="X164" s="202"/>
      <c r="Y164" s="202"/>
      <c r="Z164" s="202"/>
      <c r="AA164" s="202"/>
      <c r="AB164" s="202"/>
      <c r="AC164" s="202"/>
      <c r="AD164" s="202"/>
      <c r="AE164" s="202"/>
      <c r="AF164" s="202"/>
      <c r="AG164" s="202"/>
      <c r="AH164" s="202"/>
      <c r="AI164" s="202"/>
      <c r="AJ164" s="202"/>
      <c r="AK164" s="202"/>
      <c r="AL164" s="202"/>
      <c r="AM164" s="203"/>
    </row>
    <row r="165" spans="1:39" ht="33" customHeight="1" x14ac:dyDescent="0.3">
      <c r="A165" s="31" t="s">
        <v>331</v>
      </c>
      <c r="B165" s="44" t="s">
        <v>332</v>
      </c>
      <c r="C165" s="33" t="s">
        <v>203</v>
      </c>
      <c r="D165" s="56"/>
      <c r="E165" s="199"/>
      <c r="F165" s="25">
        <f t="shared" si="7"/>
        <v>0</v>
      </c>
      <c r="G165" s="200">
        <f t="shared" si="9"/>
        <v>0</v>
      </c>
      <c r="H165" s="204">
        <f t="shared" si="8"/>
        <v>0</v>
      </c>
      <c r="I165" s="202"/>
      <c r="J165" s="202"/>
      <c r="K165" s="202"/>
      <c r="L165" s="202"/>
      <c r="M165" s="202"/>
      <c r="N165" s="202"/>
      <c r="O165" s="202"/>
      <c r="P165" s="202"/>
      <c r="Q165" s="202"/>
      <c r="R165" s="202"/>
      <c r="S165" s="202"/>
      <c r="T165" s="202"/>
      <c r="U165" s="202"/>
      <c r="V165" s="202"/>
      <c r="W165" s="202"/>
      <c r="X165" s="202"/>
      <c r="Y165" s="202"/>
      <c r="Z165" s="202"/>
      <c r="AA165" s="202"/>
      <c r="AB165" s="202"/>
      <c r="AC165" s="202"/>
      <c r="AD165" s="202"/>
      <c r="AE165" s="202"/>
      <c r="AF165" s="202"/>
      <c r="AG165" s="202"/>
      <c r="AH165" s="202"/>
      <c r="AI165" s="202"/>
      <c r="AJ165" s="202"/>
      <c r="AK165" s="202"/>
      <c r="AL165" s="202"/>
      <c r="AM165" s="203"/>
    </row>
    <row r="166" spans="1:39" ht="33" customHeight="1" x14ac:dyDescent="0.3">
      <c r="A166" s="31" t="s">
        <v>333</v>
      </c>
      <c r="B166" s="245" t="s">
        <v>334</v>
      </c>
      <c r="C166" s="33" t="s">
        <v>203</v>
      </c>
      <c r="D166" s="56"/>
      <c r="E166" s="199"/>
      <c r="F166" s="25">
        <f t="shared" si="7"/>
        <v>0</v>
      </c>
      <c r="G166" s="200">
        <f t="shared" si="9"/>
        <v>0</v>
      </c>
      <c r="H166" s="204">
        <f t="shared" si="8"/>
        <v>0</v>
      </c>
      <c r="I166" s="202"/>
      <c r="J166" s="202"/>
      <c r="K166" s="202"/>
      <c r="L166" s="202"/>
      <c r="M166" s="202"/>
      <c r="N166" s="202"/>
      <c r="O166" s="202"/>
      <c r="P166" s="202"/>
      <c r="Q166" s="202"/>
      <c r="R166" s="202"/>
      <c r="S166" s="202"/>
      <c r="T166" s="202"/>
      <c r="U166" s="202"/>
      <c r="V166" s="202"/>
      <c r="W166" s="202"/>
      <c r="X166" s="202"/>
      <c r="Y166" s="202"/>
      <c r="Z166" s="202"/>
      <c r="AA166" s="202"/>
      <c r="AB166" s="202"/>
      <c r="AC166" s="202"/>
      <c r="AD166" s="202"/>
      <c r="AE166" s="202"/>
      <c r="AF166" s="202"/>
      <c r="AG166" s="202"/>
      <c r="AH166" s="202"/>
      <c r="AI166" s="202"/>
      <c r="AJ166" s="202"/>
      <c r="AK166" s="202"/>
      <c r="AL166" s="202"/>
      <c r="AM166" s="203"/>
    </row>
    <row r="167" spans="1:39" ht="33" customHeight="1" x14ac:dyDescent="0.3">
      <c r="A167" s="31" t="s">
        <v>335</v>
      </c>
      <c r="B167" s="34" t="s">
        <v>336</v>
      </c>
      <c r="C167" s="33" t="s">
        <v>203</v>
      </c>
      <c r="D167" s="56"/>
      <c r="E167" s="199"/>
      <c r="F167" s="25">
        <f t="shared" si="7"/>
        <v>0</v>
      </c>
      <c r="G167" s="200">
        <f t="shared" si="9"/>
        <v>0</v>
      </c>
      <c r="H167" s="204">
        <f t="shared" si="8"/>
        <v>0</v>
      </c>
      <c r="I167" s="202"/>
      <c r="J167" s="202"/>
      <c r="K167" s="202"/>
      <c r="L167" s="202"/>
      <c r="M167" s="202"/>
      <c r="N167" s="202"/>
      <c r="O167" s="202"/>
      <c r="P167" s="202"/>
      <c r="Q167" s="202"/>
      <c r="R167" s="202"/>
      <c r="S167" s="202"/>
      <c r="T167" s="202"/>
      <c r="U167" s="202"/>
      <c r="V167" s="202"/>
      <c r="W167" s="202"/>
      <c r="X167" s="202"/>
      <c r="Y167" s="202"/>
      <c r="Z167" s="202"/>
      <c r="AA167" s="202"/>
      <c r="AB167" s="202"/>
      <c r="AC167" s="202"/>
      <c r="AD167" s="202"/>
      <c r="AE167" s="202"/>
      <c r="AF167" s="202"/>
      <c r="AG167" s="202"/>
      <c r="AH167" s="202"/>
      <c r="AI167" s="202"/>
      <c r="AJ167" s="202"/>
      <c r="AK167" s="202"/>
      <c r="AL167" s="202"/>
      <c r="AM167" s="203"/>
    </row>
    <row r="168" spans="1:39" ht="33" customHeight="1" x14ac:dyDescent="0.3">
      <c r="A168" s="31" t="s">
        <v>337</v>
      </c>
      <c r="B168" s="34" t="s">
        <v>338</v>
      </c>
      <c r="C168" s="35" t="s">
        <v>203</v>
      </c>
      <c r="D168" s="56"/>
      <c r="E168" s="199"/>
      <c r="F168" s="25">
        <f t="shared" si="7"/>
        <v>0</v>
      </c>
      <c r="G168" s="200">
        <f t="shared" si="9"/>
        <v>0</v>
      </c>
      <c r="H168" s="204">
        <f t="shared" si="8"/>
        <v>0</v>
      </c>
      <c r="I168" s="202"/>
      <c r="J168" s="202"/>
      <c r="K168" s="202"/>
      <c r="L168" s="202"/>
      <c r="M168" s="202"/>
      <c r="N168" s="202"/>
      <c r="O168" s="202"/>
      <c r="P168" s="202"/>
      <c r="Q168" s="202"/>
      <c r="R168" s="202"/>
      <c r="S168" s="202"/>
      <c r="T168" s="202"/>
      <c r="U168" s="202"/>
      <c r="V168" s="202"/>
      <c r="W168" s="202"/>
      <c r="X168" s="202"/>
      <c r="Y168" s="202"/>
      <c r="Z168" s="202"/>
      <c r="AA168" s="202"/>
      <c r="AB168" s="202"/>
      <c r="AC168" s="202"/>
      <c r="AD168" s="202"/>
      <c r="AE168" s="202"/>
      <c r="AF168" s="202"/>
      <c r="AG168" s="202"/>
      <c r="AH168" s="202"/>
      <c r="AI168" s="202"/>
      <c r="AJ168" s="202"/>
      <c r="AK168" s="202"/>
      <c r="AL168" s="202"/>
      <c r="AM168" s="203"/>
    </row>
    <row r="169" spans="1:39" ht="33" customHeight="1" x14ac:dyDescent="0.3">
      <c r="A169" s="31" t="s">
        <v>339</v>
      </c>
      <c r="B169" s="32" t="s">
        <v>340</v>
      </c>
      <c r="C169" s="35" t="s">
        <v>203</v>
      </c>
      <c r="D169" s="56"/>
      <c r="E169" s="199"/>
      <c r="F169" s="25">
        <f t="shared" si="7"/>
        <v>0</v>
      </c>
      <c r="G169" s="200">
        <f t="shared" si="9"/>
        <v>0</v>
      </c>
      <c r="H169" s="204">
        <f t="shared" si="8"/>
        <v>0</v>
      </c>
      <c r="I169" s="202"/>
      <c r="J169" s="202"/>
      <c r="K169" s="202"/>
      <c r="L169" s="202"/>
      <c r="M169" s="202"/>
      <c r="N169" s="202"/>
      <c r="O169" s="202"/>
      <c r="P169" s="202"/>
      <c r="Q169" s="202"/>
      <c r="R169" s="202"/>
      <c r="S169" s="202"/>
      <c r="T169" s="202"/>
      <c r="U169" s="202"/>
      <c r="V169" s="202"/>
      <c r="W169" s="202"/>
      <c r="X169" s="202"/>
      <c r="Y169" s="202"/>
      <c r="Z169" s="202"/>
      <c r="AA169" s="202"/>
      <c r="AB169" s="202"/>
      <c r="AC169" s="202"/>
      <c r="AD169" s="202"/>
      <c r="AE169" s="202"/>
      <c r="AF169" s="202"/>
      <c r="AG169" s="202"/>
      <c r="AH169" s="202"/>
      <c r="AI169" s="202"/>
      <c r="AJ169" s="202"/>
      <c r="AK169" s="202"/>
      <c r="AL169" s="202"/>
      <c r="AM169" s="203"/>
    </row>
    <row r="170" spans="1:39" ht="33" customHeight="1" x14ac:dyDescent="0.3">
      <c r="A170" s="31" t="s">
        <v>341</v>
      </c>
      <c r="B170" s="32" t="s">
        <v>342</v>
      </c>
      <c r="C170" s="33" t="s">
        <v>220</v>
      </c>
      <c r="D170" s="56"/>
      <c r="E170" s="199"/>
      <c r="F170" s="25">
        <f t="shared" si="7"/>
        <v>0</v>
      </c>
      <c r="G170" s="200">
        <f t="shared" si="9"/>
        <v>0</v>
      </c>
      <c r="H170" s="204">
        <f t="shared" si="8"/>
        <v>0</v>
      </c>
      <c r="I170" s="202"/>
      <c r="J170" s="202"/>
      <c r="K170" s="202"/>
      <c r="L170" s="202"/>
      <c r="M170" s="202"/>
      <c r="N170" s="202"/>
      <c r="O170" s="202"/>
      <c r="P170" s="202"/>
      <c r="Q170" s="202"/>
      <c r="R170" s="202"/>
      <c r="S170" s="202"/>
      <c r="T170" s="202"/>
      <c r="U170" s="202"/>
      <c r="V170" s="202"/>
      <c r="W170" s="202"/>
      <c r="X170" s="202"/>
      <c r="Y170" s="202"/>
      <c r="Z170" s="202"/>
      <c r="AA170" s="202"/>
      <c r="AB170" s="202"/>
      <c r="AC170" s="202"/>
      <c r="AD170" s="202"/>
      <c r="AE170" s="202"/>
      <c r="AF170" s="202"/>
      <c r="AG170" s="202"/>
      <c r="AH170" s="202"/>
      <c r="AI170" s="202"/>
      <c r="AJ170" s="202"/>
      <c r="AK170" s="202"/>
      <c r="AL170" s="202"/>
      <c r="AM170" s="203"/>
    </row>
    <row r="171" spans="1:39" ht="33" customHeight="1" x14ac:dyDescent="0.3">
      <c r="A171" s="52" t="s">
        <v>343</v>
      </c>
      <c r="B171" s="32" t="s">
        <v>344</v>
      </c>
      <c r="C171" s="33" t="s">
        <v>220</v>
      </c>
      <c r="D171" s="56"/>
      <c r="E171" s="199"/>
      <c r="F171" s="25">
        <f t="shared" si="7"/>
        <v>0</v>
      </c>
      <c r="G171" s="200">
        <f t="shared" si="9"/>
        <v>0</v>
      </c>
      <c r="H171" s="204">
        <f t="shared" si="8"/>
        <v>0</v>
      </c>
      <c r="I171" s="202"/>
      <c r="J171" s="202"/>
      <c r="K171" s="202"/>
      <c r="L171" s="202"/>
      <c r="M171" s="202"/>
      <c r="N171" s="202"/>
      <c r="O171" s="202"/>
      <c r="P171" s="202"/>
      <c r="Q171" s="202"/>
      <c r="R171" s="202"/>
      <c r="S171" s="202"/>
      <c r="T171" s="202"/>
      <c r="U171" s="202"/>
      <c r="V171" s="202"/>
      <c r="W171" s="202"/>
      <c r="X171" s="202"/>
      <c r="Y171" s="202"/>
      <c r="Z171" s="202"/>
      <c r="AA171" s="202"/>
      <c r="AB171" s="202"/>
      <c r="AC171" s="202"/>
      <c r="AD171" s="202"/>
      <c r="AE171" s="202"/>
      <c r="AF171" s="202"/>
      <c r="AG171" s="202"/>
      <c r="AH171" s="202"/>
      <c r="AI171" s="202"/>
      <c r="AJ171" s="202"/>
      <c r="AK171" s="202"/>
      <c r="AL171" s="202"/>
      <c r="AM171" s="203"/>
    </row>
    <row r="172" spans="1:39" ht="33" customHeight="1" x14ac:dyDescent="0.3">
      <c r="A172" s="52" t="s">
        <v>345</v>
      </c>
      <c r="B172" s="32" t="s">
        <v>346</v>
      </c>
      <c r="C172" s="53" t="s">
        <v>220</v>
      </c>
      <c r="D172" s="56"/>
      <c r="E172" s="199"/>
      <c r="F172" s="25">
        <f t="shared" si="7"/>
        <v>0</v>
      </c>
      <c r="G172" s="200">
        <f t="shared" si="9"/>
        <v>0</v>
      </c>
      <c r="H172" s="204">
        <f t="shared" si="8"/>
        <v>0</v>
      </c>
      <c r="I172" s="202"/>
      <c r="J172" s="202"/>
      <c r="K172" s="202"/>
      <c r="L172" s="202"/>
      <c r="M172" s="202"/>
      <c r="N172" s="202"/>
      <c r="O172" s="202"/>
      <c r="P172" s="202"/>
      <c r="Q172" s="202"/>
      <c r="R172" s="202"/>
      <c r="S172" s="202"/>
      <c r="T172" s="202"/>
      <c r="U172" s="202"/>
      <c r="V172" s="202"/>
      <c r="W172" s="202"/>
      <c r="X172" s="202"/>
      <c r="Y172" s="202"/>
      <c r="Z172" s="202"/>
      <c r="AA172" s="202"/>
      <c r="AB172" s="202"/>
      <c r="AC172" s="202"/>
      <c r="AD172" s="202"/>
      <c r="AE172" s="202"/>
      <c r="AF172" s="202"/>
      <c r="AG172" s="202"/>
      <c r="AH172" s="202"/>
      <c r="AI172" s="202"/>
      <c r="AJ172" s="202"/>
      <c r="AK172" s="202"/>
      <c r="AL172" s="202"/>
      <c r="AM172" s="203"/>
    </row>
    <row r="173" spans="1:39" ht="33" customHeight="1" x14ac:dyDescent="0.3">
      <c r="A173" s="52" t="s">
        <v>347</v>
      </c>
      <c r="B173" s="32" t="s">
        <v>348</v>
      </c>
      <c r="C173" s="35" t="s">
        <v>220</v>
      </c>
      <c r="D173" s="56"/>
      <c r="E173" s="199"/>
      <c r="F173" s="25">
        <f t="shared" si="7"/>
        <v>0</v>
      </c>
      <c r="G173" s="200">
        <f t="shared" si="9"/>
        <v>0</v>
      </c>
      <c r="H173" s="204">
        <f t="shared" si="8"/>
        <v>0</v>
      </c>
      <c r="I173" s="202"/>
      <c r="J173" s="202"/>
      <c r="K173" s="202"/>
      <c r="L173" s="202"/>
      <c r="M173" s="202"/>
      <c r="N173" s="202"/>
      <c r="O173" s="202"/>
      <c r="P173" s="202"/>
      <c r="Q173" s="202"/>
      <c r="R173" s="202"/>
      <c r="S173" s="202"/>
      <c r="T173" s="202"/>
      <c r="U173" s="202"/>
      <c r="V173" s="202"/>
      <c r="W173" s="202"/>
      <c r="X173" s="202"/>
      <c r="Y173" s="202"/>
      <c r="Z173" s="202"/>
      <c r="AA173" s="202"/>
      <c r="AB173" s="202"/>
      <c r="AC173" s="202"/>
      <c r="AD173" s="202"/>
      <c r="AE173" s="202"/>
      <c r="AF173" s="202"/>
      <c r="AG173" s="202"/>
      <c r="AH173" s="202"/>
      <c r="AI173" s="202"/>
      <c r="AJ173" s="202"/>
      <c r="AK173" s="202"/>
      <c r="AL173" s="202"/>
      <c r="AM173" s="203"/>
    </row>
    <row r="174" spans="1:39" ht="33" customHeight="1" x14ac:dyDescent="0.3">
      <c r="A174" s="31" t="s">
        <v>349</v>
      </c>
      <c r="B174" s="32" t="s">
        <v>350</v>
      </c>
      <c r="C174" s="35" t="s">
        <v>220</v>
      </c>
      <c r="D174" s="56"/>
      <c r="E174" s="199"/>
      <c r="F174" s="25">
        <f t="shared" si="7"/>
        <v>0</v>
      </c>
      <c r="G174" s="200">
        <f t="shared" si="9"/>
        <v>0</v>
      </c>
      <c r="H174" s="204">
        <f t="shared" si="8"/>
        <v>0</v>
      </c>
      <c r="I174" s="202"/>
      <c r="J174" s="202"/>
      <c r="K174" s="202"/>
      <c r="L174" s="202"/>
      <c r="M174" s="202"/>
      <c r="N174" s="202"/>
      <c r="O174" s="202"/>
      <c r="P174" s="202"/>
      <c r="Q174" s="202"/>
      <c r="R174" s="202"/>
      <c r="S174" s="202"/>
      <c r="T174" s="202"/>
      <c r="U174" s="202"/>
      <c r="V174" s="202"/>
      <c r="W174" s="202"/>
      <c r="X174" s="202"/>
      <c r="Y174" s="202"/>
      <c r="Z174" s="202"/>
      <c r="AA174" s="202"/>
      <c r="AB174" s="202"/>
      <c r="AC174" s="202"/>
      <c r="AD174" s="202"/>
      <c r="AE174" s="202"/>
      <c r="AF174" s="202"/>
      <c r="AG174" s="202"/>
      <c r="AH174" s="202"/>
      <c r="AI174" s="202"/>
      <c r="AJ174" s="202"/>
      <c r="AK174" s="202"/>
      <c r="AL174" s="202"/>
      <c r="AM174" s="203"/>
    </row>
    <row r="175" spans="1:39" ht="39" customHeight="1" x14ac:dyDescent="0.3">
      <c r="A175" s="31" t="s">
        <v>351</v>
      </c>
      <c r="B175" s="32" t="s">
        <v>352</v>
      </c>
      <c r="C175" s="35" t="s">
        <v>203</v>
      </c>
      <c r="D175" s="56"/>
      <c r="E175" s="199"/>
      <c r="F175" s="25">
        <f t="shared" si="7"/>
        <v>0</v>
      </c>
      <c r="G175" s="200">
        <f t="shared" si="9"/>
        <v>0</v>
      </c>
      <c r="H175" s="204">
        <f t="shared" si="8"/>
        <v>0</v>
      </c>
      <c r="I175" s="202"/>
      <c r="J175" s="202"/>
      <c r="K175" s="202"/>
      <c r="L175" s="202"/>
      <c r="M175" s="202"/>
      <c r="N175" s="202"/>
      <c r="O175" s="202"/>
      <c r="P175" s="202"/>
      <c r="Q175" s="202"/>
      <c r="R175" s="202"/>
      <c r="S175" s="202"/>
      <c r="T175" s="202"/>
      <c r="U175" s="202"/>
      <c r="V175" s="202"/>
      <c r="W175" s="202"/>
      <c r="X175" s="202"/>
      <c r="Y175" s="202"/>
      <c r="Z175" s="202"/>
      <c r="AA175" s="202"/>
      <c r="AB175" s="202"/>
      <c r="AC175" s="202"/>
      <c r="AD175" s="202"/>
      <c r="AE175" s="202"/>
      <c r="AF175" s="202"/>
      <c r="AG175" s="202"/>
      <c r="AH175" s="202"/>
      <c r="AI175" s="202"/>
      <c r="AJ175" s="202"/>
      <c r="AK175" s="202"/>
      <c r="AL175" s="202"/>
      <c r="AM175" s="203"/>
    </row>
    <row r="176" spans="1:39" ht="33" customHeight="1" x14ac:dyDescent="0.3">
      <c r="A176" s="31" t="s">
        <v>353</v>
      </c>
      <c r="B176" s="32" t="s">
        <v>354</v>
      </c>
      <c r="C176" s="35" t="s">
        <v>203</v>
      </c>
      <c r="D176" s="56"/>
      <c r="E176" s="199"/>
      <c r="F176" s="25">
        <f t="shared" si="7"/>
        <v>0</v>
      </c>
      <c r="G176" s="200">
        <f t="shared" si="9"/>
        <v>0</v>
      </c>
      <c r="H176" s="204">
        <f t="shared" si="8"/>
        <v>0</v>
      </c>
      <c r="I176" s="202"/>
      <c r="J176" s="202"/>
      <c r="K176" s="202"/>
      <c r="L176" s="202"/>
      <c r="M176" s="202"/>
      <c r="N176" s="202"/>
      <c r="O176" s="202"/>
      <c r="P176" s="202"/>
      <c r="Q176" s="202"/>
      <c r="R176" s="202"/>
      <c r="S176" s="202"/>
      <c r="T176" s="202"/>
      <c r="U176" s="202"/>
      <c r="V176" s="202"/>
      <c r="W176" s="202"/>
      <c r="X176" s="202"/>
      <c r="Y176" s="202"/>
      <c r="Z176" s="202"/>
      <c r="AA176" s="202"/>
      <c r="AB176" s="202"/>
      <c r="AC176" s="202"/>
      <c r="AD176" s="202"/>
      <c r="AE176" s="202"/>
      <c r="AF176" s="202"/>
      <c r="AG176" s="202"/>
      <c r="AH176" s="202"/>
      <c r="AI176" s="202"/>
      <c r="AJ176" s="202"/>
      <c r="AK176" s="202"/>
      <c r="AL176" s="202"/>
      <c r="AM176" s="203"/>
    </row>
    <row r="177" spans="1:39" ht="33" customHeight="1" x14ac:dyDescent="0.3">
      <c r="A177" s="31" t="s">
        <v>355</v>
      </c>
      <c r="B177" s="32" t="s">
        <v>356</v>
      </c>
      <c r="C177" s="35" t="s">
        <v>203</v>
      </c>
      <c r="D177" s="56"/>
      <c r="E177" s="199"/>
      <c r="F177" s="25">
        <f t="shared" si="7"/>
        <v>0</v>
      </c>
      <c r="G177" s="200">
        <f t="shared" si="9"/>
        <v>0</v>
      </c>
      <c r="H177" s="204">
        <f t="shared" si="8"/>
        <v>0</v>
      </c>
      <c r="I177" s="202"/>
      <c r="J177" s="202"/>
      <c r="K177" s="202"/>
      <c r="L177" s="202"/>
      <c r="M177" s="202"/>
      <c r="N177" s="202"/>
      <c r="O177" s="202"/>
      <c r="P177" s="202"/>
      <c r="Q177" s="202"/>
      <c r="R177" s="202"/>
      <c r="S177" s="202"/>
      <c r="T177" s="202"/>
      <c r="U177" s="202"/>
      <c r="V177" s="202"/>
      <c r="W177" s="202"/>
      <c r="X177" s="202"/>
      <c r="Y177" s="202"/>
      <c r="Z177" s="202"/>
      <c r="AA177" s="202"/>
      <c r="AB177" s="202"/>
      <c r="AC177" s="202"/>
      <c r="AD177" s="202"/>
      <c r="AE177" s="202"/>
      <c r="AF177" s="202"/>
      <c r="AG177" s="202"/>
      <c r="AH177" s="202"/>
      <c r="AI177" s="202"/>
      <c r="AJ177" s="202"/>
      <c r="AK177" s="202"/>
      <c r="AL177" s="202"/>
      <c r="AM177" s="203"/>
    </row>
    <row r="178" spans="1:39" ht="33" customHeight="1" x14ac:dyDescent="0.3">
      <c r="A178" s="31" t="s">
        <v>357</v>
      </c>
      <c r="B178" s="32" t="s">
        <v>358</v>
      </c>
      <c r="C178" s="35" t="s">
        <v>203</v>
      </c>
      <c r="D178" s="56"/>
      <c r="E178" s="199"/>
      <c r="F178" s="25">
        <f t="shared" si="7"/>
        <v>0</v>
      </c>
      <c r="G178" s="200">
        <f t="shared" si="9"/>
        <v>0</v>
      </c>
      <c r="H178" s="204">
        <f t="shared" si="8"/>
        <v>0</v>
      </c>
      <c r="I178" s="202"/>
      <c r="J178" s="202"/>
      <c r="K178" s="202"/>
      <c r="L178" s="202"/>
      <c r="M178" s="202"/>
      <c r="N178" s="202"/>
      <c r="O178" s="202"/>
      <c r="P178" s="202"/>
      <c r="Q178" s="202"/>
      <c r="R178" s="202"/>
      <c r="S178" s="202"/>
      <c r="T178" s="202"/>
      <c r="U178" s="202"/>
      <c r="V178" s="202"/>
      <c r="W178" s="202"/>
      <c r="X178" s="202"/>
      <c r="Y178" s="202"/>
      <c r="Z178" s="202"/>
      <c r="AA178" s="202"/>
      <c r="AB178" s="202"/>
      <c r="AC178" s="202"/>
      <c r="AD178" s="202"/>
      <c r="AE178" s="202"/>
      <c r="AF178" s="202"/>
      <c r="AG178" s="202"/>
      <c r="AH178" s="202"/>
      <c r="AI178" s="202"/>
      <c r="AJ178" s="202"/>
      <c r="AK178" s="202"/>
      <c r="AL178" s="202"/>
      <c r="AM178" s="203"/>
    </row>
    <row r="179" spans="1:39" ht="33" customHeight="1" x14ac:dyDescent="0.3">
      <c r="A179" s="31" t="s">
        <v>359</v>
      </c>
      <c r="B179" s="32" t="s">
        <v>360</v>
      </c>
      <c r="C179" s="35" t="s">
        <v>203</v>
      </c>
      <c r="D179" s="56"/>
      <c r="E179" s="199"/>
      <c r="F179" s="25">
        <f t="shared" si="7"/>
        <v>0</v>
      </c>
      <c r="G179" s="200">
        <f t="shared" si="9"/>
        <v>0</v>
      </c>
      <c r="H179" s="204">
        <f t="shared" si="8"/>
        <v>0</v>
      </c>
      <c r="I179" s="202"/>
      <c r="J179" s="202"/>
      <c r="K179" s="202"/>
      <c r="L179" s="202"/>
      <c r="M179" s="202"/>
      <c r="N179" s="202"/>
      <c r="O179" s="202"/>
      <c r="P179" s="202"/>
      <c r="Q179" s="202"/>
      <c r="R179" s="202"/>
      <c r="S179" s="202"/>
      <c r="T179" s="202"/>
      <c r="U179" s="202"/>
      <c r="V179" s="202"/>
      <c r="W179" s="202"/>
      <c r="X179" s="202"/>
      <c r="Y179" s="202"/>
      <c r="Z179" s="202"/>
      <c r="AA179" s="202"/>
      <c r="AB179" s="202"/>
      <c r="AC179" s="202"/>
      <c r="AD179" s="202"/>
      <c r="AE179" s="202"/>
      <c r="AF179" s="202"/>
      <c r="AG179" s="202"/>
      <c r="AH179" s="202"/>
      <c r="AI179" s="202"/>
      <c r="AJ179" s="202"/>
      <c r="AK179" s="202"/>
      <c r="AL179" s="202"/>
      <c r="AM179" s="203"/>
    </row>
    <row r="180" spans="1:39" ht="33" customHeight="1" x14ac:dyDescent="0.3">
      <c r="A180" s="31" t="s">
        <v>361</v>
      </c>
      <c r="B180" s="32" t="s">
        <v>362</v>
      </c>
      <c r="C180" s="35" t="s">
        <v>203</v>
      </c>
      <c r="D180" s="56"/>
      <c r="E180" s="199"/>
      <c r="F180" s="25">
        <f t="shared" si="7"/>
        <v>0</v>
      </c>
      <c r="G180" s="200">
        <f t="shared" si="9"/>
        <v>0</v>
      </c>
      <c r="H180" s="204">
        <f t="shared" si="8"/>
        <v>0</v>
      </c>
      <c r="I180" s="202"/>
      <c r="J180" s="202"/>
      <c r="K180" s="202"/>
      <c r="L180" s="202"/>
      <c r="M180" s="202"/>
      <c r="N180" s="202"/>
      <c r="O180" s="202"/>
      <c r="P180" s="202"/>
      <c r="Q180" s="202"/>
      <c r="R180" s="202"/>
      <c r="S180" s="202"/>
      <c r="T180" s="202"/>
      <c r="U180" s="202"/>
      <c r="V180" s="202"/>
      <c r="W180" s="202"/>
      <c r="X180" s="202"/>
      <c r="Y180" s="202"/>
      <c r="Z180" s="202"/>
      <c r="AA180" s="202"/>
      <c r="AB180" s="202"/>
      <c r="AC180" s="202"/>
      <c r="AD180" s="202"/>
      <c r="AE180" s="202"/>
      <c r="AF180" s="202"/>
      <c r="AG180" s="202"/>
      <c r="AH180" s="202"/>
      <c r="AI180" s="202"/>
      <c r="AJ180" s="202"/>
      <c r="AK180" s="202"/>
      <c r="AL180" s="202"/>
      <c r="AM180" s="203"/>
    </row>
    <row r="181" spans="1:39" ht="33" customHeight="1" x14ac:dyDescent="0.3">
      <c r="A181" s="31" t="s">
        <v>363</v>
      </c>
      <c r="B181" s="32" t="s">
        <v>364</v>
      </c>
      <c r="C181" s="35" t="s">
        <v>203</v>
      </c>
      <c r="D181" s="56"/>
      <c r="E181" s="199"/>
      <c r="F181" s="25">
        <f t="shared" si="7"/>
        <v>0</v>
      </c>
      <c r="G181" s="200">
        <f t="shared" si="9"/>
        <v>0</v>
      </c>
      <c r="H181" s="204">
        <f t="shared" si="8"/>
        <v>0</v>
      </c>
      <c r="I181" s="202"/>
      <c r="J181" s="202"/>
      <c r="K181" s="202"/>
      <c r="L181" s="202"/>
      <c r="M181" s="202"/>
      <c r="N181" s="202"/>
      <c r="O181" s="202"/>
      <c r="P181" s="202"/>
      <c r="Q181" s="202"/>
      <c r="R181" s="202"/>
      <c r="S181" s="202"/>
      <c r="T181" s="202"/>
      <c r="U181" s="202"/>
      <c r="V181" s="202"/>
      <c r="W181" s="202"/>
      <c r="X181" s="202"/>
      <c r="Y181" s="202"/>
      <c r="Z181" s="202"/>
      <c r="AA181" s="202"/>
      <c r="AB181" s="202"/>
      <c r="AC181" s="202"/>
      <c r="AD181" s="202"/>
      <c r="AE181" s="202"/>
      <c r="AF181" s="202"/>
      <c r="AG181" s="202"/>
      <c r="AH181" s="202"/>
      <c r="AI181" s="202"/>
      <c r="AJ181" s="202"/>
      <c r="AK181" s="202"/>
      <c r="AL181" s="202"/>
      <c r="AM181" s="203"/>
    </row>
    <row r="182" spans="1:39" ht="33" customHeight="1" x14ac:dyDescent="0.3">
      <c r="A182" s="31" t="s">
        <v>365</v>
      </c>
      <c r="B182" s="32" t="s">
        <v>366</v>
      </c>
      <c r="C182" s="35" t="s">
        <v>203</v>
      </c>
      <c r="D182" s="56"/>
      <c r="E182" s="199"/>
      <c r="F182" s="25">
        <f t="shared" si="7"/>
        <v>0</v>
      </c>
      <c r="G182" s="200">
        <f t="shared" si="9"/>
        <v>0</v>
      </c>
      <c r="H182" s="204">
        <f t="shared" si="8"/>
        <v>0</v>
      </c>
      <c r="I182" s="202"/>
      <c r="J182" s="202"/>
      <c r="K182" s="202"/>
      <c r="L182" s="202"/>
      <c r="M182" s="202"/>
      <c r="N182" s="202"/>
      <c r="O182" s="202"/>
      <c r="P182" s="202"/>
      <c r="Q182" s="202"/>
      <c r="R182" s="202"/>
      <c r="S182" s="202"/>
      <c r="T182" s="202"/>
      <c r="U182" s="202"/>
      <c r="V182" s="202"/>
      <c r="W182" s="202"/>
      <c r="X182" s="202"/>
      <c r="Y182" s="202"/>
      <c r="Z182" s="202"/>
      <c r="AA182" s="202"/>
      <c r="AB182" s="202"/>
      <c r="AC182" s="202"/>
      <c r="AD182" s="202"/>
      <c r="AE182" s="202"/>
      <c r="AF182" s="202"/>
      <c r="AG182" s="202"/>
      <c r="AH182" s="202"/>
      <c r="AI182" s="202"/>
      <c r="AJ182" s="202"/>
      <c r="AK182" s="202"/>
      <c r="AL182" s="202"/>
      <c r="AM182" s="203"/>
    </row>
    <row r="183" spans="1:39" ht="33" customHeight="1" x14ac:dyDescent="0.3">
      <c r="A183" s="31" t="s">
        <v>367</v>
      </c>
      <c r="B183" s="32" t="s">
        <v>368</v>
      </c>
      <c r="C183" s="35" t="s">
        <v>203</v>
      </c>
      <c r="D183" s="56"/>
      <c r="E183" s="199"/>
      <c r="F183" s="25">
        <f t="shared" si="7"/>
        <v>0</v>
      </c>
      <c r="G183" s="200">
        <f t="shared" si="9"/>
        <v>0</v>
      </c>
      <c r="H183" s="204">
        <f t="shared" si="8"/>
        <v>0</v>
      </c>
      <c r="I183" s="202"/>
      <c r="J183" s="202"/>
      <c r="K183" s="202"/>
      <c r="L183" s="202"/>
      <c r="M183" s="202"/>
      <c r="N183" s="202"/>
      <c r="O183" s="202"/>
      <c r="P183" s="202"/>
      <c r="Q183" s="202"/>
      <c r="R183" s="202"/>
      <c r="S183" s="202"/>
      <c r="T183" s="202"/>
      <c r="U183" s="202"/>
      <c r="V183" s="202"/>
      <c r="W183" s="202"/>
      <c r="X183" s="202"/>
      <c r="Y183" s="202"/>
      <c r="Z183" s="202"/>
      <c r="AA183" s="202"/>
      <c r="AB183" s="202"/>
      <c r="AC183" s="202"/>
      <c r="AD183" s="202"/>
      <c r="AE183" s="202"/>
      <c r="AF183" s="202"/>
      <c r="AG183" s="202"/>
      <c r="AH183" s="202"/>
      <c r="AI183" s="202"/>
      <c r="AJ183" s="202"/>
      <c r="AK183" s="202"/>
      <c r="AL183" s="202"/>
      <c r="AM183" s="203"/>
    </row>
    <row r="184" spans="1:39" ht="33" customHeight="1" x14ac:dyDescent="0.3">
      <c r="A184" s="31" t="s">
        <v>369</v>
      </c>
      <c r="B184" s="32" t="s">
        <v>370</v>
      </c>
      <c r="C184" s="35" t="s">
        <v>203</v>
      </c>
      <c r="D184" s="56"/>
      <c r="E184" s="199"/>
      <c r="F184" s="25">
        <f t="shared" si="7"/>
        <v>0</v>
      </c>
      <c r="G184" s="200">
        <f t="shared" si="9"/>
        <v>0</v>
      </c>
      <c r="H184" s="204">
        <f t="shared" si="8"/>
        <v>0</v>
      </c>
      <c r="I184" s="202"/>
      <c r="J184" s="202"/>
      <c r="K184" s="202"/>
      <c r="L184" s="202"/>
      <c r="M184" s="202"/>
      <c r="N184" s="202"/>
      <c r="O184" s="202"/>
      <c r="P184" s="202"/>
      <c r="Q184" s="202"/>
      <c r="R184" s="202"/>
      <c r="S184" s="202"/>
      <c r="T184" s="202"/>
      <c r="U184" s="202"/>
      <c r="V184" s="202"/>
      <c r="W184" s="202"/>
      <c r="X184" s="202"/>
      <c r="Y184" s="202"/>
      <c r="Z184" s="202"/>
      <c r="AA184" s="202"/>
      <c r="AB184" s="202"/>
      <c r="AC184" s="202"/>
      <c r="AD184" s="202"/>
      <c r="AE184" s="202"/>
      <c r="AF184" s="202"/>
      <c r="AG184" s="202"/>
      <c r="AH184" s="202"/>
      <c r="AI184" s="202"/>
      <c r="AJ184" s="202"/>
      <c r="AK184" s="202"/>
      <c r="AL184" s="202"/>
      <c r="AM184" s="203"/>
    </row>
    <row r="185" spans="1:39" ht="33" customHeight="1" x14ac:dyDescent="0.3">
      <c r="A185" s="31" t="s">
        <v>371</v>
      </c>
      <c r="B185" s="32" t="s">
        <v>372</v>
      </c>
      <c r="C185" s="35" t="s">
        <v>220</v>
      </c>
      <c r="D185" s="56"/>
      <c r="E185" s="199"/>
      <c r="F185" s="25">
        <f t="shared" si="7"/>
        <v>0</v>
      </c>
      <c r="G185" s="200">
        <f t="shared" si="9"/>
        <v>0</v>
      </c>
      <c r="H185" s="204">
        <f t="shared" si="8"/>
        <v>0</v>
      </c>
      <c r="I185" s="202"/>
      <c r="J185" s="202"/>
      <c r="K185" s="202"/>
      <c r="L185" s="202"/>
      <c r="M185" s="202"/>
      <c r="N185" s="202"/>
      <c r="O185" s="202"/>
      <c r="P185" s="202"/>
      <c r="Q185" s="202"/>
      <c r="R185" s="202"/>
      <c r="S185" s="202"/>
      <c r="T185" s="202"/>
      <c r="U185" s="202"/>
      <c r="V185" s="202"/>
      <c r="W185" s="202"/>
      <c r="X185" s="202"/>
      <c r="Y185" s="202"/>
      <c r="Z185" s="202"/>
      <c r="AA185" s="202"/>
      <c r="AB185" s="202"/>
      <c r="AC185" s="202"/>
      <c r="AD185" s="202"/>
      <c r="AE185" s="202"/>
      <c r="AF185" s="202"/>
      <c r="AG185" s="202"/>
      <c r="AH185" s="202"/>
      <c r="AI185" s="202"/>
      <c r="AJ185" s="202"/>
      <c r="AK185" s="202"/>
      <c r="AL185" s="202"/>
      <c r="AM185" s="203"/>
    </row>
    <row r="186" spans="1:39" ht="33" customHeight="1" x14ac:dyDescent="0.3">
      <c r="A186" s="31" t="s">
        <v>373</v>
      </c>
      <c r="B186" s="32" t="s">
        <v>374</v>
      </c>
      <c r="C186" s="35" t="s">
        <v>220</v>
      </c>
      <c r="D186" s="56"/>
      <c r="E186" s="199"/>
      <c r="F186" s="25">
        <f t="shared" si="7"/>
        <v>0</v>
      </c>
      <c r="G186" s="200">
        <f t="shared" si="9"/>
        <v>0</v>
      </c>
      <c r="H186" s="204">
        <f t="shared" si="8"/>
        <v>0</v>
      </c>
      <c r="I186" s="202"/>
      <c r="J186" s="202"/>
      <c r="K186" s="202"/>
      <c r="L186" s="202"/>
      <c r="M186" s="202"/>
      <c r="N186" s="202"/>
      <c r="O186" s="202"/>
      <c r="P186" s="202"/>
      <c r="Q186" s="202"/>
      <c r="R186" s="202"/>
      <c r="S186" s="202"/>
      <c r="T186" s="202"/>
      <c r="U186" s="202"/>
      <c r="V186" s="202"/>
      <c r="W186" s="202"/>
      <c r="X186" s="202"/>
      <c r="Y186" s="202"/>
      <c r="Z186" s="202"/>
      <c r="AA186" s="202"/>
      <c r="AB186" s="202"/>
      <c r="AC186" s="202"/>
      <c r="AD186" s="202"/>
      <c r="AE186" s="202"/>
      <c r="AF186" s="202"/>
      <c r="AG186" s="202"/>
      <c r="AH186" s="202"/>
      <c r="AI186" s="202"/>
      <c r="AJ186" s="202"/>
      <c r="AK186" s="202"/>
      <c r="AL186" s="202"/>
      <c r="AM186" s="203"/>
    </row>
    <row r="187" spans="1:39" ht="33" customHeight="1" x14ac:dyDescent="0.3">
      <c r="A187" s="31" t="s">
        <v>375</v>
      </c>
      <c r="B187" s="32" t="s">
        <v>376</v>
      </c>
      <c r="C187" s="35" t="s">
        <v>220</v>
      </c>
      <c r="D187" s="56"/>
      <c r="E187" s="199"/>
      <c r="F187" s="25">
        <f t="shared" si="7"/>
        <v>0</v>
      </c>
      <c r="G187" s="200">
        <f t="shared" si="9"/>
        <v>0</v>
      </c>
      <c r="H187" s="204">
        <f t="shared" si="8"/>
        <v>0</v>
      </c>
      <c r="I187" s="202"/>
      <c r="J187" s="202"/>
      <c r="K187" s="202"/>
      <c r="L187" s="202"/>
      <c r="M187" s="202"/>
      <c r="N187" s="202"/>
      <c r="O187" s="202"/>
      <c r="P187" s="202"/>
      <c r="Q187" s="202"/>
      <c r="R187" s="202"/>
      <c r="S187" s="202"/>
      <c r="T187" s="202"/>
      <c r="U187" s="202"/>
      <c r="V187" s="202"/>
      <c r="W187" s="202"/>
      <c r="X187" s="202"/>
      <c r="Y187" s="202"/>
      <c r="Z187" s="202"/>
      <c r="AA187" s="202"/>
      <c r="AB187" s="202"/>
      <c r="AC187" s="202"/>
      <c r="AD187" s="202"/>
      <c r="AE187" s="202"/>
      <c r="AF187" s="202"/>
      <c r="AG187" s="202"/>
      <c r="AH187" s="202"/>
      <c r="AI187" s="202"/>
      <c r="AJ187" s="202"/>
      <c r="AK187" s="202"/>
      <c r="AL187" s="202"/>
      <c r="AM187" s="203"/>
    </row>
    <row r="188" spans="1:39" ht="33" customHeight="1" x14ac:dyDescent="0.3">
      <c r="A188" s="31" t="s">
        <v>377</v>
      </c>
      <c r="B188" s="32" t="s">
        <v>378</v>
      </c>
      <c r="C188" s="35" t="s">
        <v>203</v>
      </c>
      <c r="D188" s="56"/>
      <c r="E188" s="199"/>
      <c r="F188" s="25">
        <f t="shared" si="7"/>
        <v>0</v>
      </c>
      <c r="G188" s="200">
        <f t="shared" si="9"/>
        <v>0</v>
      </c>
      <c r="H188" s="204">
        <f t="shared" si="8"/>
        <v>0</v>
      </c>
      <c r="I188" s="202"/>
      <c r="J188" s="202"/>
      <c r="K188" s="202"/>
      <c r="L188" s="202"/>
      <c r="M188" s="202"/>
      <c r="N188" s="202"/>
      <c r="O188" s="202"/>
      <c r="P188" s="202"/>
      <c r="Q188" s="202"/>
      <c r="R188" s="202"/>
      <c r="S188" s="202"/>
      <c r="T188" s="202"/>
      <c r="U188" s="202"/>
      <c r="V188" s="202"/>
      <c r="W188" s="202"/>
      <c r="X188" s="202"/>
      <c r="Y188" s="202"/>
      <c r="Z188" s="202"/>
      <c r="AA188" s="202"/>
      <c r="AB188" s="202"/>
      <c r="AC188" s="202"/>
      <c r="AD188" s="202"/>
      <c r="AE188" s="202"/>
      <c r="AF188" s="202"/>
      <c r="AG188" s="202"/>
      <c r="AH188" s="202"/>
      <c r="AI188" s="202"/>
      <c r="AJ188" s="202"/>
      <c r="AK188" s="202"/>
      <c r="AL188" s="202"/>
      <c r="AM188" s="203"/>
    </row>
    <row r="189" spans="1:39" ht="33" customHeight="1" x14ac:dyDescent="0.3">
      <c r="A189" s="31" t="s">
        <v>379</v>
      </c>
      <c r="B189" s="32" t="s">
        <v>380</v>
      </c>
      <c r="C189" s="35" t="s">
        <v>203</v>
      </c>
      <c r="D189" s="56"/>
      <c r="E189" s="199"/>
      <c r="F189" s="25">
        <f t="shared" si="7"/>
        <v>0</v>
      </c>
      <c r="G189" s="200">
        <f t="shared" si="9"/>
        <v>0</v>
      </c>
      <c r="H189" s="204">
        <f t="shared" si="8"/>
        <v>0</v>
      </c>
      <c r="I189" s="202"/>
      <c r="J189" s="202"/>
      <c r="K189" s="202"/>
      <c r="L189" s="202"/>
      <c r="M189" s="202"/>
      <c r="N189" s="202"/>
      <c r="O189" s="202"/>
      <c r="P189" s="202"/>
      <c r="Q189" s="202"/>
      <c r="R189" s="202"/>
      <c r="S189" s="202"/>
      <c r="T189" s="202"/>
      <c r="U189" s="202"/>
      <c r="V189" s="202"/>
      <c r="W189" s="202"/>
      <c r="X189" s="202"/>
      <c r="Y189" s="202"/>
      <c r="Z189" s="202"/>
      <c r="AA189" s="202"/>
      <c r="AB189" s="202"/>
      <c r="AC189" s="202"/>
      <c r="AD189" s="202"/>
      <c r="AE189" s="202"/>
      <c r="AF189" s="202"/>
      <c r="AG189" s="202"/>
      <c r="AH189" s="202"/>
      <c r="AI189" s="202"/>
      <c r="AJ189" s="202"/>
      <c r="AK189" s="202"/>
      <c r="AL189" s="202"/>
      <c r="AM189" s="203"/>
    </row>
    <row r="190" spans="1:39" ht="33" customHeight="1" x14ac:dyDescent="0.3">
      <c r="A190" s="31" t="s">
        <v>381</v>
      </c>
      <c r="B190" s="32" t="s">
        <v>382</v>
      </c>
      <c r="C190" s="35" t="s">
        <v>203</v>
      </c>
      <c r="D190" s="56"/>
      <c r="E190" s="199"/>
      <c r="F190" s="25">
        <f t="shared" si="7"/>
        <v>0</v>
      </c>
      <c r="G190" s="200">
        <f t="shared" si="9"/>
        <v>0</v>
      </c>
      <c r="H190" s="204">
        <f>G190*D190</f>
        <v>0</v>
      </c>
      <c r="I190" s="202"/>
      <c r="J190" s="202"/>
      <c r="K190" s="202"/>
      <c r="L190" s="202"/>
      <c r="M190" s="202"/>
      <c r="N190" s="202"/>
      <c r="O190" s="202"/>
      <c r="P190" s="202"/>
      <c r="Q190" s="202"/>
      <c r="R190" s="202"/>
      <c r="S190" s="202"/>
      <c r="T190" s="202"/>
      <c r="U190" s="202"/>
      <c r="V190" s="202"/>
      <c r="W190" s="202"/>
      <c r="X190" s="202"/>
      <c r="Y190" s="202"/>
      <c r="Z190" s="202"/>
      <c r="AA190" s="202"/>
      <c r="AB190" s="202"/>
      <c r="AC190" s="202"/>
      <c r="AD190" s="202"/>
      <c r="AE190" s="202"/>
      <c r="AF190" s="202"/>
      <c r="AG190" s="202"/>
      <c r="AH190" s="202"/>
      <c r="AI190" s="202"/>
      <c r="AJ190" s="202"/>
      <c r="AK190" s="202"/>
      <c r="AL190" s="202"/>
      <c r="AM190" s="203"/>
    </row>
    <row r="191" spans="1:39" ht="33" customHeight="1" x14ac:dyDescent="0.3">
      <c r="A191" s="31" t="s">
        <v>383</v>
      </c>
      <c r="B191" s="32" t="s">
        <v>384</v>
      </c>
      <c r="C191" s="35" t="s">
        <v>203</v>
      </c>
      <c r="D191" s="56"/>
      <c r="E191" s="199"/>
      <c r="F191" s="25">
        <f t="shared" si="7"/>
        <v>0</v>
      </c>
      <c r="G191" s="200">
        <f t="shared" si="9"/>
        <v>0</v>
      </c>
      <c r="H191" s="204">
        <f t="shared" si="8"/>
        <v>0</v>
      </c>
      <c r="I191" s="202"/>
      <c r="J191" s="202"/>
      <c r="K191" s="202"/>
      <c r="L191" s="202"/>
      <c r="M191" s="202"/>
      <c r="N191" s="202"/>
      <c r="O191" s="202"/>
      <c r="P191" s="202"/>
      <c r="Q191" s="202"/>
      <c r="R191" s="202"/>
      <c r="S191" s="202"/>
      <c r="T191" s="202"/>
      <c r="U191" s="202"/>
      <c r="V191" s="202"/>
      <c r="W191" s="202"/>
      <c r="X191" s="202"/>
      <c r="Y191" s="202"/>
      <c r="Z191" s="202"/>
      <c r="AA191" s="202"/>
      <c r="AB191" s="202"/>
      <c r="AC191" s="202"/>
      <c r="AD191" s="202"/>
      <c r="AE191" s="202"/>
      <c r="AF191" s="202"/>
      <c r="AG191" s="202"/>
      <c r="AH191" s="202"/>
      <c r="AI191" s="202"/>
      <c r="AJ191" s="202"/>
      <c r="AK191" s="202"/>
      <c r="AL191" s="202"/>
      <c r="AM191" s="203"/>
    </row>
    <row r="192" spans="1:39" ht="33" customHeight="1" x14ac:dyDescent="0.3">
      <c r="A192" s="31" t="s">
        <v>385</v>
      </c>
      <c r="B192" s="32" t="s">
        <v>386</v>
      </c>
      <c r="C192" s="35" t="s">
        <v>220</v>
      </c>
      <c r="D192" s="56"/>
      <c r="E192" s="199"/>
      <c r="F192" s="25">
        <f t="shared" si="7"/>
        <v>0</v>
      </c>
      <c r="G192" s="200">
        <f t="shared" si="9"/>
        <v>0</v>
      </c>
      <c r="H192" s="204">
        <f t="shared" si="8"/>
        <v>0</v>
      </c>
      <c r="I192" s="202"/>
      <c r="J192" s="202"/>
      <c r="K192" s="202"/>
      <c r="L192" s="202"/>
      <c r="M192" s="202"/>
      <c r="N192" s="202"/>
      <c r="O192" s="202"/>
      <c r="P192" s="202"/>
      <c r="Q192" s="202"/>
      <c r="R192" s="202"/>
      <c r="S192" s="202"/>
      <c r="T192" s="202"/>
      <c r="U192" s="202"/>
      <c r="V192" s="202"/>
      <c r="W192" s="202"/>
      <c r="X192" s="202"/>
      <c r="Y192" s="202"/>
      <c r="Z192" s="202"/>
      <c r="AA192" s="202"/>
      <c r="AB192" s="202"/>
      <c r="AC192" s="202"/>
      <c r="AD192" s="202"/>
      <c r="AE192" s="202"/>
      <c r="AF192" s="202"/>
      <c r="AG192" s="202"/>
      <c r="AH192" s="202"/>
      <c r="AI192" s="202"/>
      <c r="AJ192" s="202"/>
      <c r="AK192" s="202"/>
      <c r="AL192" s="202"/>
      <c r="AM192" s="203"/>
    </row>
    <row r="193" spans="1:39" ht="33" customHeight="1" x14ac:dyDescent="0.3">
      <c r="A193" s="31" t="s">
        <v>387</v>
      </c>
      <c r="B193" s="32" t="s">
        <v>388</v>
      </c>
      <c r="C193" s="51" t="s">
        <v>220</v>
      </c>
      <c r="D193" s="56"/>
      <c r="E193" s="199"/>
      <c r="F193" s="25">
        <f t="shared" si="7"/>
        <v>0</v>
      </c>
      <c r="G193" s="200">
        <f t="shared" si="9"/>
        <v>0</v>
      </c>
      <c r="H193" s="204">
        <f t="shared" si="8"/>
        <v>0</v>
      </c>
      <c r="I193" s="202"/>
      <c r="J193" s="202"/>
      <c r="K193" s="202"/>
      <c r="L193" s="202"/>
      <c r="M193" s="202"/>
      <c r="N193" s="202"/>
      <c r="O193" s="202"/>
      <c r="P193" s="202"/>
      <c r="Q193" s="202"/>
      <c r="R193" s="202"/>
      <c r="S193" s="202"/>
      <c r="T193" s="202"/>
      <c r="U193" s="202"/>
      <c r="V193" s="202"/>
      <c r="W193" s="202"/>
      <c r="X193" s="202"/>
      <c r="Y193" s="202"/>
      <c r="Z193" s="202"/>
      <c r="AA193" s="202"/>
      <c r="AB193" s="202"/>
      <c r="AC193" s="202"/>
      <c r="AD193" s="202"/>
      <c r="AE193" s="202"/>
      <c r="AF193" s="202"/>
      <c r="AG193" s="202"/>
      <c r="AH193" s="202"/>
      <c r="AI193" s="202"/>
      <c r="AJ193" s="202"/>
      <c r="AK193" s="202"/>
      <c r="AL193" s="202"/>
      <c r="AM193" s="203"/>
    </row>
    <row r="194" spans="1:39" ht="33" customHeight="1" x14ac:dyDescent="0.3">
      <c r="A194" s="31" t="s">
        <v>389</v>
      </c>
      <c r="B194" s="32" t="s">
        <v>390</v>
      </c>
      <c r="C194" s="51" t="s">
        <v>220</v>
      </c>
      <c r="D194" s="56"/>
      <c r="E194" s="199"/>
      <c r="F194" s="25">
        <f t="shared" si="7"/>
        <v>0</v>
      </c>
      <c r="G194" s="200">
        <f t="shared" si="9"/>
        <v>0</v>
      </c>
      <c r="H194" s="204">
        <f t="shared" si="8"/>
        <v>0</v>
      </c>
      <c r="I194" s="202"/>
      <c r="J194" s="202"/>
      <c r="K194" s="202"/>
      <c r="L194" s="202"/>
      <c r="M194" s="202"/>
      <c r="N194" s="202"/>
      <c r="O194" s="202"/>
      <c r="P194" s="202"/>
      <c r="Q194" s="202"/>
      <c r="R194" s="202"/>
      <c r="S194" s="202"/>
      <c r="T194" s="202"/>
      <c r="U194" s="202"/>
      <c r="V194" s="202"/>
      <c r="W194" s="202"/>
      <c r="X194" s="202"/>
      <c r="Y194" s="202"/>
      <c r="Z194" s="202"/>
      <c r="AA194" s="202"/>
      <c r="AB194" s="202"/>
      <c r="AC194" s="202"/>
      <c r="AD194" s="202"/>
      <c r="AE194" s="202"/>
      <c r="AF194" s="202"/>
      <c r="AG194" s="202"/>
      <c r="AH194" s="202"/>
      <c r="AI194" s="202"/>
      <c r="AJ194" s="202"/>
      <c r="AK194" s="202"/>
      <c r="AL194" s="202"/>
      <c r="AM194" s="203"/>
    </row>
    <row r="195" spans="1:39" ht="33" customHeight="1" x14ac:dyDescent="0.3">
      <c r="A195" s="31" t="s">
        <v>391</v>
      </c>
      <c r="B195" s="32" t="s">
        <v>392</v>
      </c>
      <c r="C195" s="35" t="s">
        <v>203</v>
      </c>
      <c r="D195" s="56"/>
      <c r="E195" s="199"/>
      <c r="F195" s="25">
        <f t="shared" si="7"/>
        <v>0</v>
      </c>
      <c r="G195" s="200">
        <f t="shared" si="9"/>
        <v>0</v>
      </c>
      <c r="H195" s="204">
        <f t="shared" si="8"/>
        <v>0</v>
      </c>
      <c r="I195" s="202"/>
      <c r="J195" s="202"/>
      <c r="K195" s="202"/>
      <c r="L195" s="202"/>
      <c r="M195" s="202"/>
      <c r="N195" s="202"/>
      <c r="O195" s="202"/>
      <c r="P195" s="202"/>
      <c r="Q195" s="202"/>
      <c r="R195" s="202"/>
      <c r="S195" s="202"/>
      <c r="T195" s="202"/>
      <c r="U195" s="202"/>
      <c r="V195" s="202"/>
      <c r="W195" s="202"/>
      <c r="X195" s="202"/>
      <c r="Y195" s="202"/>
      <c r="Z195" s="202"/>
      <c r="AA195" s="202"/>
      <c r="AB195" s="202"/>
      <c r="AC195" s="202"/>
      <c r="AD195" s="202"/>
      <c r="AE195" s="202"/>
      <c r="AF195" s="202"/>
      <c r="AG195" s="202"/>
      <c r="AH195" s="202"/>
      <c r="AI195" s="202"/>
      <c r="AJ195" s="202"/>
      <c r="AK195" s="202"/>
      <c r="AL195" s="202"/>
      <c r="AM195" s="203"/>
    </row>
    <row r="196" spans="1:39" ht="33" customHeight="1" x14ac:dyDescent="0.3">
      <c r="A196" s="31" t="s">
        <v>393</v>
      </c>
      <c r="B196" s="32" t="s">
        <v>394</v>
      </c>
      <c r="C196" s="35" t="s">
        <v>203</v>
      </c>
      <c r="D196" s="56"/>
      <c r="E196" s="199"/>
      <c r="F196" s="25">
        <f t="shared" si="7"/>
        <v>0</v>
      </c>
      <c r="G196" s="200">
        <f t="shared" si="9"/>
        <v>0</v>
      </c>
      <c r="H196" s="204">
        <f t="shared" si="8"/>
        <v>0</v>
      </c>
      <c r="I196" s="202"/>
      <c r="J196" s="202"/>
      <c r="K196" s="202"/>
      <c r="L196" s="202"/>
      <c r="M196" s="202"/>
      <c r="N196" s="202"/>
      <c r="O196" s="202"/>
      <c r="P196" s="202"/>
      <c r="Q196" s="202"/>
      <c r="R196" s="202"/>
      <c r="S196" s="202"/>
      <c r="T196" s="202"/>
      <c r="U196" s="202"/>
      <c r="V196" s="202"/>
      <c r="W196" s="202"/>
      <c r="X196" s="202"/>
      <c r="Y196" s="202"/>
      <c r="Z196" s="202"/>
      <c r="AA196" s="202"/>
      <c r="AB196" s="202"/>
      <c r="AC196" s="202"/>
      <c r="AD196" s="202"/>
      <c r="AE196" s="202"/>
      <c r="AF196" s="202"/>
      <c r="AG196" s="202"/>
      <c r="AH196" s="202"/>
      <c r="AI196" s="202"/>
      <c r="AJ196" s="202"/>
      <c r="AK196" s="202"/>
      <c r="AL196" s="202"/>
      <c r="AM196" s="203"/>
    </row>
    <row r="197" spans="1:39" ht="33" customHeight="1" x14ac:dyDescent="0.3">
      <c r="A197" s="31" t="s">
        <v>395</v>
      </c>
      <c r="B197" s="32" t="s">
        <v>396</v>
      </c>
      <c r="C197" s="35" t="s">
        <v>203</v>
      </c>
      <c r="D197" s="56"/>
      <c r="E197" s="199"/>
      <c r="F197" s="25">
        <f t="shared" si="7"/>
        <v>0</v>
      </c>
      <c r="G197" s="200">
        <f t="shared" si="9"/>
        <v>0</v>
      </c>
      <c r="H197" s="204">
        <f t="shared" si="8"/>
        <v>0</v>
      </c>
      <c r="I197" s="202"/>
      <c r="J197" s="202"/>
      <c r="K197" s="202"/>
      <c r="L197" s="202"/>
      <c r="M197" s="202"/>
      <c r="N197" s="202"/>
      <c r="O197" s="202"/>
      <c r="P197" s="202"/>
      <c r="Q197" s="202"/>
      <c r="R197" s="202"/>
      <c r="S197" s="202"/>
      <c r="T197" s="202"/>
      <c r="U197" s="202"/>
      <c r="V197" s="202"/>
      <c r="W197" s="202"/>
      <c r="X197" s="202"/>
      <c r="Y197" s="202"/>
      <c r="Z197" s="202"/>
      <c r="AA197" s="202"/>
      <c r="AB197" s="202"/>
      <c r="AC197" s="202"/>
      <c r="AD197" s="202"/>
      <c r="AE197" s="202"/>
      <c r="AF197" s="202"/>
      <c r="AG197" s="202"/>
      <c r="AH197" s="202"/>
      <c r="AI197" s="202"/>
      <c r="AJ197" s="202"/>
      <c r="AK197" s="202"/>
      <c r="AL197" s="202"/>
      <c r="AM197" s="203"/>
    </row>
    <row r="198" spans="1:39" ht="33" customHeight="1" x14ac:dyDescent="0.3">
      <c r="A198" s="31" t="s">
        <v>397</v>
      </c>
      <c r="B198" s="32" t="s">
        <v>398</v>
      </c>
      <c r="C198" s="35" t="s">
        <v>220</v>
      </c>
      <c r="D198" s="56"/>
      <c r="E198" s="199"/>
      <c r="F198" s="25">
        <f t="shared" si="7"/>
        <v>0</v>
      </c>
      <c r="G198" s="200">
        <f t="shared" si="9"/>
        <v>0</v>
      </c>
      <c r="H198" s="204">
        <f t="shared" si="8"/>
        <v>0</v>
      </c>
      <c r="I198" s="202"/>
      <c r="J198" s="202"/>
      <c r="K198" s="202"/>
      <c r="L198" s="202"/>
      <c r="M198" s="202"/>
      <c r="N198" s="202"/>
      <c r="O198" s="202"/>
      <c r="P198" s="202"/>
      <c r="Q198" s="202"/>
      <c r="R198" s="202"/>
      <c r="S198" s="202"/>
      <c r="T198" s="202"/>
      <c r="U198" s="202"/>
      <c r="V198" s="202"/>
      <c r="W198" s="202"/>
      <c r="X198" s="202"/>
      <c r="Y198" s="202"/>
      <c r="Z198" s="202"/>
      <c r="AA198" s="202"/>
      <c r="AB198" s="202"/>
      <c r="AC198" s="202"/>
      <c r="AD198" s="202"/>
      <c r="AE198" s="202"/>
      <c r="AF198" s="202"/>
      <c r="AG198" s="202"/>
      <c r="AH198" s="202"/>
      <c r="AI198" s="202"/>
      <c r="AJ198" s="202"/>
      <c r="AK198" s="202"/>
      <c r="AL198" s="202"/>
      <c r="AM198" s="203"/>
    </row>
    <row r="199" spans="1:39" ht="33" customHeight="1" x14ac:dyDescent="0.3">
      <c r="A199" s="31" t="s">
        <v>399</v>
      </c>
      <c r="B199" s="32" t="s">
        <v>400</v>
      </c>
      <c r="C199" s="35" t="s">
        <v>220</v>
      </c>
      <c r="D199" s="56"/>
      <c r="E199" s="199"/>
      <c r="F199" s="25">
        <f t="shared" si="7"/>
        <v>0</v>
      </c>
      <c r="G199" s="200">
        <f t="shared" si="9"/>
        <v>0</v>
      </c>
      <c r="H199" s="204">
        <f t="shared" si="8"/>
        <v>0</v>
      </c>
      <c r="I199" s="202"/>
      <c r="J199" s="202"/>
      <c r="K199" s="202"/>
      <c r="L199" s="202"/>
      <c r="M199" s="202"/>
      <c r="N199" s="202"/>
      <c r="O199" s="202"/>
      <c r="P199" s="202"/>
      <c r="Q199" s="202"/>
      <c r="R199" s="202"/>
      <c r="S199" s="202"/>
      <c r="T199" s="202"/>
      <c r="U199" s="202"/>
      <c r="V199" s="202"/>
      <c r="W199" s="202"/>
      <c r="X199" s="202"/>
      <c r="Y199" s="202"/>
      <c r="Z199" s="202"/>
      <c r="AA199" s="202"/>
      <c r="AB199" s="202"/>
      <c r="AC199" s="202"/>
      <c r="AD199" s="202"/>
      <c r="AE199" s="202"/>
      <c r="AF199" s="202"/>
      <c r="AG199" s="202"/>
      <c r="AH199" s="202"/>
      <c r="AI199" s="202"/>
      <c r="AJ199" s="202"/>
      <c r="AK199" s="202"/>
      <c r="AL199" s="202"/>
      <c r="AM199" s="203"/>
    </row>
    <row r="200" spans="1:39" ht="33" customHeight="1" x14ac:dyDescent="0.3">
      <c r="A200" s="31" t="s">
        <v>401</v>
      </c>
      <c r="B200" s="32" t="s">
        <v>402</v>
      </c>
      <c r="C200" s="35" t="s">
        <v>220</v>
      </c>
      <c r="D200" s="56"/>
      <c r="E200" s="199"/>
      <c r="F200" s="25">
        <f t="shared" si="7"/>
        <v>0</v>
      </c>
      <c r="G200" s="200">
        <f t="shared" si="9"/>
        <v>0</v>
      </c>
      <c r="H200" s="204">
        <f t="shared" si="8"/>
        <v>0</v>
      </c>
      <c r="I200" s="202"/>
      <c r="J200" s="202"/>
      <c r="K200" s="202"/>
      <c r="L200" s="202"/>
      <c r="M200" s="202"/>
      <c r="N200" s="202"/>
      <c r="O200" s="202"/>
      <c r="P200" s="202"/>
      <c r="Q200" s="202"/>
      <c r="R200" s="202"/>
      <c r="S200" s="202"/>
      <c r="T200" s="202"/>
      <c r="U200" s="202"/>
      <c r="V200" s="202"/>
      <c r="W200" s="202"/>
      <c r="X200" s="202"/>
      <c r="Y200" s="202"/>
      <c r="Z200" s="202"/>
      <c r="AA200" s="202"/>
      <c r="AB200" s="202"/>
      <c r="AC200" s="202"/>
      <c r="AD200" s="202"/>
      <c r="AE200" s="202"/>
      <c r="AF200" s="202"/>
      <c r="AG200" s="202"/>
      <c r="AH200" s="202"/>
      <c r="AI200" s="202"/>
      <c r="AJ200" s="202"/>
      <c r="AK200" s="202"/>
      <c r="AL200" s="202"/>
      <c r="AM200" s="203"/>
    </row>
    <row r="201" spans="1:39" ht="33" customHeight="1" x14ac:dyDescent="0.3">
      <c r="A201" s="31" t="s">
        <v>403</v>
      </c>
      <c r="B201" s="32" t="s">
        <v>404</v>
      </c>
      <c r="C201" s="35" t="s">
        <v>220</v>
      </c>
      <c r="D201" s="56"/>
      <c r="E201" s="199"/>
      <c r="F201" s="25">
        <f t="shared" si="7"/>
        <v>0</v>
      </c>
      <c r="G201" s="200">
        <f t="shared" si="9"/>
        <v>0</v>
      </c>
      <c r="H201" s="204">
        <f t="shared" si="8"/>
        <v>0</v>
      </c>
      <c r="I201" s="202"/>
      <c r="J201" s="202"/>
      <c r="K201" s="202"/>
      <c r="L201" s="202"/>
      <c r="M201" s="202"/>
      <c r="N201" s="202"/>
      <c r="O201" s="202"/>
      <c r="P201" s="202"/>
      <c r="Q201" s="202"/>
      <c r="R201" s="202"/>
      <c r="S201" s="202"/>
      <c r="T201" s="202"/>
      <c r="U201" s="202"/>
      <c r="V201" s="202"/>
      <c r="W201" s="202"/>
      <c r="X201" s="202"/>
      <c r="Y201" s="202"/>
      <c r="Z201" s="202"/>
      <c r="AA201" s="202"/>
      <c r="AB201" s="202"/>
      <c r="AC201" s="202"/>
      <c r="AD201" s="202"/>
      <c r="AE201" s="202"/>
      <c r="AF201" s="202"/>
      <c r="AG201" s="202"/>
      <c r="AH201" s="202"/>
      <c r="AI201" s="202"/>
      <c r="AJ201" s="202"/>
      <c r="AK201" s="202"/>
      <c r="AL201" s="202"/>
      <c r="AM201" s="203"/>
    </row>
    <row r="202" spans="1:39" ht="33" customHeight="1" x14ac:dyDescent="0.3">
      <c r="A202" s="31" t="s">
        <v>405</v>
      </c>
      <c r="B202" s="32" t="s">
        <v>406</v>
      </c>
      <c r="C202" s="35" t="s">
        <v>220</v>
      </c>
      <c r="D202" s="56"/>
      <c r="E202" s="199"/>
      <c r="F202" s="25">
        <f t="shared" si="7"/>
        <v>0</v>
      </c>
      <c r="G202" s="200">
        <f t="shared" si="9"/>
        <v>0</v>
      </c>
      <c r="H202" s="204">
        <f t="shared" si="8"/>
        <v>0</v>
      </c>
      <c r="I202" s="202"/>
      <c r="J202" s="202"/>
      <c r="K202" s="202"/>
      <c r="L202" s="202"/>
      <c r="M202" s="202"/>
      <c r="N202" s="202"/>
      <c r="O202" s="202"/>
      <c r="P202" s="202"/>
      <c r="Q202" s="202"/>
      <c r="R202" s="202"/>
      <c r="S202" s="202"/>
      <c r="T202" s="202"/>
      <c r="U202" s="202"/>
      <c r="V202" s="202"/>
      <c r="W202" s="202"/>
      <c r="X202" s="202"/>
      <c r="Y202" s="202"/>
      <c r="Z202" s="202"/>
      <c r="AA202" s="202"/>
      <c r="AB202" s="202"/>
      <c r="AC202" s="202"/>
      <c r="AD202" s="202"/>
      <c r="AE202" s="202"/>
      <c r="AF202" s="202"/>
      <c r="AG202" s="202"/>
      <c r="AH202" s="202"/>
      <c r="AI202" s="202"/>
      <c r="AJ202" s="202"/>
      <c r="AK202" s="202"/>
      <c r="AL202" s="202"/>
      <c r="AM202" s="203"/>
    </row>
    <row r="203" spans="1:39" ht="33" customHeight="1" x14ac:dyDescent="0.3">
      <c r="A203" s="31" t="s">
        <v>407</v>
      </c>
      <c r="B203" s="55" t="s">
        <v>408</v>
      </c>
      <c r="C203" s="35" t="s">
        <v>220</v>
      </c>
      <c r="D203" s="56"/>
      <c r="E203" s="199"/>
      <c r="F203" s="25">
        <f t="shared" si="7"/>
        <v>0</v>
      </c>
      <c r="G203" s="200">
        <f t="shared" si="9"/>
        <v>0</v>
      </c>
      <c r="H203" s="204">
        <f t="shared" si="8"/>
        <v>0</v>
      </c>
      <c r="I203" s="202"/>
      <c r="J203" s="202"/>
      <c r="K203" s="202"/>
      <c r="L203" s="202"/>
      <c r="M203" s="202"/>
      <c r="N203" s="202"/>
      <c r="O203" s="202"/>
      <c r="P203" s="202"/>
      <c r="Q203" s="202"/>
      <c r="R203" s="202"/>
      <c r="S203" s="202"/>
      <c r="T203" s="202"/>
      <c r="U203" s="202"/>
      <c r="V203" s="202"/>
      <c r="W203" s="202"/>
      <c r="X203" s="202"/>
      <c r="Y203" s="202"/>
      <c r="Z203" s="202"/>
      <c r="AA203" s="202"/>
      <c r="AB203" s="202"/>
      <c r="AC203" s="202"/>
      <c r="AD203" s="202"/>
      <c r="AE203" s="202"/>
      <c r="AF203" s="202"/>
      <c r="AG203" s="202"/>
      <c r="AH203" s="202"/>
      <c r="AI203" s="202"/>
      <c r="AJ203" s="202"/>
      <c r="AK203" s="202"/>
      <c r="AL203" s="202"/>
      <c r="AM203" s="203"/>
    </row>
    <row r="204" spans="1:39" ht="33" customHeight="1" x14ac:dyDescent="0.3">
      <c r="A204" s="31"/>
      <c r="B204" s="55" t="s">
        <v>409</v>
      </c>
      <c r="C204" s="35" t="s">
        <v>220</v>
      </c>
      <c r="D204" s="56"/>
      <c r="E204" s="199"/>
      <c r="F204" s="25">
        <f t="shared" si="7"/>
        <v>0</v>
      </c>
      <c r="G204" s="200">
        <f t="shared" ref="G204" si="10">SUM(I204:AM204)</f>
        <v>0</v>
      </c>
      <c r="H204" s="204">
        <f t="shared" si="8"/>
        <v>0</v>
      </c>
      <c r="I204" s="202"/>
      <c r="J204" s="202"/>
      <c r="K204" s="202"/>
      <c r="L204" s="202"/>
      <c r="M204" s="202"/>
      <c r="N204" s="202"/>
      <c r="O204" s="202"/>
      <c r="P204" s="202"/>
      <c r="Q204" s="202"/>
      <c r="R204" s="202"/>
      <c r="S204" s="202"/>
      <c r="T204" s="202"/>
      <c r="U204" s="202"/>
      <c r="V204" s="202"/>
      <c r="W204" s="202"/>
      <c r="X204" s="202"/>
      <c r="Y204" s="202"/>
      <c r="Z204" s="202"/>
      <c r="AA204" s="202"/>
      <c r="AB204" s="202"/>
      <c r="AC204" s="202"/>
      <c r="AD204" s="202"/>
      <c r="AE204" s="202"/>
      <c r="AF204" s="202"/>
      <c r="AG204" s="202"/>
      <c r="AH204" s="202"/>
      <c r="AI204" s="202"/>
      <c r="AJ204" s="202"/>
      <c r="AK204" s="202"/>
      <c r="AL204" s="202"/>
      <c r="AM204" s="203"/>
    </row>
    <row r="205" spans="1:39" ht="33" customHeight="1" x14ac:dyDescent="0.3">
      <c r="A205" s="31" t="s">
        <v>410</v>
      </c>
      <c r="B205" s="55" t="s">
        <v>411</v>
      </c>
      <c r="C205" s="35" t="s">
        <v>220</v>
      </c>
      <c r="D205" s="56"/>
      <c r="E205" s="199"/>
      <c r="F205" s="25">
        <f t="shared" si="7"/>
        <v>0</v>
      </c>
      <c r="G205" s="200">
        <f t="shared" si="9"/>
        <v>0</v>
      </c>
      <c r="H205" s="204">
        <f t="shared" si="8"/>
        <v>0</v>
      </c>
      <c r="I205" s="202"/>
      <c r="J205" s="202"/>
      <c r="K205" s="202"/>
      <c r="L205" s="202"/>
      <c r="M205" s="202"/>
      <c r="N205" s="202"/>
      <c r="O205" s="202"/>
      <c r="P205" s="202"/>
      <c r="Q205" s="202"/>
      <c r="R205" s="202"/>
      <c r="S205" s="202"/>
      <c r="T205" s="202"/>
      <c r="U205" s="202"/>
      <c r="V205" s="202"/>
      <c r="W205" s="202"/>
      <c r="X205" s="202"/>
      <c r="Y205" s="202"/>
      <c r="Z205" s="202"/>
      <c r="AA205" s="202"/>
      <c r="AB205" s="202"/>
      <c r="AC205" s="202"/>
      <c r="AD205" s="202"/>
      <c r="AE205" s="202"/>
      <c r="AF205" s="202"/>
      <c r="AG205" s="202"/>
      <c r="AH205" s="202"/>
      <c r="AI205" s="202"/>
      <c r="AJ205" s="202"/>
      <c r="AK205" s="202"/>
      <c r="AL205" s="202"/>
      <c r="AM205" s="203"/>
    </row>
    <row r="206" spans="1:39" ht="33" customHeight="1" x14ac:dyDescent="0.3">
      <c r="A206" s="31" t="s">
        <v>412</v>
      </c>
      <c r="B206" s="55" t="s">
        <v>413</v>
      </c>
      <c r="C206" s="35" t="s">
        <v>220</v>
      </c>
      <c r="D206" s="56"/>
      <c r="E206" s="199"/>
      <c r="F206" s="25">
        <f t="shared" si="7"/>
        <v>0</v>
      </c>
      <c r="G206" s="200">
        <f t="shared" si="9"/>
        <v>0</v>
      </c>
      <c r="H206" s="204">
        <f t="shared" si="8"/>
        <v>0</v>
      </c>
      <c r="I206" s="202"/>
      <c r="J206" s="202"/>
      <c r="K206" s="202"/>
      <c r="L206" s="202"/>
      <c r="M206" s="202"/>
      <c r="N206" s="202"/>
      <c r="O206" s="202"/>
      <c r="P206" s="202"/>
      <c r="Q206" s="202"/>
      <c r="R206" s="202"/>
      <c r="S206" s="202"/>
      <c r="T206" s="202"/>
      <c r="U206" s="202"/>
      <c r="V206" s="202"/>
      <c r="W206" s="202"/>
      <c r="X206" s="202"/>
      <c r="Y206" s="202"/>
      <c r="Z206" s="202"/>
      <c r="AA206" s="202"/>
      <c r="AB206" s="202"/>
      <c r="AC206" s="202"/>
      <c r="AD206" s="202"/>
      <c r="AE206" s="202"/>
      <c r="AF206" s="202"/>
      <c r="AG206" s="202"/>
      <c r="AH206" s="202"/>
      <c r="AI206" s="202"/>
      <c r="AJ206" s="202"/>
      <c r="AK206" s="202"/>
      <c r="AL206" s="202"/>
      <c r="AM206" s="203"/>
    </row>
    <row r="207" spans="1:39" ht="33" customHeight="1" x14ac:dyDescent="0.3">
      <c r="A207" s="31" t="s">
        <v>414</v>
      </c>
      <c r="B207" s="55" t="s">
        <v>415</v>
      </c>
      <c r="C207" s="33" t="s">
        <v>220</v>
      </c>
      <c r="D207" s="56"/>
      <c r="E207" s="199"/>
      <c r="F207" s="25">
        <f t="shared" si="7"/>
        <v>0</v>
      </c>
      <c r="G207" s="200">
        <f t="shared" si="9"/>
        <v>0</v>
      </c>
      <c r="H207" s="204">
        <f t="shared" si="8"/>
        <v>0</v>
      </c>
      <c r="I207" s="202"/>
      <c r="J207" s="202"/>
      <c r="K207" s="202"/>
      <c r="L207" s="202"/>
      <c r="M207" s="202"/>
      <c r="N207" s="202"/>
      <c r="O207" s="202"/>
      <c r="P207" s="202"/>
      <c r="Q207" s="202"/>
      <c r="R207" s="202"/>
      <c r="S207" s="202"/>
      <c r="T207" s="202"/>
      <c r="U207" s="202"/>
      <c r="V207" s="202"/>
      <c r="W207" s="202"/>
      <c r="X207" s="202"/>
      <c r="Y207" s="202"/>
      <c r="Z207" s="202"/>
      <c r="AA207" s="202"/>
      <c r="AB207" s="202"/>
      <c r="AC207" s="202"/>
      <c r="AD207" s="202"/>
      <c r="AE207" s="202"/>
      <c r="AF207" s="202"/>
      <c r="AG207" s="202"/>
      <c r="AH207" s="202"/>
      <c r="AI207" s="202"/>
      <c r="AJ207" s="202"/>
      <c r="AK207" s="202"/>
      <c r="AL207" s="202"/>
      <c r="AM207" s="203"/>
    </row>
    <row r="208" spans="1:39" ht="33" customHeight="1" x14ac:dyDescent="0.3">
      <c r="A208" s="31" t="s">
        <v>416</v>
      </c>
      <c r="B208" s="34" t="s">
        <v>417</v>
      </c>
      <c r="C208" s="35" t="s">
        <v>220</v>
      </c>
      <c r="D208" s="56"/>
      <c r="E208" s="199"/>
      <c r="F208" s="25">
        <f t="shared" ref="F208:F215" si="11">E208*D208</f>
        <v>0</v>
      </c>
      <c r="G208" s="200">
        <f t="shared" si="9"/>
        <v>0</v>
      </c>
      <c r="H208" s="204">
        <f t="shared" si="8"/>
        <v>0</v>
      </c>
      <c r="I208" s="202"/>
      <c r="J208" s="202"/>
      <c r="K208" s="202"/>
      <c r="L208" s="202"/>
      <c r="M208" s="202"/>
      <c r="N208" s="202"/>
      <c r="O208" s="202"/>
      <c r="P208" s="202"/>
      <c r="Q208" s="202"/>
      <c r="R208" s="202"/>
      <c r="S208" s="202"/>
      <c r="T208" s="202"/>
      <c r="U208" s="202"/>
      <c r="V208" s="202"/>
      <c r="W208" s="202"/>
      <c r="X208" s="202"/>
      <c r="Y208" s="202"/>
      <c r="Z208" s="202"/>
      <c r="AA208" s="202"/>
      <c r="AB208" s="202"/>
      <c r="AC208" s="202"/>
      <c r="AD208" s="202"/>
      <c r="AE208" s="202"/>
      <c r="AF208" s="202"/>
      <c r="AG208" s="202"/>
      <c r="AH208" s="202"/>
      <c r="AI208" s="202"/>
      <c r="AJ208" s="202"/>
      <c r="AK208" s="202"/>
      <c r="AL208" s="202"/>
      <c r="AM208" s="203"/>
    </row>
    <row r="209" spans="1:39" ht="33" customHeight="1" x14ac:dyDescent="0.3">
      <c r="A209" s="31" t="s">
        <v>418</v>
      </c>
      <c r="B209" s="55" t="s">
        <v>419</v>
      </c>
      <c r="C209" s="35" t="s">
        <v>220</v>
      </c>
      <c r="D209" s="56"/>
      <c r="E209" s="199"/>
      <c r="F209" s="25">
        <f t="shared" si="11"/>
        <v>0</v>
      </c>
      <c r="G209" s="200">
        <f t="shared" si="9"/>
        <v>0</v>
      </c>
      <c r="H209" s="204">
        <f t="shared" si="8"/>
        <v>0</v>
      </c>
      <c r="I209" s="202"/>
      <c r="J209" s="202"/>
      <c r="K209" s="202"/>
      <c r="L209" s="202"/>
      <c r="M209" s="202"/>
      <c r="N209" s="202"/>
      <c r="O209" s="202"/>
      <c r="P209" s="202"/>
      <c r="Q209" s="202"/>
      <c r="R209" s="202"/>
      <c r="S209" s="202"/>
      <c r="T209" s="202"/>
      <c r="U209" s="202"/>
      <c r="V209" s="202"/>
      <c r="W209" s="202"/>
      <c r="X209" s="202"/>
      <c r="Y209" s="202"/>
      <c r="Z209" s="202"/>
      <c r="AA209" s="202"/>
      <c r="AB209" s="202"/>
      <c r="AC209" s="202"/>
      <c r="AD209" s="202"/>
      <c r="AE209" s="202"/>
      <c r="AF209" s="202"/>
      <c r="AG209" s="202"/>
      <c r="AH209" s="202"/>
      <c r="AI209" s="202"/>
      <c r="AJ209" s="202"/>
      <c r="AK209" s="202"/>
      <c r="AL209" s="202"/>
      <c r="AM209" s="203"/>
    </row>
    <row r="210" spans="1:39" ht="33" customHeight="1" x14ac:dyDescent="0.3">
      <c r="A210" s="31" t="s">
        <v>420</v>
      </c>
      <c r="B210" s="32" t="s">
        <v>421</v>
      </c>
      <c r="C210" s="35" t="s">
        <v>220</v>
      </c>
      <c r="D210" s="56"/>
      <c r="E210" s="199"/>
      <c r="F210" s="25">
        <f t="shared" si="11"/>
        <v>0</v>
      </c>
      <c r="G210" s="200">
        <f t="shared" si="9"/>
        <v>0</v>
      </c>
      <c r="H210" s="204">
        <f t="shared" si="8"/>
        <v>0</v>
      </c>
      <c r="I210" s="202"/>
      <c r="J210" s="202"/>
      <c r="K210" s="202"/>
      <c r="L210" s="202"/>
      <c r="M210" s="202"/>
      <c r="N210" s="202"/>
      <c r="O210" s="202"/>
      <c r="P210" s="202"/>
      <c r="Q210" s="202"/>
      <c r="R210" s="202"/>
      <c r="S210" s="202"/>
      <c r="T210" s="202"/>
      <c r="U210" s="202"/>
      <c r="V210" s="202"/>
      <c r="W210" s="202"/>
      <c r="X210" s="202"/>
      <c r="Y210" s="202"/>
      <c r="Z210" s="202"/>
      <c r="AA210" s="202"/>
      <c r="AB210" s="202"/>
      <c r="AC210" s="202"/>
      <c r="AD210" s="202"/>
      <c r="AE210" s="202"/>
      <c r="AF210" s="202"/>
      <c r="AG210" s="202"/>
      <c r="AH210" s="202"/>
      <c r="AI210" s="202"/>
      <c r="AJ210" s="202"/>
      <c r="AK210" s="202"/>
      <c r="AL210" s="202"/>
      <c r="AM210" s="203"/>
    </row>
    <row r="211" spans="1:39" ht="33" customHeight="1" x14ac:dyDescent="0.3">
      <c r="A211" s="52" t="s">
        <v>422</v>
      </c>
      <c r="B211" s="32" t="s">
        <v>423</v>
      </c>
      <c r="C211" s="53" t="s">
        <v>220</v>
      </c>
      <c r="D211" s="56"/>
      <c r="E211" s="199"/>
      <c r="F211" s="25">
        <f t="shared" si="11"/>
        <v>0</v>
      </c>
      <c r="G211" s="200">
        <f t="shared" si="9"/>
        <v>0</v>
      </c>
      <c r="H211" s="204">
        <f t="shared" si="8"/>
        <v>0</v>
      </c>
      <c r="I211" s="202"/>
      <c r="J211" s="202"/>
      <c r="K211" s="202"/>
      <c r="L211" s="202"/>
      <c r="M211" s="202"/>
      <c r="N211" s="202"/>
      <c r="O211" s="202"/>
      <c r="P211" s="202"/>
      <c r="Q211" s="202"/>
      <c r="R211" s="202"/>
      <c r="S211" s="202"/>
      <c r="T211" s="202"/>
      <c r="U211" s="202"/>
      <c r="V211" s="202"/>
      <c r="W211" s="202"/>
      <c r="X211" s="202"/>
      <c r="Y211" s="202"/>
      <c r="Z211" s="202"/>
      <c r="AA211" s="202"/>
      <c r="AB211" s="202"/>
      <c r="AC211" s="202"/>
      <c r="AD211" s="202"/>
      <c r="AE211" s="202"/>
      <c r="AF211" s="202"/>
      <c r="AG211" s="202"/>
      <c r="AH211" s="202"/>
      <c r="AI211" s="202"/>
      <c r="AJ211" s="202"/>
      <c r="AK211" s="202"/>
      <c r="AL211" s="202"/>
      <c r="AM211" s="203"/>
    </row>
    <row r="212" spans="1:39" ht="33" customHeight="1" x14ac:dyDescent="0.3">
      <c r="A212" s="52" t="s">
        <v>424</v>
      </c>
      <c r="B212" s="32" t="s">
        <v>425</v>
      </c>
      <c r="C212" s="53" t="s">
        <v>220</v>
      </c>
      <c r="D212" s="56"/>
      <c r="E212" s="199"/>
      <c r="F212" s="25">
        <f t="shared" si="11"/>
        <v>0</v>
      </c>
      <c r="G212" s="200">
        <f t="shared" si="9"/>
        <v>0</v>
      </c>
      <c r="H212" s="204">
        <f t="shared" si="8"/>
        <v>0</v>
      </c>
      <c r="I212" s="202"/>
      <c r="J212" s="202"/>
      <c r="K212" s="202"/>
      <c r="L212" s="202"/>
      <c r="M212" s="202"/>
      <c r="N212" s="202"/>
      <c r="O212" s="202"/>
      <c r="P212" s="202"/>
      <c r="Q212" s="202"/>
      <c r="R212" s="202"/>
      <c r="S212" s="202"/>
      <c r="T212" s="202"/>
      <c r="U212" s="202"/>
      <c r="V212" s="202"/>
      <c r="W212" s="202"/>
      <c r="X212" s="202"/>
      <c r="Y212" s="202"/>
      <c r="Z212" s="202"/>
      <c r="AA212" s="202"/>
      <c r="AB212" s="202"/>
      <c r="AC212" s="202"/>
      <c r="AD212" s="202"/>
      <c r="AE212" s="202"/>
      <c r="AF212" s="202"/>
      <c r="AG212" s="202"/>
      <c r="AH212" s="202"/>
      <c r="AI212" s="202"/>
      <c r="AJ212" s="202"/>
      <c r="AK212" s="202"/>
      <c r="AL212" s="202"/>
      <c r="AM212" s="203"/>
    </row>
    <row r="213" spans="1:39" ht="33" customHeight="1" x14ac:dyDescent="0.3">
      <c r="A213" s="31" t="s">
        <v>426</v>
      </c>
      <c r="B213" s="244" t="s">
        <v>427</v>
      </c>
      <c r="C213" s="33" t="s">
        <v>220</v>
      </c>
      <c r="D213" s="56"/>
      <c r="E213" s="199"/>
      <c r="F213" s="25">
        <f t="shared" si="11"/>
        <v>0</v>
      </c>
      <c r="G213" s="200">
        <f t="shared" ref="G213:G215" si="12">SUM(I213:AM213)</f>
        <v>0</v>
      </c>
      <c r="H213" s="204">
        <f t="shared" ref="H213:H215" si="13">G213*D213</f>
        <v>0</v>
      </c>
      <c r="I213" s="202"/>
      <c r="J213" s="202"/>
      <c r="K213" s="202"/>
      <c r="L213" s="202"/>
      <c r="M213" s="202"/>
      <c r="N213" s="202"/>
      <c r="O213" s="202"/>
      <c r="P213" s="202"/>
      <c r="Q213" s="202"/>
      <c r="R213" s="202"/>
      <c r="S213" s="202"/>
      <c r="T213" s="202"/>
      <c r="U213" s="202"/>
      <c r="V213" s="202"/>
      <c r="W213" s="202"/>
      <c r="X213" s="202"/>
      <c r="Y213" s="202"/>
      <c r="Z213" s="202"/>
      <c r="AA213" s="202"/>
      <c r="AB213" s="202"/>
      <c r="AC213" s="202"/>
      <c r="AD213" s="202"/>
      <c r="AE213" s="202"/>
      <c r="AF213" s="202"/>
      <c r="AG213" s="202"/>
      <c r="AH213" s="202"/>
      <c r="AI213" s="202"/>
      <c r="AJ213" s="202"/>
      <c r="AK213" s="202"/>
      <c r="AL213" s="202"/>
      <c r="AM213" s="203"/>
    </row>
    <row r="214" spans="1:39" ht="33" customHeight="1" x14ac:dyDescent="0.3">
      <c r="A214" s="31" t="s">
        <v>428</v>
      </c>
      <c r="B214" s="55" t="s">
        <v>429</v>
      </c>
      <c r="C214" s="33" t="s">
        <v>220</v>
      </c>
      <c r="D214" s="56"/>
      <c r="E214" s="199"/>
      <c r="F214" s="25">
        <f t="shared" si="11"/>
        <v>0</v>
      </c>
      <c r="G214" s="200">
        <f t="shared" si="12"/>
        <v>0</v>
      </c>
      <c r="H214" s="204">
        <f t="shared" si="13"/>
        <v>0</v>
      </c>
      <c r="I214" s="202"/>
      <c r="J214" s="202"/>
      <c r="K214" s="202"/>
      <c r="L214" s="202"/>
      <c r="M214" s="202"/>
      <c r="N214" s="202"/>
      <c r="O214" s="202"/>
      <c r="P214" s="202"/>
      <c r="Q214" s="202"/>
      <c r="R214" s="202"/>
      <c r="S214" s="202"/>
      <c r="T214" s="202"/>
      <c r="U214" s="202"/>
      <c r="V214" s="202"/>
      <c r="W214" s="202"/>
      <c r="X214" s="202"/>
      <c r="Y214" s="202"/>
      <c r="Z214" s="202"/>
      <c r="AA214" s="202"/>
      <c r="AB214" s="202"/>
      <c r="AC214" s="202"/>
      <c r="AD214" s="202"/>
      <c r="AE214" s="202"/>
      <c r="AF214" s="202"/>
      <c r="AG214" s="202"/>
      <c r="AH214" s="202"/>
      <c r="AI214" s="202"/>
      <c r="AJ214" s="202"/>
      <c r="AK214" s="202"/>
      <c r="AL214" s="202"/>
      <c r="AM214" s="203"/>
    </row>
    <row r="215" spans="1:39" ht="33" customHeight="1" thickBot="1" x14ac:dyDescent="0.35">
      <c r="A215" s="31"/>
      <c r="B215" s="55"/>
      <c r="C215" s="33"/>
      <c r="D215" s="56"/>
      <c r="E215" s="199"/>
      <c r="F215" s="25">
        <f t="shared" si="11"/>
        <v>0</v>
      </c>
      <c r="G215" s="200">
        <f t="shared" si="12"/>
        <v>0</v>
      </c>
      <c r="H215" s="204">
        <f t="shared" si="13"/>
        <v>0</v>
      </c>
      <c r="I215" s="202"/>
      <c r="J215" s="202"/>
      <c r="K215" s="202"/>
      <c r="L215" s="202"/>
      <c r="M215" s="202"/>
      <c r="N215" s="202"/>
      <c r="O215" s="202"/>
      <c r="P215" s="202"/>
      <c r="Q215" s="202"/>
      <c r="R215" s="202"/>
      <c r="S215" s="202"/>
      <c r="T215" s="202"/>
      <c r="U215" s="202"/>
      <c r="V215" s="202"/>
      <c r="W215" s="202"/>
      <c r="X215" s="202"/>
      <c r="Y215" s="202"/>
      <c r="Z215" s="202"/>
      <c r="AA215" s="202"/>
      <c r="AB215" s="202"/>
      <c r="AC215" s="202"/>
      <c r="AD215" s="202"/>
      <c r="AE215" s="202"/>
      <c r="AF215" s="202"/>
      <c r="AG215" s="202"/>
      <c r="AH215" s="202"/>
      <c r="AI215" s="202"/>
      <c r="AJ215" s="202"/>
      <c r="AK215" s="202"/>
      <c r="AL215" s="202"/>
      <c r="AM215" s="203"/>
    </row>
    <row r="216" spans="1:39" ht="51.75" customHeight="1" x14ac:dyDescent="0.3">
      <c r="A216" s="205"/>
      <c r="B216" s="248" t="s">
        <v>488</v>
      </c>
      <c r="C216" s="207"/>
      <c r="D216" s="208"/>
      <c r="E216" s="209"/>
      <c r="F216" s="249">
        <f>SUM(F11:F215)+F10</f>
        <v>0</v>
      </c>
      <c r="G216" s="208"/>
      <c r="H216" s="249">
        <f>SUM(H11:H215)+H10</f>
        <v>0</v>
      </c>
      <c r="I216" s="210">
        <f t="shared" ref="I216:AM216" si="14">SUMPRODUCT(I10:I215,$D$10:$D$215)</f>
        <v>0</v>
      </c>
      <c r="J216" s="210">
        <f t="shared" si="14"/>
        <v>0</v>
      </c>
      <c r="K216" s="210">
        <f t="shared" si="14"/>
        <v>0</v>
      </c>
      <c r="L216" s="210">
        <f t="shared" si="14"/>
        <v>0</v>
      </c>
      <c r="M216" s="210">
        <f t="shared" si="14"/>
        <v>0</v>
      </c>
      <c r="N216" s="210">
        <f t="shared" si="14"/>
        <v>0</v>
      </c>
      <c r="O216" s="210">
        <f t="shared" si="14"/>
        <v>0</v>
      </c>
      <c r="P216" s="210">
        <f t="shared" si="14"/>
        <v>0</v>
      </c>
      <c r="Q216" s="210">
        <f t="shared" si="14"/>
        <v>0</v>
      </c>
      <c r="R216" s="210">
        <f t="shared" si="14"/>
        <v>0</v>
      </c>
      <c r="S216" s="210">
        <f t="shared" si="14"/>
        <v>0</v>
      </c>
      <c r="T216" s="210">
        <f t="shared" si="14"/>
        <v>0</v>
      </c>
      <c r="U216" s="210">
        <f t="shared" si="14"/>
        <v>0</v>
      </c>
      <c r="V216" s="210">
        <f t="shared" si="14"/>
        <v>0</v>
      </c>
      <c r="W216" s="210">
        <f t="shared" si="14"/>
        <v>0</v>
      </c>
      <c r="X216" s="210">
        <f t="shared" si="14"/>
        <v>0</v>
      </c>
      <c r="Y216" s="210">
        <f t="shared" si="14"/>
        <v>0</v>
      </c>
      <c r="Z216" s="210">
        <f t="shared" si="14"/>
        <v>0</v>
      </c>
      <c r="AA216" s="210">
        <f t="shared" si="14"/>
        <v>0</v>
      </c>
      <c r="AB216" s="210">
        <f t="shared" si="14"/>
        <v>0</v>
      </c>
      <c r="AC216" s="210">
        <f t="shared" si="14"/>
        <v>0</v>
      </c>
      <c r="AD216" s="210">
        <f t="shared" si="14"/>
        <v>0</v>
      </c>
      <c r="AE216" s="210">
        <f t="shared" si="14"/>
        <v>0</v>
      </c>
      <c r="AF216" s="210">
        <f t="shared" si="14"/>
        <v>0</v>
      </c>
      <c r="AG216" s="210">
        <f t="shared" si="14"/>
        <v>0</v>
      </c>
      <c r="AH216" s="210">
        <f t="shared" si="14"/>
        <v>0</v>
      </c>
      <c r="AI216" s="210">
        <f t="shared" si="14"/>
        <v>0</v>
      </c>
      <c r="AJ216" s="210">
        <f t="shared" si="14"/>
        <v>0</v>
      </c>
      <c r="AK216" s="210">
        <f t="shared" si="14"/>
        <v>0</v>
      </c>
      <c r="AL216" s="210">
        <f t="shared" si="14"/>
        <v>0</v>
      </c>
      <c r="AM216" s="211">
        <f t="shared" si="14"/>
        <v>0</v>
      </c>
    </row>
    <row r="217" spans="1:39" ht="51.75" customHeight="1" x14ac:dyDescent="0.3">
      <c r="A217" s="205"/>
      <c r="B217" s="206"/>
      <c r="C217" s="207"/>
      <c r="D217" s="208"/>
      <c r="E217" s="209"/>
      <c r="F217" s="209"/>
      <c r="G217" s="208"/>
      <c r="H217" s="208"/>
      <c r="I217" s="212"/>
      <c r="J217" s="212"/>
      <c r="K217" s="212"/>
      <c r="L217" s="212"/>
      <c r="M217" s="212"/>
      <c r="N217" s="212"/>
      <c r="O217" s="212"/>
      <c r="P217" s="212"/>
      <c r="Q217" s="212"/>
      <c r="R217" s="212"/>
      <c r="S217" s="212"/>
      <c r="T217" s="212"/>
      <c r="U217" s="212"/>
      <c r="V217" s="212"/>
      <c r="W217" s="212"/>
      <c r="X217" s="212"/>
      <c r="Y217" s="212"/>
      <c r="Z217" s="212"/>
      <c r="AA217" s="212"/>
      <c r="AB217" s="212"/>
      <c r="AC217" s="212"/>
      <c r="AD217" s="212"/>
      <c r="AE217" s="212"/>
      <c r="AF217" s="212"/>
      <c r="AG217" s="212"/>
      <c r="AH217" s="212"/>
      <c r="AI217" s="212"/>
      <c r="AJ217" s="212"/>
      <c r="AK217" s="212"/>
      <c r="AL217" s="212"/>
      <c r="AM217" s="213"/>
    </row>
    <row r="219" spans="1:39" ht="15.6" x14ac:dyDescent="0.3">
      <c r="E219" s="427" t="s">
        <v>476</v>
      </c>
      <c r="F219" s="427"/>
      <c r="G219" s="214">
        <f>IFERROR(H216/F216,0)</f>
        <v>0</v>
      </c>
    </row>
    <row r="220" spans="1:39" ht="15.6" x14ac:dyDescent="0.3">
      <c r="E220" s="215"/>
      <c r="F220" s="215"/>
      <c r="G220" s="216"/>
      <c r="H220" s="217">
        <f>F216/27</f>
        <v>0</v>
      </c>
    </row>
    <row r="221" spans="1:39" x14ac:dyDescent="0.3">
      <c r="E221" s="428" t="s">
        <v>480</v>
      </c>
      <c r="F221" s="428"/>
      <c r="G221" s="159">
        <f>'Projection Vs Ach Summary'!E35</f>
        <v>0</v>
      </c>
      <c r="H221" s="218"/>
    </row>
    <row r="222" spans="1:39" x14ac:dyDescent="0.3">
      <c r="H222" s="217"/>
    </row>
    <row r="224" spans="1:39" x14ac:dyDescent="0.3">
      <c r="H224" s="219"/>
    </row>
    <row r="225" spans="6:6" x14ac:dyDescent="0.3">
      <c r="F225" s="217">
        <f>F216-165548</f>
        <v>-165548</v>
      </c>
    </row>
  </sheetData>
  <autoFilter ref="E9:F217" xr:uid="{00000000-0009-0000-0000-000002000000}"/>
  <mergeCells count="4">
    <mergeCell ref="E8:F8"/>
    <mergeCell ref="G8:H8"/>
    <mergeCell ref="E219:F219"/>
    <mergeCell ref="E221:F221"/>
  </mergeCells>
  <phoneticPr fontId="60" type="noConversion"/>
  <conditionalFormatting sqref="D10:E217 G10:H217">
    <cfRule type="cellIs" dxfId="1" priority="1" stopIfTrue="1" operator="equal">
      <formula>#REF!</formula>
    </cfRule>
  </conditionalFormatting>
  <conditionalFormatting sqref="H10 G10:G215 H216 F216:F217">
    <cfRule type="cellIs" dxfId="0" priority="2" stopIfTrue="1" operator="equal">
      <formula>#REF!</formula>
    </cfRule>
  </conditionalFormatting>
  <pageMargins left="0.75" right="0.75" top="1" bottom="1" header="0.5" footer="0.5"/>
  <pageSetup paperSize="9"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40BA4-6D57-4F87-8A6C-2B24356DFF66}">
  <dimension ref="A1:J123"/>
  <sheetViews>
    <sheetView showZeros="0" view="pageBreakPreview" topLeftCell="A30" zoomScaleNormal="100" zoomScaleSheetLayoutView="100" workbookViewId="0">
      <selection activeCell="G131" sqref="G131"/>
    </sheetView>
  </sheetViews>
  <sheetFormatPr defaultColWidth="8.19921875" defaultRowHeight="13.8" x14ac:dyDescent="0.3"/>
  <cols>
    <col min="1" max="1" width="5.09765625" style="250" customWidth="1"/>
    <col min="2" max="2" width="23.296875" style="250" customWidth="1"/>
    <col min="3" max="3" width="9" style="250" customWidth="1"/>
    <col min="4" max="4" width="7.69921875" style="250" customWidth="1"/>
    <col min="5" max="5" width="7.19921875" style="250" customWidth="1"/>
    <col min="6" max="6" width="4.5" style="250" customWidth="1"/>
    <col min="7" max="7" width="23.296875" style="250" customWidth="1"/>
    <col min="8" max="8" width="7.59765625" style="250" customWidth="1"/>
    <col min="9" max="9" width="7.69921875" style="250" customWidth="1"/>
    <col min="10" max="10" width="6.19921875" style="250" customWidth="1"/>
    <col min="11" max="16384" width="8.19921875" style="250"/>
  </cols>
  <sheetData>
    <row r="1" spans="1:10" ht="48" customHeight="1" x14ac:dyDescent="0.3">
      <c r="A1" s="437"/>
      <c r="B1" s="438"/>
      <c r="C1" s="438"/>
      <c r="D1" s="438"/>
      <c r="E1" s="438"/>
      <c r="F1" s="438"/>
      <c r="G1" s="438"/>
      <c r="H1" s="438"/>
      <c r="I1" s="438"/>
      <c r="J1" s="439"/>
    </row>
    <row r="2" spans="1:10" ht="19.5" customHeight="1" x14ac:dyDescent="0.3">
      <c r="A2" s="251" t="s">
        <v>658</v>
      </c>
      <c r="B2" s="252"/>
      <c r="C2" s="252"/>
      <c r="D2" s="253"/>
      <c r="E2" s="253"/>
      <c r="F2" s="253"/>
      <c r="G2" s="253"/>
      <c r="H2" s="251" t="s">
        <v>660</v>
      </c>
      <c r="I2" s="253"/>
      <c r="J2" s="254"/>
    </row>
    <row r="3" spans="1:10" ht="19.5" customHeight="1" x14ac:dyDescent="0.3">
      <c r="A3" s="251" t="s">
        <v>659</v>
      </c>
      <c r="B3" s="255"/>
      <c r="C3" s="255"/>
      <c r="D3" s="255"/>
      <c r="E3" s="255"/>
      <c r="F3" s="255"/>
      <c r="G3" s="256"/>
      <c r="H3" s="251" t="s">
        <v>656</v>
      </c>
      <c r="I3" s="253"/>
      <c r="J3" s="254"/>
    </row>
    <row r="4" spans="1:10" ht="15" customHeight="1" x14ac:dyDescent="0.3">
      <c r="A4" s="440" t="s">
        <v>491</v>
      </c>
      <c r="B4" s="441"/>
      <c r="C4" s="441"/>
      <c r="D4" s="441"/>
      <c r="E4" s="441"/>
      <c r="F4" s="441"/>
      <c r="G4" s="441"/>
      <c r="H4" s="441"/>
      <c r="I4" s="441"/>
      <c r="J4" s="442"/>
    </row>
    <row r="5" spans="1:10" ht="12.75" customHeight="1" x14ac:dyDescent="0.3">
      <c r="A5" s="443" t="s">
        <v>492</v>
      </c>
      <c r="B5" s="444"/>
      <c r="C5" s="444"/>
      <c r="D5" s="444"/>
      <c r="E5" s="444"/>
      <c r="F5" s="444"/>
      <c r="G5" s="444"/>
      <c r="H5" s="444"/>
      <c r="I5" s="444"/>
      <c r="J5" s="445"/>
    </row>
    <row r="6" spans="1:10" ht="16.5" customHeight="1" x14ac:dyDescent="0.3">
      <c r="A6" s="257" t="s">
        <v>493</v>
      </c>
      <c r="B6" s="258"/>
      <c r="C6" s="258"/>
      <c r="D6" s="258"/>
      <c r="E6" s="258"/>
      <c r="F6" s="259" t="s">
        <v>494</v>
      </c>
      <c r="G6" s="258"/>
      <c r="H6" s="258"/>
      <c r="I6" s="258"/>
      <c r="J6" s="260"/>
    </row>
    <row r="7" spans="1:10" ht="17.25" customHeight="1" x14ac:dyDescent="0.3">
      <c r="A7" s="261" t="s">
        <v>495</v>
      </c>
      <c r="B7" s="261" t="s">
        <v>496</v>
      </c>
      <c r="C7" s="261" t="s">
        <v>661</v>
      </c>
      <c r="D7" s="261" t="s">
        <v>498</v>
      </c>
      <c r="E7" s="261" t="s">
        <v>488</v>
      </c>
      <c r="F7" s="261" t="s">
        <v>495</v>
      </c>
      <c r="G7" s="261" t="s">
        <v>496</v>
      </c>
      <c r="H7" s="261" t="s">
        <v>497</v>
      </c>
      <c r="I7" s="261" t="s">
        <v>498</v>
      </c>
      <c r="J7" s="261" t="s">
        <v>488</v>
      </c>
    </row>
    <row r="8" spans="1:10" ht="12" customHeight="1" x14ac:dyDescent="0.3">
      <c r="A8" s="262">
        <v>1</v>
      </c>
      <c r="B8" s="263" t="s">
        <v>499</v>
      </c>
      <c r="C8" s="264"/>
      <c r="D8" s="264"/>
      <c r="E8" s="262">
        <f>+C8+D8</f>
        <v>0</v>
      </c>
      <c r="F8" s="262">
        <v>1</v>
      </c>
      <c r="G8" s="263" t="s">
        <v>500</v>
      </c>
      <c r="H8" s="264"/>
      <c r="I8" s="264"/>
      <c r="J8" s="262">
        <f t="shared" ref="J8:J46" si="0">+H8+I8</f>
        <v>0</v>
      </c>
    </row>
    <row r="9" spans="1:10" ht="12" customHeight="1" x14ac:dyDescent="0.3">
      <c r="A9" s="262">
        <f>+A8+1</f>
        <v>2</v>
      </c>
      <c r="B9" s="263" t="s">
        <v>501</v>
      </c>
      <c r="C9" s="264"/>
      <c r="D9" s="264"/>
      <c r="E9" s="262">
        <f t="shared" ref="E9:E56" si="1">+C9+D9</f>
        <v>0</v>
      </c>
      <c r="F9" s="262">
        <f>+F8+1</f>
        <v>2</v>
      </c>
      <c r="G9" s="263" t="s">
        <v>502</v>
      </c>
      <c r="H9" s="264"/>
      <c r="I9" s="264"/>
      <c r="J9" s="262">
        <f t="shared" si="0"/>
        <v>0</v>
      </c>
    </row>
    <row r="10" spans="1:10" ht="12" customHeight="1" x14ac:dyDescent="0.3">
      <c r="A10" s="262">
        <f t="shared" ref="A10:A57" si="2">+A9+1</f>
        <v>3</v>
      </c>
      <c r="B10" s="263" t="s">
        <v>503</v>
      </c>
      <c r="C10" s="264"/>
      <c r="D10" s="264"/>
      <c r="E10" s="262">
        <f t="shared" si="1"/>
        <v>0</v>
      </c>
      <c r="F10" s="262">
        <f t="shared" ref="F10:F46" si="3">+F9+1</f>
        <v>3</v>
      </c>
      <c r="G10" s="263" t="s">
        <v>504</v>
      </c>
      <c r="H10" s="264"/>
      <c r="I10" s="264"/>
      <c r="J10" s="262">
        <f t="shared" si="0"/>
        <v>0</v>
      </c>
    </row>
    <row r="11" spans="1:10" ht="12" customHeight="1" x14ac:dyDescent="0.3">
      <c r="A11" s="262">
        <f t="shared" si="2"/>
        <v>4</v>
      </c>
      <c r="B11" s="263" t="s">
        <v>505</v>
      </c>
      <c r="C11" s="264"/>
      <c r="D11" s="264"/>
      <c r="E11" s="262">
        <f t="shared" si="1"/>
        <v>0</v>
      </c>
      <c r="F11" s="262">
        <f t="shared" si="3"/>
        <v>4</v>
      </c>
      <c r="G11" s="263" t="s">
        <v>506</v>
      </c>
      <c r="H11" s="264"/>
      <c r="I11" s="264"/>
      <c r="J11" s="262">
        <f t="shared" si="0"/>
        <v>0</v>
      </c>
    </row>
    <row r="12" spans="1:10" ht="12" customHeight="1" x14ac:dyDescent="0.3">
      <c r="A12" s="262">
        <f t="shared" si="2"/>
        <v>5</v>
      </c>
      <c r="B12" s="263" t="s">
        <v>507</v>
      </c>
      <c r="C12" s="264"/>
      <c r="D12" s="264"/>
      <c r="E12" s="262">
        <f t="shared" si="1"/>
        <v>0</v>
      </c>
      <c r="F12" s="262">
        <f t="shared" si="3"/>
        <v>5</v>
      </c>
      <c r="G12" s="263" t="s">
        <v>508</v>
      </c>
      <c r="H12" s="264"/>
      <c r="I12" s="264"/>
      <c r="J12" s="262">
        <f t="shared" si="0"/>
        <v>0</v>
      </c>
    </row>
    <row r="13" spans="1:10" ht="12" customHeight="1" x14ac:dyDescent="0.3">
      <c r="A13" s="262">
        <f t="shared" si="2"/>
        <v>6</v>
      </c>
      <c r="B13" s="263" t="s">
        <v>509</v>
      </c>
      <c r="C13" s="264"/>
      <c r="D13" s="264"/>
      <c r="E13" s="262">
        <f t="shared" si="1"/>
        <v>0</v>
      </c>
      <c r="F13" s="262">
        <f t="shared" si="3"/>
        <v>6</v>
      </c>
      <c r="G13" s="263" t="s">
        <v>510</v>
      </c>
      <c r="H13" s="264"/>
      <c r="I13" s="264"/>
      <c r="J13" s="262">
        <f t="shared" si="0"/>
        <v>0</v>
      </c>
    </row>
    <row r="14" spans="1:10" ht="12" customHeight="1" x14ac:dyDescent="0.3">
      <c r="A14" s="262">
        <f t="shared" si="2"/>
        <v>7</v>
      </c>
      <c r="B14" s="263" t="s">
        <v>511</v>
      </c>
      <c r="C14" s="264"/>
      <c r="D14" s="264"/>
      <c r="E14" s="262">
        <f t="shared" si="1"/>
        <v>0</v>
      </c>
      <c r="F14" s="262">
        <f t="shared" si="3"/>
        <v>7</v>
      </c>
      <c r="G14" s="263" t="s">
        <v>512</v>
      </c>
      <c r="H14" s="264"/>
      <c r="I14" s="264"/>
      <c r="J14" s="262">
        <f t="shared" si="0"/>
        <v>0</v>
      </c>
    </row>
    <row r="15" spans="1:10" ht="12" customHeight="1" x14ac:dyDescent="0.3">
      <c r="A15" s="262">
        <f t="shared" si="2"/>
        <v>8</v>
      </c>
      <c r="B15" s="263" t="s">
        <v>513</v>
      </c>
      <c r="C15" s="264"/>
      <c r="D15" s="264"/>
      <c r="E15" s="262">
        <f t="shared" si="1"/>
        <v>0</v>
      </c>
      <c r="F15" s="262">
        <f t="shared" si="3"/>
        <v>8</v>
      </c>
      <c r="G15" s="263" t="s">
        <v>514</v>
      </c>
      <c r="H15" s="264"/>
      <c r="I15" s="264"/>
      <c r="J15" s="262">
        <f t="shared" si="0"/>
        <v>0</v>
      </c>
    </row>
    <row r="16" spans="1:10" ht="12" customHeight="1" x14ac:dyDescent="0.3">
      <c r="A16" s="262">
        <f t="shared" si="2"/>
        <v>9</v>
      </c>
      <c r="B16" s="263" t="s">
        <v>515</v>
      </c>
      <c r="C16" s="264"/>
      <c r="D16" s="264"/>
      <c r="E16" s="262">
        <f t="shared" si="1"/>
        <v>0</v>
      </c>
      <c r="F16" s="262">
        <f t="shared" si="3"/>
        <v>9</v>
      </c>
      <c r="G16" s="263" t="s">
        <v>516</v>
      </c>
      <c r="H16" s="264"/>
      <c r="I16" s="264"/>
      <c r="J16" s="262">
        <f t="shared" si="0"/>
        <v>0</v>
      </c>
    </row>
    <row r="17" spans="1:10" ht="12" customHeight="1" x14ac:dyDescent="0.3">
      <c r="A17" s="262">
        <f t="shared" si="2"/>
        <v>10</v>
      </c>
      <c r="B17" s="263" t="s">
        <v>517</v>
      </c>
      <c r="C17" s="264"/>
      <c r="D17" s="264"/>
      <c r="E17" s="262">
        <f t="shared" si="1"/>
        <v>0</v>
      </c>
      <c r="F17" s="262">
        <f t="shared" si="3"/>
        <v>10</v>
      </c>
      <c r="G17" s="263" t="s">
        <v>518</v>
      </c>
      <c r="H17" s="264"/>
      <c r="I17" s="264"/>
      <c r="J17" s="262">
        <f t="shared" si="0"/>
        <v>0</v>
      </c>
    </row>
    <row r="18" spans="1:10" ht="12" customHeight="1" x14ac:dyDescent="0.3">
      <c r="A18" s="262">
        <f t="shared" si="2"/>
        <v>11</v>
      </c>
      <c r="B18" s="263" t="s">
        <v>519</v>
      </c>
      <c r="C18" s="264"/>
      <c r="D18" s="264"/>
      <c r="E18" s="262">
        <f t="shared" si="1"/>
        <v>0</v>
      </c>
      <c r="F18" s="262">
        <f t="shared" si="3"/>
        <v>11</v>
      </c>
      <c r="G18" s="263" t="s">
        <v>520</v>
      </c>
      <c r="H18" s="264"/>
      <c r="I18" s="264"/>
      <c r="J18" s="262">
        <f t="shared" si="0"/>
        <v>0</v>
      </c>
    </row>
    <row r="19" spans="1:10" ht="12" customHeight="1" x14ac:dyDescent="0.3">
      <c r="A19" s="262">
        <f t="shared" si="2"/>
        <v>12</v>
      </c>
      <c r="B19" s="263" t="s">
        <v>521</v>
      </c>
      <c r="C19" s="264"/>
      <c r="D19" s="264"/>
      <c r="E19" s="262">
        <f t="shared" si="1"/>
        <v>0</v>
      </c>
      <c r="F19" s="262">
        <f t="shared" si="3"/>
        <v>12</v>
      </c>
      <c r="G19" s="263" t="s">
        <v>522</v>
      </c>
      <c r="H19" s="264"/>
      <c r="I19" s="264"/>
      <c r="J19" s="262">
        <f t="shared" si="0"/>
        <v>0</v>
      </c>
    </row>
    <row r="20" spans="1:10" ht="12" customHeight="1" x14ac:dyDescent="0.3">
      <c r="A20" s="262">
        <f t="shared" si="2"/>
        <v>13</v>
      </c>
      <c r="B20" s="263" t="s">
        <v>523</v>
      </c>
      <c r="C20" s="264"/>
      <c r="D20" s="264"/>
      <c r="E20" s="262">
        <f t="shared" si="1"/>
        <v>0</v>
      </c>
      <c r="F20" s="262">
        <f t="shared" si="3"/>
        <v>13</v>
      </c>
      <c r="G20" s="263" t="s">
        <v>524</v>
      </c>
      <c r="H20" s="264"/>
      <c r="I20" s="264"/>
      <c r="J20" s="262">
        <f t="shared" si="0"/>
        <v>0</v>
      </c>
    </row>
    <row r="21" spans="1:10" ht="12" customHeight="1" x14ac:dyDescent="0.3">
      <c r="A21" s="262">
        <f t="shared" si="2"/>
        <v>14</v>
      </c>
      <c r="B21" s="263" t="s">
        <v>525</v>
      </c>
      <c r="C21" s="264"/>
      <c r="D21" s="264"/>
      <c r="E21" s="262">
        <f t="shared" si="1"/>
        <v>0</v>
      </c>
      <c r="F21" s="262">
        <f t="shared" si="3"/>
        <v>14</v>
      </c>
      <c r="G21" s="263" t="s">
        <v>526</v>
      </c>
      <c r="H21" s="264"/>
      <c r="I21" s="264"/>
      <c r="J21" s="262">
        <f t="shared" si="0"/>
        <v>0</v>
      </c>
    </row>
    <row r="22" spans="1:10" ht="12" customHeight="1" x14ac:dyDescent="0.3">
      <c r="A22" s="262">
        <f t="shared" si="2"/>
        <v>15</v>
      </c>
      <c r="B22" s="263" t="s">
        <v>527</v>
      </c>
      <c r="C22" s="264"/>
      <c r="D22" s="264"/>
      <c r="E22" s="262">
        <f t="shared" si="1"/>
        <v>0</v>
      </c>
      <c r="F22" s="262">
        <f t="shared" si="3"/>
        <v>15</v>
      </c>
      <c r="G22" s="263" t="s">
        <v>528</v>
      </c>
      <c r="H22" s="264"/>
      <c r="I22" s="264"/>
      <c r="J22" s="262">
        <f t="shared" si="0"/>
        <v>0</v>
      </c>
    </row>
    <row r="23" spans="1:10" ht="12" customHeight="1" x14ac:dyDescent="0.3">
      <c r="A23" s="262">
        <f t="shared" si="2"/>
        <v>16</v>
      </c>
      <c r="B23" s="263" t="s">
        <v>529</v>
      </c>
      <c r="C23" s="264"/>
      <c r="D23" s="264"/>
      <c r="E23" s="262">
        <f t="shared" si="1"/>
        <v>0</v>
      </c>
      <c r="F23" s="262">
        <f t="shared" si="3"/>
        <v>16</v>
      </c>
      <c r="G23" s="263" t="s">
        <v>530</v>
      </c>
      <c r="H23" s="264"/>
      <c r="I23" s="264"/>
      <c r="J23" s="262">
        <f t="shared" si="0"/>
        <v>0</v>
      </c>
    </row>
    <row r="24" spans="1:10" ht="12" customHeight="1" x14ac:dyDescent="0.3">
      <c r="A24" s="262">
        <f t="shared" si="2"/>
        <v>17</v>
      </c>
      <c r="B24" s="263" t="s">
        <v>531</v>
      </c>
      <c r="C24" s="264"/>
      <c r="D24" s="264"/>
      <c r="E24" s="262">
        <f t="shared" si="1"/>
        <v>0</v>
      </c>
      <c r="F24" s="262">
        <f t="shared" si="3"/>
        <v>17</v>
      </c>
      <c r="G24" s="263" t="s">
        <v>532</v>
      </c>
      <c r="H24" s="264"/>
      <c r="I24" s="264"/>
      <c r="J24" s="262">
        <f t="shared" si="0"/>
        <v>0</v>
      </c>
    </row>
    <row r="25" spans="1:10" ht="12" customHeight="1" x14ac:dyDescent="0.3">
      <c r="A25" s="262">
        <f t="shared" si="2"/>
        <v>18</v>
      </c>
      <c r="B25" s="263" t="s">
        <v>533</v>
      </c>
      <c r="C25" s="264"/>
      <c r="D25" s="264"/>
      <c r="E25" s="262">
        <f t="shared" si="1"/>
        <v>0</v>
      </c>
      <c r="F25" s="262">
        <f t="shared" si="3"/>
        <v>18</v>
      </c>
      <c r="G25" s="263" t="s">
        <v>534</v>
      </c>
      <c r="H25" s="264"/>
      <c r="I25" s="264"/>
      <c r="J25" s="262">
        <f t="shared" si="0"/>
        <v>0</v>
      </c>
    </row>
    <row r="26" spans="1:10" ht="12" customHeight="1" x14ac:dyDescent="0.3">
      <c r="A26" s="262">
        <f t="shared" si="2"/>
        <v>19</v>
      </c>
      <c r="B26" s="263" t="s">
        <v>535</v>
      </c>
      <c r="C26" s="264"/>
      <c r="D26" s="264"/>
      <c r="E26" s="262">
        <f t="shared" si="1"/>
        <v>0</v>
      </c>
      <c r="F26" s="262">
        <f t="shared" si="3"/>
        <v>19</v>
      </c>
      <c r="G26" s="263" t="s">
        <v>536</v>
      </c>
      <c r="H26" s="264"/>
      <c r="I26" s="264"/>
      <c r="J26" s="262">
        <f t="shared" si="0"/>
        <v>0</v>
      </c>
    </row>
    <row r="27" spans="1:10" ht="12" customHeight="1" x14ac:dyDescent="0.3">
      <c r="A27" s="262">
        <f t="shared" si="2"/>
        <v>20</v>
      </c>
      <c r="B27" s="263" t="s">
        <v>537</v>
      </c>
      <c r="C27" s="264"/>
      <c r="D27" s="264"/>
      <c r="E27" s="262">
        <f t="shared" si="1"/>
        <v>0</v>
      </c>
      <c r="F27" s="262">
        <f t="shared" si="3"/>
        <v>20</v>
      </c>
      <c r="G27" s="263" t="s">
        <v>538</v>
      </c>
      <c r="H27" s="264"/>
      <c r="I27" s="264"/>
      <c r="J27" s="262">
        <f t="shared" si="0"/>
        <v>0</v>
      </c>
    </row>
    <row r="28" spans="1:10" ht="12" customHeight="1" x14ac:dyDescent="0.3">
      <c r="A28" s="262">
        <f t="shared" si="2"/>
        <v>21</v>
      </c>
      <c r="B28" s="263" t="s">
        <v>539</v>
      </c>
      <c r="C28" s="264"/>
      <c r="D28" s="264"/>
      <c r="E28" s="262">
        <f t="shared" si="1"/>
        <v>0</v>
      </c>
      <c r="F28" s="262">
        <f t="shared" si="3"/>
        <v>21</v>
      </c>
      <c r="G28" s="263" t="s">
        <v>540</v>
      </c>
      <c r="H28" s="264"/>
      <c r="I28" s="264"/>
      <c r="J28" s="262">
        <f t="shared" si="0"/>
        <v>0</v>
      </c>
    </row>
    <row r="29" spans="1:10" ht="12" customHeight="1" x14ac:dyDescent="0.3">
      <c r="A29" s="262">
        <f t="shared" si="2"/>
        <v>22</v>
      </c>
      <c r="B29" s="263" t="s">
        <v>541</v>
      </c>
      <c r="C29" s="264"/>
      <c r="D29" s="264"/>
      <c r="E29" s="262">
        <f t="shared" si="1"/>
        <v>0</v>
      </c>
      <c r="F29" s="262">
        <f t="shared" si="3"/>
        <v>22</v>
      </c>
      <c r="G29" s="263" t="s">
        <v>542</v>
      </c>
      <c r="H29" s="264"/>
      <c r="I29" s="264"/>
      <c r="J29" s="262">
        <f t="shared" si="0"/>
        <v>0</v>
      </c>
    </row>
    <row r="30" spans="1:10" ht="12" customHeight="1" x14ac:dyDescent="0.3">
      <c r="A30" s="262">
        <f t="shared" si="2"/>
        <v>23</v>
      </c>
      <c r="B30" s="263" t="s">
        <v>543</v>
      </c>
      <c r="C30" s="264"/>
      <c r="D30" s="264"/>
      <c r="E30" s="262">
        <f t="shared" si="1"/>
        <v>0</v>
      </c>
      <c r="F30" s="262">
        <f t="shared" si="3"/>
        <v>23</v>
      </c>
      <c r="G30" s="263" t="s">
        <v>544</v>
      </c>
      <c r="H30" s="264"/>
      <c r="I30" s="264"/>
      <c r="J30" s="262">
        <f t="shared" si="0"/>
        <v>0</v>
      </c>
    </row>
    <row r="31" spans="1:10" ht="12" customHeight="1" x14ac:dyDescent="0.3">
      <c r="A31" s="262">
        <f t="shared" si="2"/>
        <v>24</v>
      </c>
      <c r="B31" s="263" t="s">
        <v>545</v>
      </c>
      <c r="C31" s="264"/>
      <c r="D31" s="264"/>
      <c r="E31" s="262">
        <f t="shared" si="1"/>
        <v>0</v>
      </c>
      <c r="F31" s="262">
        <f t="shared" si="3"/>
        <v>24</v>
      </c>
      <c r="G31" s="263" t="s">
        <v>546</v>
      </c>
      <c r="H31" s="264"/>
      <c r="I31" s="264"/>
      <c r="J31" s="262">
        <f t="shared" si="0"/>
        <v>0</v>
      </c>
    </row>
    <row r="32" spans="1:10" ht="12" customHeight="1" x14ac:dyDescent="0.3">
      <c r="A32" s="262">
        <f t="shared" si="2"/>
        <v>25</v>
      </c>
      <c r="B32" s="263" t="s">
        <v>547</v>
      </c>
      <c r="C32" s="264"/>
      <c r="D32" s="264"/>
      <c r="E32" s="262">
        <f t="shared" si="1"/>
        <v>0</v>
      </c>
      <c r="F32" s="262">
        <f t="shared" si="3"/>
        <v>25</v>
      </c>
      <c r="G32" s="263" t="s">
        <v>548</v>
      </c>
      <c r="H32" s="264"/>
      <c r="I32" s="264"/>
      <c r="J32" s="262">
        <f t="shared" si="0"/>
        <v>0</v>
      </c>
    </row>
    <row r="33" spans="1:10" ht="12" customHeight="1" x14ac:dyDescent="0.3">
      <c r="A33" s="262">
        <f t="shared" si="2"/>
        <v>26</v>
      </c>
      <c r="B33" s="263" t="s">
        <v>549</v>
      </c>
      <c r="C33" s="264"/>
      <c r="D33" s="264"/>
      <c r="E33" s="262">
        <f t="shared" si="1"/>
        <v>0</v>
      </c>
      <c r="F33" s="262">
        <f t="shared" si="3"/>
        <v>26</v>
      </c>
      <c r="G33" s="263" t="s">
        <v>550</v>
      </c>
      <c r="H33" s="264"/>
      <c r="I33" s="264"/>
      <c r="J33" s="262">
        <f t="shared" si="0"/>
        <v>0</v>
      </c>
    </row>
    <row r="34" spans="1:10" ht="12" customHeight="1" x14ac:dyDescent="0.3">
      <c r="A34" s="262">
        <f t="shared" si="2"/>
        <v>27</v>
      </c>
      <c r="B34" s="263" t="s">
        <v>551</v>
      </c>
      <c r="C34" s="264"/>
      <c r="D34" s="264"/>
      <c r="E34" s="262">
        <f t="shared" si="1"/>
        <v>0</v>
      </c>
      <c r="F34" s="262">
        <f t="shared" si="3"/>
        <v>27</v>
      </c>
      <c r="G34" s="263" t="s">
        <v>552</v>
      </c>
      <c r="H34" s="264"/>
      <c r="I34" s="264"/>
      <c r="J34" s="262">
        <f t="shared" si="0"/>
        <v>0</v>
      </c>
    </row>
    <row r="35" spans="1:10" ht="12" customHeight="1" x14ac:dyDescent="0.3">
      <c r="A35" s="262">
        <f t="shared" si="2"/>
        <v>28</v>
      </c>
      <c r="B35" s="263" t="s">
        <v>553</v>
      </c>
      <c r="C35" s="264"/>
      <c r="D35" s="264"/>
      <c r="E35" s="262">
        <f t="shared" si="1"/>
        <v>0</v>
      </c>
      <c r="F35" s="262">
        <f t="shared" si="3"/>
        <v>28</v>
      </c>
      <c r="G35" s="263" t="s">
        <v>554</v>
      </c>
      <c r="H35" s="264"/>
      <c r="I35" s="264"/>
      <c r="J35" s="262">
        <f t="shared" si="0"/>
        <v>0</v>
      </c>
    </row>
    <row r="36" spans="1:10" ht="12" customHeight="1" x14ac:dyDescent="0.3">
      <c r="A36" s="262">
        <f t="shared" si="2"/>
        <v>29</v>
      </c>
      <c r="B36" s="263" t="s">
        <v>555</v>
      </c>
      <c r="C36" s="264"/>
      <c r="D36" s="264"/>
      <c r="E36" s="262">
        <f t="shared" si="1"/>
        <v>0</v>
      </c>
      <c r="F36" s="262">
        <f t="shared" si="3"/>
        <v>29</v>
      </c>
      <c r="G36" s="263" t="s">
        <v>556</v>
      </c>
      <c r="H36" s="264"/>
      <c r="I36" s="264"/>
      <c r="J36" s="262">
        <f t="shared" si="0"/>
        <v>0</v>
      </c>
    </row>
    <row r="37" spans="1:10" ht="12" customHeight="1" x14ac:dyDescent="0.3">
      <c r="A37" s="262">
        <f t="shared" si="2"/>
        <v>30</v>
      </c>
      <c r="B37" s="263" t="s">
        <v>557</v>
      </c>
      <c r="C37" s="264"/>
      <c r="D37" s="264"/>
      <c r="E37" s="262">
        <f t="shared" si="1"/>
        <v>0</v>
      </c>
      <c r="F37" s="262">
        <f t="shared" si="3"/>
        <v>30</v>
      </c>
      <c r="G37" s="263" t="s">
        <v>558</v>
      </c>
      <c r="H37" s="264"/>
      <c r="I37" s="264"/>
      <c r="J37" s="262">
        <f t="shared" si="0"/>
        <v>0</v>
      </c>
    </row>
    <row r="38" spans="1:10" ht="12" customHeight="1" x14ac:dyDescent="0.3">
      <c r="A38" s="262">
        <f t="shared" si="2"/>
        <v>31</v>
      </c>
      <c r="B38" s="263" t="s">
        <v>559</v>
      </c>
      <c r="C38" s="264"/>
      <c r="D38" s="264"/>
      <c r="E38" s="262">
        <f t="shared" si="1"/>
        <v>0</v>
      </c>
      <c r="F38" s="262">
        <f t="shared" si="3"/>
        <v>31</v>
      </c>
      <c r="G38" s="263" t="s">
        <v>560</v>
      </c>
      <c r="H38" s="264"/>
      <c r="I38" s="264"/>
      <c r="J38" s="262">
        <f t="shared" si="0"/>
        <v>0</v>
      </c>
    </row>
    <row r="39" spans="1:10" ht="12" customHeight="1" x14ac:dyDescent="0.3">
      <c r="A39" s="262">
        <f t="shared" si="2"/>
        <v>32</v>
      </c>
      <c r="B39" s="263" t="s">
        <v>561</v>
      </c>
      <c r="C39" s="264"/>
      <c r="D39" s="264"/>
      <c r="E39" s="262">
        <f t="shared" si="1"/>
        <v>0</v>
      </c>
      <c r="F39" s="262">
        <f t="shared" si="3"/>
        <v>32</v>
      </c>
      <c r="G39" s="263" t="s">
        <v>562</v>
      </c>
      <c r="H39" s="264"/>
      <c r="I39" s="264"/>
      <c r="J39" s="262">
        <f t="shared" si="0"/>
        <v>0</v>
      </c>
    </row>
    <row r="40" spans="1:10" ht="12" customHeight="1" x14ac:dyDescent="0.3">
      <c r="A40" s="262">
        <f t="shared" si="2"/>
        <v>33</v>
      </c>
      <c r="B40" s="263" t="s">
        <v>563</v>
      </c>
      <c r="C40" s="264"/>
      <c r="D40" s="264"/>
      <c r="E40" s="262">
        <f t="shared" si="1"/>
        <v>0</v>
      </c>
      <c r="F40" s="262">
        <f t="shared" si="3"/>
        <v>33</v>
      </c>
      <c r="G40" s="263" t="s">
        <v>564</v>
      </c>
      <c r="H40" s="264"/>
      <c r="I40" s="264"/>
      <c r="J40" s="262">
        <f t="shared" si="0"/>
        <v>0</v>
      </c>
    </row>
    <row r="41" spans="1:10" ht="12" customHeight="1" x14ac:dyDescent="0.3">
      <c r="A41" s="262">
        <f t="shared" si="2"/>
        <v>34</v>
      </c>
      <c r="B41" s="263" t="s">
        <v>565</v>
      </c>
      <c r="C41" s="264"/>
      <c r="D41" s="264"/>
      <c r="E41" s="262">
        <f t="shared" si="1"/>
        <v>0</v>
      </c>
      <c r="F41" s="262">
        <f t="shared" si="3"/>
        <v>34</v>
      </c>
      <c r="G41" s="263" t="s">
        <v>566</v>
      </c>
      <c r="H41" s="264"/>
      <c r="I41" s="264"/>
      <c r="J41" s="262">
        <f t="shared" si="0"/>
        <v>0</v>
      </c>
    </row>
    <row r="42" spans="1:10" ht="12" customHeight="1" x14ac:dyDescent="0.3">
      <c r="A42" s="262">
        <f t="shared" si="2"/>
        <v>35</v>
      </c>
      <c r="B42" s="263" t="s">
        <v>567</v>
      </c>
      <c r="C42" s="264"/>
      <c r="D42" s="264"/>
      <c r="E42" s="262">
        <f t="shared" si="1"/>
        <v>0</v>
      </c>
      <c r="F42" s="262">
        <f t="shared" si="3"/>
        <v>35</v>
      </c>
      <c r="G42" s="263" t="s">
        <v>568</v>
      </c>
      <c r="H42" s="264"/>
      <c r="I42" s="264"/>
      <c r="J42" s="262">
        <f t="shared" si="0"/>
        <v>0</v>
      </c>
    </row>
    <row r="43" spans="1:10" ht="12" customHeight="1" x14ac:dyDescent="0.3">
      <c r="A43" s="262">
        <f t="shared" si="2"/>
        <v>36</v>
      </c>
      <c r="B43" s="263" t="s">
        <v>569</v>
      </c>
      <c r="C43" s="264"/>
      <c r="D43" s="264"/>
      <c r="E43" s="262">
        <f t="shared" si="1"/>
        <v>0</v>
      </c>
      <c r="F43" s="262">
        <f t="shared" si="3"/>
        <v>36</v>
      </c>
      <c r="G43" s="263" t="s">
        <v>570</v>
      </c>
      <c r="H43" s="264"/>
      <c r="I43" s="264"/>
      <c r="J43" s="262">
        <f t="shared" si="0"/>
        <v>0</v>
      </c>
    </row>
    <row r="44" spans="1:10" ht="12" customHeight="1" x14ac:dyDescent="0.3">
      <c r="A44" s="262">
        <f t="shared" si="2"/>
        <v>37</v>
      </c>
      <c r="B44" s="263" t="s">
        <v>571</v>
      </c>
      <c r="C44" s="264"/>
      <c r="D44" s="264"/>
      <c r="E44" s="262">
        <f t="shared" si="1"/>
        <v>0</v>
      </c>
      <c r="F44" s="262">
        <f t="shared" si="3"/>
        <v>37</v>
      </c>
      <c r="G44" s="263" t="s">
        <v>572</v>
      </c>
      <c r="H44" s="264"/>
      <c r="I44" s="264"/>
      <c r="J44" s="262">
        <f t="shared" si="0"/>
        <v>0</v>
      </c>
    </row>
    <row r="45" spans="1:10" ht="12" customHeight="1" x14ac:dyDescent="0.3">
      <c r="A45" s="262">
        <f t="shared" si="2"/>
        <v>38</v>
      </c>
      <c r="B45" s="263" t="s">
        <v>573</v>
      </c>
      <c r="C45" s="264"/>
      <c r="D45" s="264"/>
      <c r="E45" s="262">
        <f t="shared" si="1"/>
        <v>0</v>
      </c>
      <c r="F45" s="262">
        <f t="shared" si="3"/>
        <v>38</v>
      </c>
      <c r="G45" s="263" t="s">
        <v>574</v>
      </c>
      <c r="H45" s="264"/>
      <c r="I45" s="264"/>
      <c r="J45" s="262">
        <f t="shared" si="0"/>
        <v>0</v>
      </c>
    </row>
    <row r="46" spans="1:10" ht="12" customHeight="1" x14ac:dyDescent="0.3">
      <c r="A46" s="262">
        <f t="shared" si="2"/>
        <v>39</v>
      </c>
      <c r="B46" s="263" t="s">
        <v>575</v>
      </c>
      <c r="C46" s="264"/>
      <c r="D46" s="264"/>
      <c r="E46" s="262">
        <f t="shared" si="1"/>
        <v>0</v>
      </c>
      <c r="F46" s="262">
        <f t="shared" si="3"/>
        <v>39</v>
      </c>
      <c r="G46" s="263" t="s">
        <v>528</v>
      </c>
      <c r="H46" s="264"/>
      <c r="I46" s="264"/>
      <c r="J46" s="262">
        <f t="shared" si="0"/>
        <v>0</v>
      </c>
    </row>
    <row r="47" spans="1:10" ht="12" customHeight="1" x14ac:dyDescent="0.3">
      <c r="A47" s="262">
        <f t="shared" si="2"/>
        <v>40</v>
      </c>
      <c r="B47" s="263" t="s">
        <v>576</v>
      </c>
      <c r="C47" s="264"/>
      <c r="D47" s="264"/>
      <c r="E47" s="262">
        <f t="shared" si="1"/>
        <v>0</v>
      </c>
      <c r="F47" s="262"/>
      <c r="G47" s="263"/>
      <c r="H47" s="263"/>
      <c r="I47" s="263"/>
      <c r="J47" s="262">
        <v>0</v>
      </c>
    </row>
    <row r="48" spans="1:10" ht="12" customHeight="1" x14ac:dyDescent="0.3">
      <c r="A48" s="262">
        <f t="shared" si="2"/>
        <v>41</v>
      </c>
      <c r="B48" s="263" t="s">
        <v>577</v>
      </c>
      <c r="C48" s="264"/>
      <c r="D48" s="264"/>
      <c r="E48" s="262">
        <f t="shared" si="1"/>
        <v>0</v>
      </c>
      <c r="F48" s="262"/>
      <c r="G48" s="263"/>
      <c r="H48" s="263"/>
      <c r="I48" s="263"/>
      <c r="J48" s="262">
        <v>0</v>
      </c>
    </row>
    <row r="49" spans="1:10" ht="12" customHeight="1" x14ac:dyDescent="0.3">
      <c r="A49" s="262">
        <f t="shared" si="2"/>
        <v>42</v>
      </c>
      <c r="B49" s="263" t="s">
        <v>578</v>
      </c>
      <c r="C49" s="264"/>
      <c r="D49" s="264"/>
      <c r="E49" s="262">
        <f t="shared" si="1"/>
        <v>0</v>
      </c>
      <c r="F49" s="262"/>
      <c r="G49" s="263"/>
      <c r="H49" s="263"/>
      <c r="I49" s="263"/>
      <c r="J49" s="262">
        <v>0</v>
      </c>
    </row>
    <row r="50" spans="1:10" ht="12" customHeight="1" x14ac:dyDescent="0.3">
      <c r="A50" s="262">
        <f t="shared" si="2"/>
        <v>43</v>
      </c>
      <c r="B50" s="263" t="s">
        <v>579</v>
      </c>
      <c r="C50" s="264"/>
      <c r="D50" s="264"/>
      <c r="E50" s="262">
        <f t="shared" si="1"/>
        <v>0</v>
      </c>
      <c r="F50" s="262"/>
      <c r="G50" s="263"/>
      <c r="H50" s="263"/>
      <c r="I50" s="263"/>
      <c r="J50" s="262"/>
    </row>
    <row r="51" spans="1:10" ht="12" customHeight="1" x14ac:dyDescent="0.3">
      <c r="A51" s="262">
        <f t="shared" si="2"/>
        <v>44</v>
      </c>
      <c r="B51" s="263" t="s">
        <v>580</v>
      </c>
      <c r="C51" s="264"/>
      <c r="D51" s="264"/>
      <c r="E51" s="262">
        <f t="shared" si="1"/>
        <v>0</v>
      </c>
      <c r="F51" s="262"/>
      <c r="G51" s="263"/>
      <c r="H51" s="263"/>
      <c r="I51" s="263"/>
      <c r="J51" s="262"/>
    </row>
    <row r="52" spans="1:10" ht="12" customHeight="1" x14ac:dyDescent="0.3">
      <c r="A52" s="262">
        <f t="shared" si="2"/>
        <v>45</v>
      </c>
      <c r="B52" s="263" t="s">
        <v>581</v>
      </c>
      <c r="C52" s="264"/>
      <c r="D52" s="264"/>
      <c r="E52" s="262">
        <f t="shared" si="1"/>
        <v>0</v>
      </c>
      <c r="F52" s="262"/>
      <c r="G52" s="263"/>
      <c r="H52" s="263"/>
      <c r="I52" s="263"/>
      <c r="J52" s="262"/>
    </row>
    <row r="53" spans="1:10" ht="12" customHeight="1" x14ac:dyDescent="0.3">
      <c r="A53" s="262">
        <f t="shared" si="2"/>
        <v>46</v>
      </c>
      <c r="B53" s="263" t="s">
        <v>582</v>
      </c>
      <c r="C53" s="264"/>
      <c r="D53" s="264"/>
      <c r="E53" s="262">
        <f t="shared" si="1"/>
        <v>0</v>
      </c>
      <c r="F53" s="262"/>
      <c r="G53" s="263"/>
      <c r="H53" s="263"/>
      <c r="I53" s="263"/>
      <c r="J53" s="262"/>
    </row>
    <row r="54" spans="1:10" ht="12" customHeight="1" x14ac:dyDescent="0.3">
      <c r="A54" s="262">
        <f t="shared" si="2"/>
        <v>47</v>
      </c>
      <c r="B54" s="263" t="s">
        <v>583</v>
      </c>
      <c r="C54" s="264"/>
      <c r="D54" s="264"/>
      <c r="E54" s="262">
        <f t="shared" si="1"/>
        <v>0</v>
      </c>
      <c r="F54" s="262"/>
      <c r="G54" s="263"/>
      <c r="H54" s="263"/>
      <c r="I54" s="263"/>
      <c r="J54" s="262"/>
    </row>
    <row r="55" spans="1:10" ht="12" customHeight="1" x14ac:dyDescent="0.3">
      <c r="A55" s="262">
        <f t="shared" si="2"/>
        <v>48</v>
      </c>
      <c r="B55" s="263" t="s">
        <v>584</v>
      </c>
      <c r="C55" s="264"/>
      <c r="D55" s="264"/>
      <c r="E55" s="262">
        <f t="shared" si="1"/>
        <v>0</v>
      </c>
      <c r="F55" s="262"/>
      <c r="G55" s="263"/>
      <c r="H55" s="263"/>
      <c r="I55" s="263"/>
      <c r="J55" s="262"/>
    </row>
    <row r="56" spans="1:10" ht="12" customHeight="1" x14ac:dyDescent="0.3">
      <c r="A56" s="262">
        <f t="shared" si="2"/>
        <v>49</v>
      </c>
      <c r="B56" s="263" t="s">
        <v>585</v>
      </c>
      <c r="C56" s="264"/>
      <c r="D56" s="264"/>
      <c r="E56" s="262">
        <f t="shared" si="1"/>
        <v>0</v>
      </c>
      <c r="F56" s="262"/>
      <c r="G56" s="263"/>
      <c r="H56" s="263"/>
      <c r="I56" s="263"/>
      <c r="J56" s="262"/>
    </row>
    <row r="57" spans="1:10" ht="12" customHeight="1" x14ac:dyDescent="0.3">
      <c r="A57" s="262">
        <f t="shared" si="2"/>
        <v>50</v>
      </c>
      <c r="B57" s="263"/>
      <c r="C57" s="264"/>
      <c r="D57" s="264"/>
      <c r="E57" s="262"/>
      <c r="F57" s="262"/>
      <c r="G57" s="263"/>
      <c r="H57" s="263"/>
      <c r="I57" s="263"/>
      <c r="J57" s="262"/>
    </row>
    <row r="58" spans="1:10" ht="12" customHeight="1" x14ac:dyDescent="0.3">
      <c r="A58" s="262"/>
      <c r="B58" s="263"/>
      <c r="C58" s="264"/>
      <c r="D58" s="264"/>
      <c r="E58" s="262"/>
      <c r="F58" s="262"/>
      <c r="G58" s="263"/>
      <c r="H58" s="263"/>
      <c r="I58" s="263"/>
      <c r="J58" s="262">
        <v>0</v>
      </c>
    </row>
    <row r="59" spans="1:10" ht="12" customHeight="1" x14ac:dyDescent="0.3">
      <c r="A59" s="265" t="s">
        <v>662</v>
      </c>
      <c r="B59" s="266"/>
      <c r="C59" s="266"/>
      <c r="D59" s="266"/>
      <c r="E59" s="266"/>
      <c r="F59" s="266"/>
      <c r="G59" s="266"/>
      <c r="H59" s="266"/>
      <c r="I59" s="266"/>
      <c r="J59" s="267"/>
    </row>
    <row r="60" spans="1:10" ht="12" customHeight="1" x14ac:dyDescent="0.3">
      <c r="A60" s="262"/>
      <c r="B60" s="263"/>
      <c r="C60" s="264"/>
      <c r="D60" s="264"/>
      <c r="E60" s="262"/>
      <c r="F60" s="262"/>
      <c r="G60" s="263"/>
      <c r="H60" s="263"/>
      <c r="I60" s="263"/>
      <c r="J60" s="262"/>
    </row>
    <row r="61" spans="1:10" ht="12" customHeight="1" x14ac:dyDescent="0.3">
      <c r="A61" s="262"/>
      <c r="B61" s="263"/>
      <c r="C61" s="264"/>
      <c r="D61" s="264"/>
      <c r="E61" s="262"/>
      <c r="F61" s="262"/>
      <c r="G61" s="263"/>
      <c r="H61" s="263"/>
      <c r="I61" s="263"/>
      <c r="J61" s="262">
        <v>0</v>
      </c>
    </row>
    <row r="62" spans="1:10" ht="12" customHeight="1" x14ac:dyDescent="0.3">
      <c r="A62" s="446" t="s">
        <v>488</v>
      </c>
      <c r="B62" s="447"/>
      <c r="C62" s="268"/>
      <c r="D62" s="268"/>
      <c r="E62" s="268">
        <f>SUM(E8:E61)</f>
        <v>0</v>
      </c>
      <c r="F62" s="446" t="s">
        <v>488</v>
      </c>
      <c r="G62" s="447"/>
      <c r="H62" s="268"/>
      <c r="I62" s="268"/>
      <c r="J62" s="268">
        <f>SUM(J8:J61)</f>
        <v>0</v>
      </c>
    </row>
    <row r="63" spans="1:10" ht="6.15" customHeight="1" x14ac:dyDescent="0.3">
      <c r="A63" s="434"/>
      <c r="B63" s="435"/>
      <c r="C63" s="435"/>
      <c r="D63" s="435"/>
      <c r="E63" s="435"/>
      <c r="F63" s="435"/>
      <c r="G63" s="435"/>
      <c r="H63" s="435"/>
      <c r="I63" s="435"/>
      <c r="J63" s="436"/>
    </row>
    <row r="64" spans="1:10" ht="16.5" customHeight="1" x14ac:dyDescent="0.3">
      <c r="A64" s="429" t="s">
        <v>586</v>
      </c>
      <c r="B64" s="430"/>
      <c r="C64" s="430"/>
      <c r="D64" s="430"/>
      <c r="E64" s="430"/>
      <c r="F64" s="430"/>
      <c r="G64" s="430"/>
      <c r="H64" s="430"/>
      <c r="I64" s="430"/>
      <c r="J64" s="431"/>
    </row>
    <row r="65" spans="1:10" ht="16.5" customHeight="1" x14ac:dyDescent="0.3">
      <c r="A65" s="269"/>
      <c r="B65" s="270" t="s">
        <v>587</v>
      </c>
      <c r="C65" s="270"/>
      <c r="D65" s="270"/>
      <c r="E65" s="270"/>
      <c r="F65" s="271" t="s">
        <v>588</v>
      </c>
      <c r="G65" s="270"/>
      <c r="H65" s="270"/>
      <c r="I65" s="270"/>
      <c r="J65" s="272"/>
    </row>
    <row r="66" spans="1:10" ht="17.25" customHeight="1" x14ac:dyDescent="0.3">
      <c r="A66" s="273" t="s">
        <v>589</v>
      </c>
      <c r="B66" s="274" t="s">
        <v>433</v>
      </c>
      <c r="C66" s="274" t="s">
        <v>497</v>
      </c>
      <c r="D66" s="274" t="s">
        <v>498</v>
      </c>
      <c r="E66" s="275" t="s">
        <v>590</v>
      </c>
      <c r="F66" s="275" t="s">
        <v>589</v>
      </c>
      <c r="G66" s="274" t="s">
        <v>433</v>
      </c>
      <c r="H66" s="276" t="s">
        <v>497</v>
      </c>
      <c r="I66" s="276" t="s">
        <v>498</v>
      </c>
      <c r="J66" s="273" t="s">
        <v>590</v>
      </c>
    </row>
    <row r="67" spans="1:10" ht="12" customHeight="1" x14ac:dyDescent="0.3">
      <c r="A67" s="277">
        <v>1</v>
      </c>
      <c r="B67" s="278" t="s">
        <v>591</v>
      </c>
      <c r="C67" s="279"/>
      <c r="D67" s="279"/>
      <c r="E67" s="280">
        <f>+C67+D67</f>
        <v>0</v>
      </c>
      <c r="F67" s="280">
        <v>1</v>
      </c>
      <c r="G67" s="278" t="s">
        <v>592</v>
      </c>
      <c r="H67" s="281"/>
      <c r="I67" s="282"/>
      <c r="J67" s="283">
        <f>+H67+I67</f>
        <v>0</v>
      </c>
    </row>
    <row r="68" spans="1:10" ht="12" customHeight="1" x14ac:dyDescent="0.3">
      <c r="A68" s="277">
        <f>+A67+1</f>
        <v>2</v>
      </c>
      <c r="B68" s="278" t="s">
        <v>593</v>
      </c>
      <c r="C68" s="279"/>
      <c r="D68" s="279"/>
      <c r="E68" s="280">
        <f t="shared" ref="E68:E77" si="4">+C68+D68</f>
        <v>0</v>
      </c>
      <c r="F68" s="280">
        <f>+F67+1</f>
        <v>2</v>
      </c>
      <c r="G68" s="284" t="s">
        <v>594</v>
      </c>
      <c r="H68" s="279"/>
      <c r="I68" s="279"/>
      <c r="J68" s="280">
        <f t="shared" ref="J68:J120" si="5">+H68+I68</f>
        <v>0</v>
      </c>
    </row>
    <row r="69" spans="1:10" ht="12" customHeight="1" x14ac:dyDescent="0.3">
      <c r="A69" s="277">
        <f t="shared" ref="A69:A77" si="6">+A68+1</f>
        <v>3</v>
      </c>
      <c r="B69" s="278" t="s">
        <v>595</v>
      </c>
      <c r="C69" s="279"/>
      <c r="D69" s="279"/>
      <c r="E69" s="280">
        <f t="shared" si="4"/>
        <v>0</v>
      </c>
      <c r="F69" s="280">
        <f t="shared" ref="F69:F120" si="7">+F68+1</f>
        <v>3</v>
      </c>
      <c r="G69" s="284" t="s">
        <v>596</v>
      </c>
      <c r="H69" s="279"/>
      <c r="I69" s="279"/>
      <c r="J69" s="280">
        <f t="shared" si="5"/>
        <v>0</v>
      </c>
    </row>
    <row r="70" spans="1:10" ht="12" customHeight="1" x14ac:dyDescent="0.3">
      <c r="A70" s="277">
        <f t="shared" si="6"/>
        <v>4</v>
      </c>
      <c r="B70" s="278" t="s">
        <v>597</v>
      </c>
      <c r="C70" s="279"/>
      <c r="D70" s="279"/>
      <c r="E70" s="280">
        <f t="shared" si="4"/>
        <v>0</v>
      </c>
      <c r="F70" s="280">
        <f t="shared" si="7"/>
        <v>4</v>
      </c>
      <c r="G70" s="284" t="s">
        <v>598</v>
      </c>
      <c r="H70" s="279"/>
      <c r="I70" s="279"/>
      <c r="J70" s="280">
        <f t="shared" si="5"/>
        <v>0</v>
      </c>
    </row>
    <row r="71" spans="1:10" ht="12" customHeight="1" x14ac:dyDescent="0.3">
      <c r="A71" s="277">
        <f t="shared" si="6"/>
        <v>5</v>
      </c>
      <c r="B71" s="278" t="s">
        <v>599</v>
      </c>
      <c r="C71" s="279"/>
      <c r="D71" s="279"/>
      <c r="E71" s="280">
        <f t="shared" si="4"/>
        <v>0</v>
      </c>
      <c r="F71" s="280">
        <f t="shared" si="7"/>
        <v>5</v>
      </c>
      <c r="G71" s="284" t="s">
        <v>600</v>
      </c>
      <c r="H71" s="279"/>
      <c r="I71" s="279"/>
      <c r="J71" s="280">
        <f t="shared" si="5"/>
        <v>0</v>
      </c>
    </row>
    <row r="72" spans="1:10" ht="12" customHeight="1" x14ac:dyDescent="0.3">
      <c r="A72" s="277">
        <f t="shared" si="6"/>
        <v>6</v>
      </c>
      <c r="B72" s="278" t="s">
        <v>601</v>
      </c>
      <c r="C72" s="279"/>
      <c r="D72" s="279"/>
      <c r="E72" s="280">
        <f t="shared" si="4"/>
        <v>0</v>
      </c>
      <c r="F72" s="280">
        <f t="shared" si="7"/>
        <v>6</v>
      </c>
      <c r="G72" s="284" t="s">
        <v>602</v>
      </c>
      <c r="H72" s="279"/>
      <c r="I72" s="279"/>
      <c r="J72" s="280">
        <f t="shared" si="5"/>
        <v>0</v>
      </c>
    </row>
    <row r="73" spans="1:10" ht="12" customHeight="1" x14ac:dyDescent="0.3">
      <c r="A73" s="277">
        <f t="shared" si="6"/>
        <v>7</v>
      </c>
      <c r="B73" s="278" t="s">
        <v>603</v>
      </c>
      <c r="C73" s="279"/>
      <c r="D73" s="279"/>
      <c r="E73" s="280">
        <f t="shared" si="4"/>
        <v>0</v>
      </c>
      <c r="F73" s="280">
        <f t="shared" si="7"/>
        <v>7</v>
      </c>
      <c r="G73" s="284" t="s">
        <v>604</v>
      </c>
      <c r="H73" s="279"/>
      <c r="I73" s="279"/>
      <c r="J73" s="280">
        <f t="shared" si="5"/>
        <v>0</v>
      </c>
    </row>
    <row r="74" spans="1:10" ht="12" customHeight="1" x14ac:dyDescent="0.3">
      <c r="A74" s="277">
        <f t="shared" si="6"/>
        <v>8</v>
      </c>
      <c r="B74" s="278" t="s">
        <v>605</v>
      </c>
      <c r="C74" s="279"/>
      <c r="D74" s="279"/>
      <c r="E74" s="280">
        <f t="shared" si="4"/>
        <v>0</v>
      </c>
      <c r="F74" s="280">
        <f t="shared" si="7"/>
        <v>8</v>
      </c>
      <c r="G74" s="284" t="s">
        <v>606</v>
      </c>
      <c r="H74" s="279"/>
      <c r="I74" s="279"/>
      <c r="J74" s="280">
        <f t="shared" si="5"/>
        <v>0</v>
      </c>
    </row>
    <row r="75" spans="1:10" ht="12" customHeight="1" x14ac:dyDescent="0.3">
      <c r="A75" s="277">
        <f t="shared" si="6"/>
        <v>9</v>
      </c>
      <c r="B75" s="278" t="s">
        <v>607</v>
      </c>
      <c r="C75" s="279"/>
      <c r="D75" s="279"/>
      <c r="E75" s="280">
        <f t="shared" si="4"/>
        <v>0</v>
      </c>
      <c r="F75" s="280">
        <f t="shared" si="7"/>
        <v>9</v>
      </c>
      <c r="G75" s="284" t="s">
        <v>608</v>
      </c>
      <c r="H75" s="279"/>
      <c r="I75" s="279"/>
      <c r="J75" s="280">
        <f t="shared" si="5"/>
        <v>0</v>
      </c>
    </row>
    <row r="76" spans="1:10" ht="12" customHeight="1" x14ac:dyDescent="0.3">
      <c r="A76" s="277">
        <f t="shared" si="6"/>
        <v>10</v>
      </c>
      <c r="B76" s="278" t="s">
        <v>609</v>
      </c>
      <c r="C76" s="279"/>
      <c r="D76" s="279"/>
      <c r="E76" s="280">
        <f t="shared" si="4"/>
        <v>0</v>
      </c>
      <c r="F76" s="280">
        <f t="shared" si="7"/>
        <v>10</v>
      </c>
      <c r="G76" s="284" t="s">
        <v>610</v>
      </c>
      <c r="H76" s="279"/>
      <c r="I76" s="279"/>
      <c r="J76" s="280">
        <f t="shared" si="5"/>
        <v>0</v>
      </c>
    </row>
    <row r="77" spans="1:10" ht="12" customHeight="1" x14ac:dyDescent="0.3">
      <c r="A77" s="277">
        <f t="shared" si="6"/>
        <v>11</v>
      </c>
      <c r="B77" s="278" t="s">
        <v>611</v>
      </c>
      <c r="C77" s="279"/>
      <c r="D77" s="279"/>
      <c r="E77" s="280">
        <f t="shared" si="4"/>
        <v>0</v>
      </c>
      <c r="F77" s="280">
        <f t="shared" si="7"/>
        <v>11</v>
      </c>
      <c r="G77" s="284" t="s">
        <v>612</v>
      </c>
      <c r="H77" s="279"/>
      <c r="I77" s="279"/>
      <c r="J77" s="280">
        <f t="shared" si="5"/>
        <v>0</v>
      </c>
    </row>
    <row r="78" spans="1:10" ht="12" customHeight="1" x14ac:dyDescent="0.3">
      <c r="A78" s="277"/>
      <c r="B78" s="278"/>
      <c r="C78" s="279"/>
      <c r="D78" s="279"/>
      <c r="E78" s="280"/>
      <c r="F78" s="280">
        <f t="shared" si="7"/>
        <v>12</v>
      </c>
      <c r="G78" s="284" t="s">
        <v>613</v>
      </c>
      <c r="H78" s="279"/>
      <c r="I78" s="279"/>
      <c r="J78" s="280">
        <f t="shared" si="5"/>
        <v>0</v>
      </c>
    </row>
    <row r="79" spans="1:10" ht="12" customHeight="1" x14ac:dyDescent="0.3">
      <c r="A79" s="277"/>
      <c r="B79" s="278"/>
      <c r="C79" s="285"/>
      <c r="D79" s="285"/>
      <c r="E79" s="280"/>
      <c r="F79" s="280">
        <f t="shared" si="7"/>
        <v>13</v>
      </c>
      <c r="G79" s="284" t="s">
        <v>614</v>
      </c>
      <c r="H79" s="279"/>
      <c r="I79" s="279"/>
      <c r="J79" s="280">
        <f t="shared" si="5"/>
        <v>0</v>
      </c>
    </row>
    <row r="80" spans="1:10" ht="12" customHeight="1" x14ac:dyDescent="0.3">
      <c r="A80" s="277"/>
      <c r="B80" s="285"/>
      <c r="C80" s="285"/>
      <c r="D80" s="285"/>
      <c r="E80" s="280"/>
      <c r="F80" s="280">
        <f t="shared" si="7"/>
        <v>14</v>
      </c>
      <c r="G80" s="284" t="s">
        <v>615</v>
      </c>
      <c r="H80" s="279"/>
      <c r="I80" s="279"/>
      <c r="J80" s="280">
        <f t="shared" si="5"/>
        <v>0</v>
      </c>
    </row>
    <row r="81" spans="1:10" ht="12" customHeight="1" x14ac:dyDescent="0.3">
      <c r="A81" s="277"/>
      <c r="B81" s="285"/>
      <c r="C81" s="285"/>
      <c r="D81" s="285"/>
      <c r="E81" s="280"/>
      <c r="F81" s="280">
        <f t="shared" si="7"/>
        <v>15</v>
      </c>
      <c r="G81" s="284" t="s">
        <v>616</v>
      </c>
      <c r="H81" s="279"/>
      <c r="I81" s="279"/>
      <c r="J81" s="280">
        <f t="shared" si="5"/>
        <v>0</v>
      </c>
    </row>
    <row r="82" spans="1:10" ht="12" customHeight="1" x14ac:dyDescent="0.3">
      <c r="A82" s="277"/>
      <c r="B82" s="285"/>
      <c r="C82" s="285"/>
      <c r="D82" s="285"/>
      <c r="E82" s="280"/>
      <c r="F82" s="280">
        <f t="shared" si="7"/>
        <v>16</v>
      </c>
      <c r="G82" s="284" t="s">
        <v>617</v>
      </c>
      <c r="H82" s="279"/>
      <c r="I82" s="279"/>
      <c r="J82" s="280">
        <f t="shared" si="5"/>
        <v>0</v>
      </c>
    </row>
    <row r="83" spans="1:10" ht="12" customHeight="1" x14ac:dyDescent="0.3">
      <c r="A83" s="277"/>
      <c r="B83" s="285"/>
      <c r="C83" s="285"/>
      <c r="D83" s="285"/>
      <c r="E83" s="280"/>
      <c r="F83" s="280">
        <f t="shared" si="7"/>
        <v>17</v>
      </c>
      <c r="G83" s="284" t="s">
        <v>618</v>
      </c>
      <c r="H83" s="279"/>
      <c r="I83" s="279"/>
      <c r="J83" s="280">
        <f t="shared" si="5"/>
        <v>0</v>
      </c>
    </row>
    <row r="84" spans="1:10" ht="12" customHeight="1" x14ac:dyDescent="0.3">
      <c r="A84" s="277"/>
      <c r="B84" s="285"/>
      <c r="C84" s="285"/>
      <c r="D84" s="285"/>
      <c r="E84" s="280"/>
      <c r="F84" s="280">
        <f t="shared" si="7"/>
        <v>18</v>
      </c>
      <c r="G84" s="284" t="s">
        <v>619</v>
      </c>
      <c r="H84" s="279"/>
      <c r="I84" s="279"/>
      <c r="J84" s="280">
        <f t="shared" si="5"/>
        <v>0</v>
      </c>
    </row>
    <row r="85" spans="1:10" ht="12" customHeight="1" x14ac:dyDescent="0.3">
      <c r="A85" s="277"/>
      <c r="B85" s="285"/>
      <c r="C85" s="285"/>
      <c r="D85" s="285"/>
      <c r="E85" s="280"/>
      <c r="F85" s="280">
        <f t="shared" si="7"/>
        <v>19</v>
      </c>
      <c r="G85" s="284" t="s">
        <v>620</v>
      </c>
      <c r="H85" s="279"/>
      <c r="I85" s="279"/>
      <c r="J85" s="280">
        <f t="shared" si="5"/>
        <v>0</v>
      </c>
    </row>
    <row r="86" spans="1:10" ht="12" customHeight="1" x14ac:dyDescent="0.3">
      <c r="A86" s="277"/>
      <c r="B86" s="285"/>
      <c r="C86" s="285"/>
      <c r="D86" s="285"/>
      <c r="E86" s="280"/>
      <c r="F86" s="280">
        <f t="shared" si="7"/>
        <v>20</v>
      </c>
      <c r="G86" s="284" t="s">
        <v>621</v>
      </c>
      <c r="H86" s="279"/>
      <c r="I86" s="279"/>
      <c r="J86" s="280">
        <f t="shared" si="5"/>
        <v>0</v>
      </c>
    </row>
    <row r="87" spans="1:10" ht="12" customHeight="1" x14ac:dyDescent="0.3">
      <c r="A87" s="277"/>
      <c r="B87" s="285"/>
      <c r="C87" s="285"/>
      <c r="D87" s="285"/>
      <c r="E87" s="280"/>
      <c r="F87" s="280">
        <f t="shared" si="7"/>
        <v>21</v>
      </c>
      <c r="G87" s="284" t="s">
        <v>622</v>
      </c>
      <c r="H87" s="279"/>
      <c r="I87" s="279"/>
      <c r="J87" s="280">
        <f t="shared" si="5"/>
        <v>0</v>
      </c>
    </row>
    <row r="88" spans="1:10" ht="12" customHeight="1" x14ac:dyDescent="0.3">
      <c r="A88" s="277"/>
      <c r="B88" s="285"/>
      <c r="C88" s="285"/>
      <c r="D88" s="285"/>
      <c r="E88" s="280"/>
      <c r="F88" s="280">
        <f t="shared" si="7"/>
        <v>22</v>
      </c>
      <c r="G88" s="284" t="s">
        <v>623</v>
      </c>
      <c r="H88" s="279"/>
      <c r="I88" s="279"/>
      <c r="J88" s="280">
        <f t="shared" si="5"/>
        <v>0</v>
      </c>
    </row>
    <row r="89" spans="1:10" ht="12" customHeight="1" x14ac:dyDescent="0.3">
      <c r="A89" s="277"/>
      <c r="B89" s="285"/>
      <c r="C89" s="285"/>
      <c r="D89" s="285"/>
      <c r="E89" s="280"/>
      <c r="F89" s="280">
        <f t="shared" si="7"/>
        <v>23</v>
      </c>
      <c r="G89" s="284" t="s">
        <v>624</v>
      </c>
      <c r="H89" s="279"/>
      <c r="I89" s="279"/>
      <c r="J89" s="280">
        <f t="shared" si="5"/>
        <v>0</v>
      </c>
    </row>
    <row r="90" spans="1:10" ht="12" customHeight="1" x14ac:dyDescent="0.3">
      <c r="A90" s="277"/>
      <c r="B90" s="285"/>
      <c r="C90" s="285"/>
      <c r="D90" s="285"/>
      <c r="E90" s="280"/>
      <c r="F90" s="280">
        <f t="shared" si="7"/>
        <v>24</v>
      </c>
      <c r="G90" s="284" t="s">
        <v>625</v>
      </c>
      <c r="H90" s="279"/>
      <c r="I90" s="279"/>
      <c r="J90" s="280">
        <f t="shared" si="5"/>
        <v>0</v>
      </c>
    </row>
    <row r="91" spans="1:10" ht="12" customHeight="1" x14ac:dyDescent="0.3">
      <c r="A91" s="277"/>
      <c r="B91" s="285"/>
      <c r="C91" s="285"/>
      <c r="D91" s="285"/>
      <c r="E91" s="280"/>
      <c r="F91" s="280">
        <f t="shared" si="7"/>
        <v>25</v>
      </c>
      <c r="G91" s="284" t="s">
        <v>626</v>
      </c>
      <c r="H91" s="279"/>
      <c r="I91" s="279"/>
      <c r="J91" s="280">
        <f t="shared" si="5"/>
        <v>0</v>
      </c>
    </row>
    <row r="92" spans="1:10" ht="12" customHeight="1" x14ac:dyDescent="0.3">
      <c r="A92" s="277"/>
      <c r="B92" s="285"/>
      <c r="C92" s="285"/>
      <c r="D92" s="285"/>
      <c r="E92" s="280"/>
      <c r="F92" s="280">
        <f t="shared" si="7"/>
        <v>26</v>
      </c>
      <c r="G92" s="284" t="s">
        <v>627</v>
      </c>
      <c r="H92" s="279"/>
      <c r="I92" s="279"/>
      <c r="J92" s="280">
        <f t="shared" si="5"/>
        <v>0</v>
      </c>
    </row>
    <row r="93" spans="1:10" ht="12" customHeight="1" x14ac:dyDescent="0.3">
      <c r="A93" s="277"/>
      <c r="B93" s="285"/>
      <c r="C93" s="285"/>
      <c r="D93" s="285"/>
      <c r="E93" s="280"/>
      <c r="F93" s="280">
        <f t="shared" si="7"/>
        <v>27</v>
      </c>
      <c r="G93" s="284" t="s">
        <v>628</v>
      </c>
      <c r="H93" s="279"/>
      <c r="I93" s="279"/>
      <c r="J93" s="280">
        <f t="shared" si="5"/>
        <v>0</v>
      </c>
    </row>
    <row r="94" spans="1:10" ht="12" customHeight="1" x14ac:dyDescent="0.3">
      <c r="A94" s="277"/>
      <c r="B94" s="285"/>
      <c r="C94" s="285"/>
      <c r="D94" s="285"/>
      <c r="E94" s="280"/>
      <c r="F94" s="280">
        <f t="shared" si="7"/>
        <v>28</v>
      </c>
      <c r="G94" s="284" t="s">
        <v>629</v>
      </c>
      <c r="H94" s="279"/>
      <c r="I94" s="279"/>
      <c r="J94" s="280">
        <f t="shared" si="5"/>
        <v>0</v>
      </c>
    </row>
    <row r="95" spans="1:10" ht="12" customHeight="1" x14ac:dyDescent="0.3">
      <c r="A95" s="277"/>
      <c r="B95" s="285"/>
      <c r="C95" s="285"/>
      <c r="D95" s="285"/>
      <c r="E95" s="280"/>
      <c r="F95" s="280">
        <f t="shared" si="7"/>
        <v>29</v>
      </c>
      <c r="G95" s="284" t="s">
        <v>630</v>
      </c>
      <c r="H95" s="279"/>
      <c r="I95" s="279"/>
      <c r="J95" s="280">
        <f t="shared" si="5"/>
        <v>0</v>
      </c>
    </row>
    <row r="96" spans="1:10" ht="12" customHeight="1" x14ac:dyDescent="0.3">
      <c r="A96" s="277"/>
      <c r="B96" s="285"/>
      <c r="C96" s="285"/>
      <c r="D96" s="285"/>
      <c r="E96" s="280"/>
      <c r="F96" s="280">
        <f t="shared" si="7"/>
        <v>30</v>
      </c>
      <c r="G96" s="284" t="s">
        <v>631</v>
      </c>
      <c r="H96" s="279"/>
      <c r="I96" s="279"/>
      <c r="J96" s="280">
        <f t="shared" si="5"/>
        <v>0</v>
      </c>
    </row>
    <row r="97" spans="1:10" ht="12" customHeight="1" x14ac:dyDescent="0.3">
      <c r="A97" s="277"/>
      <c r="B97" s="285"/>
      <c r="C97" s="285"/>
      <c r="D97" s="285"/>
      <c r="E97" s="280"/>
      <c r="F97" s="280">
        <f t="shared" si="7"/>
        <v>31</v>
      </c>
      <c r="G97" s="284" t="s">
        <v>632</v>
      </c>
      <c r="H97" s="279"/>
      <c r="I97" s="279"/>
      <c r="J97" s="280">
        <f t="shared" si="5"/>
        <v>0</v>
      </c>
    </row>
    <row r="98" spans="1:10" ht="12" customHeight="1" x14ac:dyDescent="0.3">
      <c r="A98" s="277"/>
      <c r="B98" s="285"/>
      <c r="C98" s="285"/>
      <c r="D98" s="285"/>
      <c r="E98" s="280"/>
      <c r="F98" s="280">
        <f t="shared" si="7"/>
        <v>32</v>
      </c>
      <c r="G98" s="284" t="s">
        <v>633</v>
      </c>
      <c r="H98" s="279"/>
      <c r="I98" s="279"/>
      <c r="J98" s="280">
        <f t="shared" si="5"/>
        <v>0</v>
      </c>
    </row>
    <row r="99" spans="1:10" ht="12" customHeight="1" x14ac:dyDescent="0.3">
      <c r="A99" s="277"/>
      <c r="B99" s="285"/>
      <c r="C99" s="285"/>
      <c r="D99" s="285"/>
      <c r="E99" s="280"/>
      <c r="F99" s="280">
        <f t="shared" si="7"/>
        <v>33</v>
      </c>
      <c r="G99" s="284" t="s">
        <v>634</v>
      </c>
      <c r="H99" s="279"/>
      <c r="I99" s="279"/>
      <c r="J99" s="280">
        <f t="shared" si="5"/>
        <v>0</v>
      </c>
    </row>
    <row r="100" spans="1:10" ht="12" customHeight="1" x14ac:dyDescent="0.3">
      <c r="A100" s="277"/>
      <c r="B100" s="285"/>
      <c r="C100" s="285"/>
      <c r="D100" s="285"/>
      <c r="E100" s="280"/>
      <c r="F100" s="280">
        <f t="shared" si="7"/>
        <v>34</v>
      </c>
      <c r="G100" s="284" t="s">
        <v>635</v>
      </c>
      <c r="H100" s="279"/>
      <c r="I100" s="279"/>
      <c r="J100" s="280">
        <f t="shared" si="5"/>
        <v>0</v>
      </c>
    </row>
    <row r="101" spans="1:10" ht="12" customHeight="1" x14ac:dyDescent="0.3">
      <c r="A101" s="277"/>
      <c r="B101" s="285"/>
      <c r="C101" s="285"/>
      <c r="D101" s="285"/>
      <c r="E101" s="280"/>
      <c r="F101" s="280">
        <f t="shared" si="7"/>
        <v>35</v>
      </c>
      <c r="G101" s="284" t="s">
        <v>636</v>
      </c>
      <c r="H101" s="279"/>
      <c r="I101" s="279"/>
      <c r="J101" s="280">
        <f t="shared" si="5"/>
        <v>0</v>
      </c>
    </row>
    <row r="102" spans="1:10" ht="12" customHeight="1" x14ac:dyDescent="0.3">
      <c r="A102" s="277"/>
      <c r="B102" s="285"/>
      <c r="C102" s="285"/>
      <c r="D102" s="285"/>
      <c r="E102" s="280"/>
      <c r="F102" s="280">
        <f t="shared" si="7"/>
        <v>36</v>
      </c>
      <c r="G102" s="284" t="s">
        <v>637</v>
      </c>
      <c r="H102" s="279"/>
      <c r="I102" s="279"/>
      <c r="J102" s="280">
        <f t="shared" si="5"/>
        <v>0</v>
      </c>
    </row>
    <row r="103" spans="1:10" ht="12" customHeight="1" x14ac:dyDescent="0.3">
      <c r="A103" s="277"/>
      <c r="B103" s="285"/>
      <c r="C103" s="285"/>
      <c r="D103" s="285"/>
      <c r="E103" s="280"/>
      <c r="F103" s="280">
        <f t="shared" si="7"/>
        <v>37</v>
      </c>
      <c r="G103" s="284" t="s">
        <v>638</v>
      </c>
      <c r="H103" s="279"/>
      <c r="I103" s="279"/>
      <c r="J103" s="280">
        <f t="shared" si="5"/>
        <v>0</v>
      </c>
    </row>
    <row r="104" spans="1:10" ht="12" customHeight="1" x14ac:dyDescent="0.3">
      <c r="A104" s="277"/>
      <c r="B104" s="285"/>
      <c r="C104" s="285"/>
      <c r="D104" s="285"/>
      <c r="E104" s="280"/>
      <c r="F104" s="280">
        <f t="shared" si="7"/>
        <v>38</v>
      </c>
      <c r="G104" s="284" t="s">
        <v>639</v>
      </c>
      <c r="H104" s="279"/>
      <c r="I104" s="279"/>
      <c r="J104" s="280">
        <f t="shared" si="5"/>
        <v>0</v>
      </c>
    </row>
    <row r="105" spans="1:10" ht="12" customHeight="1" x14ac:dyDescent="0.3">
      <c r="A105" s="277"/>
      <c r="B105" s="285"/>
      <c r="C105" s="285"/>
      <c r="D105" s="285"/>
      <c r="E105" s="280"/>
      <c r="F105" s="280">
        <f t="shared" si="7"/>
        <v>39</v>
      </c>
      <c r="G105" s="284" t="s">
        <v>640</v>
      </c>
      <c r="H105" s="279"/>
      <c r="I105" s="279"/>
      <c r="J105" s="280">
        <f t="shared" si="5"/>
        <v>0</v>
      </c>
    </row>
    <row r="106" spans="1:10" ht="12" customHeight="1" x14ac:dyDescent="0.3">
      <c r="A106" s="277"/>
      <c r="B106" s="285"/>
      <c r="C106" s="285"/>
      <c r="D106" s="285"/>
      <c r="E106" s="280"/>
      <c r="F106" s="280">
        <f t="shared" si="7"/>
        <v>40</v>
      </c>
      <c r="G106" s="284" t="s">
        <v>641</v>
      </c>
      <c r="H106" s="279"/>
      <c r="I106" s="279"/>
      <c r="J106" s="280">
        <f t="shared" si="5"/>
        <v>0</v>
      </c>
    </row>
    <row r="107" spans="1:10" ht="12" customHeight="1" x14ac:dyDescent="0.3">
      <c r="A107" s="277"/>
      <c r="B107" s="285"/>
      <c r="C107" s="285"/>
      <c r="D107" s="285"/>
      <c r="E107" s="280"/>
      <c r="F107" s="280">
        <f t="shared" si="7"/>
        <v>41</v>
      </c>
      <c r="G107" s="284" t="s">
        <v>642</v>
      </c>
      <c r="H107" s="279"/>
      <c r="I107" s="279"/>
      <c r="J107" s="280">
        <f t="shared" si="5"/>
        <v>0</v>
      </c>
    </row>
    <row r="108" spans="1:10" ht="12" customHeight="1" x14ac:dyDescent="0.3">
      <c r="A108" s="277"/>
      <c r="B108" s="285"/>
      <c r="C108" s="285"/>
      <c r="D108" s="285"/>
      <c r="E108" s="280"/>
      <c r="F108" s="280">
        <f t="shared" si="7"/>
        <v>42</v>
      </c>
      <c r="G108" s="284" t="s">
        <v>643</v>
      </c>
      <c r="H108" s="279"/>
      <c r="I108" s="279"/>
      <c r="J108" s="280">
        <f t="shared" si="5"/>
        <v>0</v>
      </c>
    </row>
    <row r="109" spans="1:10" ht="12" customHeight="1" x14ac:dyDescent="0.3">
      <c r="A109" s="277"/>
      <c r="B109" s="285"/>
      <c r="C109" s="285"/>
      <c r="D109" s="285"/>
      <c r="E109" s="280"/>
      <c r="F109" s="280">
        <f t="shared" si="7"/>
        <v>43</v>
      </c>
      <c r="G109" s="284" t="s">
        <v>644</v>
      </c>
      <c r="H109" s="279"/>
      <c r="I109" s="279"/>
      <c r="J109" s="280">
        <f t="shared" si="5"/>
        <v>0</v>
      </c>
    </row>
    <row r="110" spans="1:10" ht="12" customHeight="1" x14ac:dyDescent="0.3">
      <c r="A110" s="277"/>
      <c r="B110" s="285"/>
      <c r="C110" s="285"/>
      <c r="D110" s="285"/>
      <c r="E110" s="280"/>
      <c r="F110" s="280">
        <f t="shared" si="7"/>
        <v>44</v>
      </c>
      <c r="G110" s="284" t="s">
        <v>645</v>
      </c>
      <c r="H110" s="279"/>
      <c r="I110" s="279"/>
      <c r="J110" s="280">
        <f t="shared" si="5"/>
        <v>0</v>
      </c>
    </row>
    <row r="111" spans="1:10" ht="12" customHeight="1" x14ac:dyDescent="0.3">
      <c r="A111" s="277"/>
      <c r="B111" s="285"/>
      <c r="C111" s="285"/>
      <c r="D111" s="285"/>
      <c r="E111" s="280"/>
      <c r="F111" s="280">
        <f t="shared" si="7"/>
        <v>45</v>
      </c>
      <c r="G111" s="284" t="s">
        <v>646</v>
      </c>
      <c r="H111" s="279"/>
      <c r="I111" s="279"/>
      <c r="J111" s="280">
        <f t="shared" si="5"/>
        <v>0</v>
      </c>
    </row>
    <row r="112" spans="1:10" ht="12" customHeight="1" x14ac:dyDescent="0.3">
      <c r="A112" s="277"/>
      <c r="B112" s="285"/>
      <c r="C112" s="285"/>
      <c r="D112" s="285"/>
      <c r="E112" s="280"/>
      <c r="F112" s="280">
        <f t="shared" si="7"/>
        <v>46</v>
      </c>
      <c r="G112" s="284" t="s">
        <v>647</v>
      </c>
      <c r="H112" s="279"/>
      <c r="I112" s="279"/>
      <c r="J112" s="280">
        <f t="shared" si="5"/>
        <v>0</v>
      </c>
    </row>
    <row r="113" spans="1:10" ht="12" customHeight="1" x14ac:dyDescent="0.3">
      <c r="A113" s="277"/>
      <c r="B113" s="285"/>
      <c r="C113" s="285"/>
      <c r="D113" s="285"/>
      <c r="E113" s="280"/>
      <c r="F113" s="280">
        <f t="shared" si="7"/>
        <v>47</v>
      </c>
      <c r="G113" s="284" t="s">
        <v>648</v>
      </c>
      <c r="H113" s="279"/>
      <c r="I113" s="279"/>
      <c r="J113" s="280">
        <f t="shared" si="5"/>
        <v>0</v>
      </c>
    </row>
    <row r="114" spans="1:10" ht="12" customHeight="1" x14ac:dyDescent="0.3">
      <c r="A114" s="277"/>
      <c r="B114" s="285"/>
      <c r="C114" s="285"/>
      <c r="D114" s="285"/>
      <c r="E114" s="280"/>
      <c r="F114" s="280">
        <f t="shared" si="7"/>
        <v>48</v>
      </c>
      <c r="G114" s="284" t="s">
        <v>649</v>
      </c>
      <c r="H114" s="279"/>
      <c r="I114" s="279"/>
      <c r="J114" s="280">
        <f t="shared" si="5"/>
        <v>0</v>
      </c>
    </row>
    <row r="115" spans="1:10" ht="12" customHeight="1" x14ac:dyDescent="0.3">
      <c r="A115" s="277"/>
      <c r="B115" s="285"/>
      <c r="C115" s="285"/>
      <c r="D115" s="285"/>
      <c r="E115" s="280"/>
      <c r="F115" s="280">
        <f t="shared" si="7"/>
        <v>49</v>
      </c>
      <c r="G115" s="284" t="s">
        <v>650</v>
      </c>
      <c r="H115" s="279"/>
      <c r="I115" s="279"/>
      <c r="J115" s="280">
        <f t="shared" si="5"/>
        <v>0</v>
      </c>
    </row>
    <row r="116" spans="1:10" ht="12" customHeight="1" x14ac:dyDescent="0.3">
      <c r="A116" s="277"/>
      <c r="B116" s="285"/>
      <c r="C116" s="285"/>
      <c r="D116" s="285"/>
      <c r="E116" s="280"/>
      <c r="F116" s="280">
        <f t="shared" si="7"/>
        <v>50</v>
      </c>
      <c r="G116" s="284" t="s">
        <v>651</v>
      </c>
      <c r="H116" s="279"/>
      <c r="I116" s="279"/>
      <c r="J116" s="280">
        <f t="shared" si="5"/>
        <v>0</v>
      </c>
    </row>
    <row r="117" spans="1:10" ht="12" customHeight="1" x14ac:dyDescent="0.3">
      <c r="A117" s="277"/>
      <c r="B117" s="285"/>
      <c r="C117" s="285"/>
      <c r="D117" s="285"/>
      <c r="E117" s="280"/>
      <c r="F117" s="280">
        <f t="shared" si="7"/>
        <v>51</v>
      </c>
      <c r="G117" s="284" t="s">
        <v>628</v>
      </c>
      <c r="H117" s="279"/>
      <c r="I117" s="279"/>
      <c r="J117" s="280">
        <f t="shared" si="5"/>
        <v>0</v>
      </c>
    </row>
    <row r="118" spans="1:10" ht="12" customHeight="1" x14ac:dyDescent="0.3">
      <c r="A118" s="286"/>
      <c r="B118" s="287"/>
      <c r="C118" s="287"/>
      <c r="D118" s="287"/>
      <c r="E118" s="283"/>
      <c r="F118" s="283">
        <f t="shared" si="7"/>
        <v>52</v>
      </c>
      <c r="G118" s="288" t="s">
        <v>652</v>
      </c>
      <c r="H118" s="289"/>
      <c r="I118" s="289"/>
      <c r="J118" s="283">
        <f t="shared" si="5"/>
        <v>0</v>
      </c>
    </row>
    <row r="119" spans="1:10" ht="12" customHeight="1" x14ac:dyDescent="0.3">
      <c r="A119" s="290"/>
      <c r="B119" s="285"/>
      <c r="C119" s="285"/>
      <c r="D119" s="285"/>
      <c r="E119" s="280"/>
      <c r="F119" s="280">
        <f t="shared" si="7"/>
        <v>53</v>
      </c>
      <c r="G119" s="278" t="s">
        <v>653</v>
      </c>
      <c r="H119" s="279"/>
      <c r="I119" s="279"/>
      <c r="J119" s="280">
        <f t="shared" si="5"/>
        <v>0</v>
      </c>
    </row>
    <row r="120" spans="1:10" ht="12" customHeight="1" x14ac:dyDescent="0.3">
      <c r="A120" s="290"/>
      <c r="B120" s="285"/>
      <c r="C120" s="285"/>
      <c r="D120" s="285"/>
      <c r="E120" s="280"/>
      <c r="F120" s="280">
        <f t="shared" si="7"/>
        <v>54</v>
      </c>
      <c r="G120" s="278" t="s">
        <v>654</v>
      </c>
      <c r="H120" s="279"/>
      <c r="I120" s="279"/>
      <c r="J120" s="280">
        <f t="shared" si="5"/>
        <v>0</v>
      </c>
    </row>
    <row r="121" spans="1:10" ht="12" customHeight="1" x14ac:dyDescent="0.3">
      <c r="A121" s="290"/>
      <c r="B121" s="291" t="s">
        <v>663</v>
      </c>
      <c r="C121" s="285"/>
      <c r="D121" s="285"/>
      <c r="E121" s="280"/>
      <c r="F121" s="280"/>
      <c r="G121" s="278"/>
      <c r="H121" s="279"/>
      <c r="I121" s="279"/>
      <c r="J121" s="280"/>
    </row>
    <row r="122" spans="1:10" ht="12" customHeight="1" x14ac:dyDescent="0.3">
      <c r="A122" s="432" t="s">
        <v>590</v>
      </c>
      <c r="B122" s="433"/>
      <c r="C122" s="292">
        <f t="shared" ref="C122:D122" si="8">+SUM(C67:C118)</f>
        <v>0</v>
      </c>
      <c r="D122" s="292">
        <f t="shared" si="8"/>
        <v>0</v>
      </c>
      <c r="E122" s="292">
        <f>+SUM(E67:E118)</f>
        <v>0</v>
      </c>
      <c r="F122" s="432" t="s">
        <v>590</v>
      </c>
      <c r="G122" s="433"/>
      <c r="H122" s="292">
        <f t="shared" ref="H122:I122" si="9">+SUM(H67:H120)</f>
        <v>0</v>
      </c>
      <c r="I122" s="292">
        <f t="shared" si="9"/>
        <v>0</v>
      </c>
      <c r="J122" s="292">
        <f>+SUM(J67:J120)</f>
        <v>0</v>
      </c>
    </row>
    <row r="123" spans="1:10" ht="11.1" customHeight="1" x14ac:dyDescent="0.3">
      <c r="A123" s="434"/>
      <c r="B123" s="435"/>
      <c r="C123" s="435"/>
      <c r="D123" s="435"/>
      <c r="E123" s="435"/>
      <c r="F123" s="435"/>
      <c r="G123" s="435"/>
      <c r="H123" s="435"/>
      <c r="I123" s="435"/>
      <c r="J123" s="436"/>
    </row>
  </sheetData>
  <mergeCells count="10">
    <mergeCell ref="A64:J64"/>
    <mergeCell ref="A122:B122"/>
    <mergeCell ref="F122:G122"/>
    <mergeCell ref="A123:J123"/>
    <mergeCell ref="A1:J1"/>
    <mergeCell ref="A4:J4"/>
    <mergeCell ref="A5:J5"/>
    <mergeCell ref="A62:B62"/>
    <mergeCell ref="F62:G62"/>
    <mergeCell ref="A63:J63"/>
  </mergeCells>
  <pageMargins left="0.7" right="0.7" top="0.75" bottom="0.75" header="0.3" footer="0.3"/>
  <pageSetup scale="82" orientation="portrait" r:id="rId1"/>
  <rowBreaks count="1" manualBreakCount="1">
    <brk id="63"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6FD6C-A06C-4216-BF70-7058A2484AC5}">
  <sheetPr>
    <pageSetUpPr fitToPage="1"/>
  </sheetPr>
  <dimension ref="A1:U88"/>
  <sheetViews>
    <sheetView showGridLines="0" view="pageBreakPreview" zoomScale="68" zoomScaleNormal="70" zoomScaleSheetLayoutView="100" workbookViewId="0">
      <selection activeCell="L9" sqref="L9:Q21"/>
    </sheetView>
  </sheetViews>
  <sheetFormatPr defaultRowHeight="14.4" x14ac:dyDescent="0.3"/>
  <cols>
    <col min="1" max="1" width="8.3984375" style="302" customWidth="1"/>
    <col min="2" max="4" width="8.796875" style="302"/>
    <col min="5" max="5" width="34.69921875" style="302" customWidth="1"/>
    <col min="6" max="6" width="1.19921875" style="302" customWidth="1"/>
    <col min="7" max="10" width="8.796875" style="302"/>
    <col min="11" max="11" width="34.09765625" style="302" customWidth="1"/>
    <col min="12" max="12" width="1.19921875" style="302" customWidth="1"/>
    <col min="13" max="16" width="8.796875" style="302"/>
    <col min="17" max="17" width="33.8984375" style="302" customWidth="1"/>
    <col min="18" max="16384" width="8.796875" style="302"/>
  </cols>
  <sheetData>
    <row r="1" spans="1:21" s="293" customFormat="1" ht="23.25" customHeight="1" x14ac:dyDescent="0.3">
      <c r="A1" s="503"/>
      <c r="B1" s="504"/>
      <c r="C1" s="504"/>
      <c r="D1" s="504"/>
      <c r="E1" s="504"/>
      <c r="F1" s="504"/>
      <c r="G1" s="504"/>
      <c r="H1" s="504"/>
      <c r="I1" s="504"/>
      <c r="J1" s="504"/>
      <c r="K1" s="504"/>
      <c r="L1" s="504"/>
      <c r="M1" s="504"/>
      <c r="N1" s="504"/>
      <c r="O1" s="504"/>
      <c r="P1" s="504"/>
      <c r="Q1" s="505"/>
    </row>
    <row r="2" spans="1:21" s="293" customFormat="1" ht="23.25" customHeight="1" x14ac:dyDescent="0.3">
      <c r="A2" s="506"/>
      <c r="B2" s="507"/>
      <c r="C2" s="507"/>
      <c r="D2" s="507"/>
      <c r="E2" s="507"/>
      <c r="F2" s="507"/>
      <c r="G2" s="507"/>
      <c r="H2" s="507"/>
      <c r="I2" s="507"/>
      <c r="J2" s="507"/>
      <c r="K2" s="507"/>
      <c r="L2" s="507"/>
      <c r="M2" s="507"/>
      <c r="N2" s="507"/>
      <c r="O2" s="507"/>
      <c r="P2" s="507"/>
      <c r="Q2" s="508"/>
    </row>
    <row r="3" spans="1:21" s="293" customFormat="1" ht="23.25" customHeight="1" x14ac:dyDescent="0.3">
      <c r="A3" s="506"/>
      <c r="B3" s="507"/>
      <c r="C3" s="507"/>
      <c r="D3" s="507"/>
      <c r="E3" s="507"/>
      <c r="F3" s="507"/>
      <c r="G3" s="507"/>
      <c r="H3" s="507"/>
      <c r="I3" s="507"/>
      <c r="J3" s="507"/>
      <c r="K3" s="507"/>
      <c r="L3" s="507"/>
      <c r="M3" s="507"/>
      <c r="N3" s="507"/>
      <c r="O3" s="507"/>
      <c r="P3" s="507"/>
      <c r="Q3" s="508"/>
    </row>
    <row r="4" spans="1:21" s="293" customFormat="1" ht="19.5" customHeight="1" x14ac:dyDescent="0.3">
      <c r="A4" s="509" t="s">
        <v>658</v>
      </c>
      <c r="B4" s="510"/>
      <c r="C4" s="510"/>
      <c r="D4" s="510"/>
      <c r="E4" s="510"/>
      <c r="F4" s="510"/>
      <c r="G4" s="510"/>
      <c r="H4" s="510"/>
      <c r="I4" s="510"/>
      <c r="J4" s="510"/>
      <c r="K4" s="510"/>
      <c r="L4" s="511" t="s">
        <v>655</v>
      </c>
      <c r="M4" s="512"/>
      <c r="N4" s="515"/>
      <c r="O4" s="515"/>
      <c r="P4" s="517"/>
      <c r="Q4" s="518"/>
    </row>
    <row r="5" spans="1:21" s="293" customFormat="1" ht="7.5" customHeight="1" x14ac:dyDescent="0.3">
      <c r="A5" s="294"/>
      <c r="B5" s="295"/>
      <c r="C5" s="295"/>
      <c r="D5" s="295"/>
      <c r="E5" s="295"/>
      <c r="F5" s="295"/>
      <c r="G5" s="295"/>
      <c r="H5" s="295"/>
      <c r="I5" s="295"/>
      <c r="J5" s="295"/>
      <c r="K5" s="295"/>
      <c r="L5" s="513"/>
      <c r="M5" s="514"/>
      <c r="N5" s="516"/>
      <c r="O5" s="516"/>
      <c r="P5" s="296"/>
      <c r="Q5" s="297"/>
    </row>
    <row r="6" spans="1:21" s="293" customFormat="1" ht="21.75" customHeight="1" x14ac:dyDescent="0.3">
      <c r="A6" s="499" t="s">
        <v>659</v>
      </c>
      <c r="B6" s="500"/>
      <c r="C6" s="500"/>
      <c r="D6" s="500"/>
      <c r="E6" s="500"/>
      <c r="F6" s="500"/>
      <c r="G6" s="500"/>
      <c r="H6" s="500"/>
      <c r="I6" s="500"/>
      <c r="J6" s="500"/>
      <c r="K6" s="500"/>
      <c r="L6" s="298" t="s">
        <v>656</v>
      </c>
      <c r="M6" s="299"/>
      <c r="N6" s="501"/>
      <c r="O6" s="501"/>
      <c r="P6" s="501"/>
      <c r="Q6" s="502"/>
    </row>
    <row r="7" spans="1:21" s="293" customFormat="1" ht="18" x14ac:dyDescent="0.3">
      <c r="A7" s="494" t="s">
        <v>657</v>
      </c>
      <c r="B7" s="495"/>
      <c r="C7" s="495"/>
      <c r="D7" s="495"/>
      <c r="E7" s="495"/>
      <c r="F7" s="495"/>
      <c r="G7" s="495"/>
      <c r="H7" s="495"/>
      <c r="I7" s="495"/>
      <c r="J7" s="495"/>
      <c r="K7" s="495"/>
      <c r="L7" s="495"/>
      <c r="M7" s="495"/>
      <c r="N7" s="495"/>
      <c r="O7" s="495"/>
      <c r="P7" s="495"/>
      <c r="Q7" s="496"/>
    </row>
    <row r="8" spans="1:21" s="300" customFormat="1" ht="15" customHeight="1" x14ac:dyDescent="0.3">
      <c r="A8" s="474" t="s">
        <v>664</v>
      </c>
      <c r="B8" s="475"/>
      <c r="C8" s="475"/>
      <c r="D8" s="475"/>
      <c r="E8" s="476"/>
      <c r="F8" s="477" t="s">
        <v>664</v>
      </c>
      <c r="G8" s="475"/>
      <c r="H8" s="475"/>
      <c r="I8" s="475"/>
      <c r="J8" s="475"/>
      <c r="K8" s="476"/>
      <c r="L8" s="477" t="s">
        <v>664</v>
      </c>
      <c r="M8" s="475"/>
      <c r="N8" s="475"/>
      <c r="O8" s="475"/>
      <c r="P8" s="475"/>
      <c r="Q8" s="478"/>
    </row>
    <row r="9" spans="1:21" s="301" customFormat="1" ht="23.4" x14ac:dyDescent="0.45">
      <c r="A9" s="497"/>
      <c r="B9" s="498"/>
      <c r="C9" s="498"/>
      <c r="D9" s="498"/>
      <c r="E9" s="498"/>
      <c r="F9" s="498"/>
      <c r="G9" s="498"/>
      <c r="H9" s="498"/>
      <c r="I9" s="498"/>
      <c r="J9" s="498"/>
      <c r="K9" s="498"/>
      <c r="L9" s="457"/>
      <c r="M9" s="449"/>
      <c r="N9" s="449"/>
      <c r="O9" s="449"/>
      <c r="P9" s="449"/>
      <c r="Q9" s="460"/>
      <c r="T9" s="301">
        <f>1500*4</f>
        <v>6000</v>
      </c>
      <c r="U9" s="301">
        <f>5000/4</f>
        <v>1250</v>
      </c>
    </row>
    <row r="10" spans="1:21" s="301" customFormat="1" ht="23.4" x14ac:dyDescent="0.45">
      <c r="A10" s="497"/>
      <c r="B10" s="498"/>
      <c r="C10" s="498"/>
      <c r="D10" s="498"/>
      <c r="E10" s="498"/>
      <c r="F10" s="498"/>
      <c r="G10" s="498"/>
      <c r="H10" s="498"/>
      <c r="I10" s="498"/>
      <c r="J10" s="498"/>
      <c r="K10" s="498"/>
      <c r="L10" s="458"/>
      <c r="M10" s="452"/>
      <c r="N10" s="452"/>
      <c r="O10" s="452"/>
      <c r="P10" s="452"/>
      <c r="Q10" s="461"/>
    </row>
    <row r="11" spans="1:21" s="301" customFormat="1" ht="23.4" x14ac:dyDescent="0.45">
      <c r="A11" s="497"/>
      <c r="B11" s="498"/>
      <c r="C11" s="498"/>
      <c r="D11" s="498"/>
      <c r="E11" s="498"/>
      <c r="F11" s="498"/>
      <c r="G11" s="498"/>
      <c r="H11" s="498"/>
      <c r="I11" s="498"/>
      <c r="J11" s="498"/>
      <c r="K11" s="498"/>
      <c r="L11" s="458"/>
      <c r="M11" s="452"/>
      <c r="N11" s="452"/>
      <c r="O11" s="452"/>
      <c r="P11" s="452"/>
      <c r="Q11" s="461"/>
    </row>
    <row r="12" spans="1:21" s="301" customFormat="1" ht="16.2" customHeight="1" x14ac:dyDescent="0.45">
      <c r="A12" s="497"/>
      <c r="B12" s="498"/>
      <c r="C12" s="498"/>
      <c r="D12" s="498"/>
      <c r="E12" s="498"/>
      <c r="F12" s="498"/>
      <c r="G12" s="498"/>
      <c r="H12" s="498"/>
      <c r="I12" s="498"/>
      <c r="J12" s="498"/>
      <c r="K12" s="498"/>
      <c r="L12" s="458"/>
      <c r="M12" s="452"/>
      <c r="N12" s="452"/>
      <c r="O12" s="452"/>
      <c r="P12" s="452"/>
      <c r="Q12" s="461"/>
    </row>
    <row r="13" spans="1:21" s="301" customFormat="1" ht="16.2" customHeight="1" x14ac:dyDescent="0.45">
      <c r="A13" s="497"/>
      <c r="B13" s="498"/>
      <c r="C13" s="498"/>
      <c r="D13" s="498"/>
      <c r="E13" s="498"/>
      <c r="F13" s="498"/>
      <c r="G13" s="498"/>
      <c r="H13" s="498"/>
      <c r="I13" s="498"/>
      <c r="J13" s="498"/>
      <c r="K13" s="498"/>
      <c r="L13" s="458"/>
      <c r="M13" s="452"/>
      <c r="N13" s="452"/>
      <c r="O13" s="452"/>
      <c r="P13" s="452"/>
      <c r="Q13" s="461"/>
    </row>
    <row r="14" spans="1:21" s="301" customFormat="1" ht="16.2" customHeight="1" x14ac:dyDescent="0.45">
      <c r="A14" s="497"/>
      <c r="B14" s="498"/>
      <c r="C14" s="498"/>
      <c r="D14" s="498"/>
      <c r="E14" s="498"/>
      <c r="F14" s="498"/>
      <c r="G14" s="498"/>
      <c r="H14" s="498"/>
      <c r="I14" s="498"/>
      <c r="J14" s="498"/>
      <c r="K14" s="498"/>
      <c r="L14" s="458"/>
      <c r="M14" s="452"/>
      <c r="N14" s="452"/>
      <c r="O14" s="452"/>
      <c r="P14" s="452"/>
      <c r="Q14" s="461"/>
    </row>
    <row r="15" spans="1:21" s="301" customFormat="1" ht="16.2" customHeight="1" x14ac:dyDescent="0.45">
      <c r="A15" s="497"/>
      <c r="B15" s="498"/>
      <c r="C15" s="498"/>
      <c r="D15" s="498"/>
      <c r="E15" s="498"/>
      <c r="F15" s="498"/>
      <c r="G15" s="498"/>
      <c r="H15" s="498"/>
      <c r="I15" s="498"/>
      <c r="J15" s="498"/>
      <c r="K15" s="498"/>
      <c r="L15" s="458"/>
      <c r="M15" s="452"/>
      <c r="N15" s="452"/>
      <c r="O15" s="452"/>
      <c r="P15" s="452"/>
      <c r="Q15" s="461"/>
    </row>
    <row r="16" spans="1:21" s="301" customFormat="1" ht="23.4" x14ac:dyDescent="0.45">
      <c r="A16" s="497"/>
      <c r="B16" s="498"/>
      <c r="C16" s="498"/>
      <c r="D16" s="498"/>
      <c r="E16" s="498"/>
      <c r="F16" s="498"/>
      <c r="G16" s="498"/>
      <c r="H16" s="498"/>
      <c r="I16" s="498"/>
      <c r="J16" s="498"/>
      <c r="K16" s="498"/>
      <c r="L16" s="458"/>
      <c r="M16" s="452"/>
      <c r="N16" s="452"/>
      <c r="O16" s="452"/>
      <c r="P16" s="452"/>
      <c r="Q16" s="461"/>
    </row>
    <row r="17" spans="1:17" s="301" customFormat="1" ht="16.2" customHeight="1" x14ac:dyDescent="0.45">
      <c r="A17" s="497"/>
      <c r="B17" s="498"/>
      <c r="C17" s="498"/>
      <c r="D17" s="498"/>
      <c r="E17" s="498"/>
      <c r="F17" s="498"/>
      <c r="G17" s="498"/>
      <c r="H17" s="498"/>
      <c r="I17" s="498"/>
      <c r="J17" s="498"/>
      <c r="K17" s="498"/>
      <c r="L17" s="458"/>
      <c r="M17" s="452"/>
      <c r="N17" s="452"/>
      <c r="O17" s="452"/>
      <c r="P17" s="452"/>
      <c r="Q17" s="461"/>
    </row>
    <row r="18" spans="1:17" s="301" customFormat="1" ht="16.2" customHeight="1" x14ac:dyDescent="0.45">
      <c r="A18" s="497"/>
      <c r="B18" s="498"/>
      <c r="C18" s="498"/>
      <c r="D18" s="498"/>
      <c r="E18" s="498"/>
      <c r="F18" s="498"/>
      <c r="G18" s="498"/>
      <c r="H18" s="498"/>
      <c r="I18" s="498"/>
      <c r="J18" s="498"/>
      <c r="K18" s="498"/>
      <c r="L18" s="458"/>
      <c r="M18" s="452"/>
      <c r="N18" s="452"/>
      <c r="O18" s="452"/>
      <c r="P18" s="452"/>
      <c r="Q18" s="461"/>
    </row>
    <row r="19" spans="1:17" s="301" customFormat="1" ht="4.95" customHeight="1" x14ac:dyDescent="0.45">
      <c r="A19" s="497"/>
      <c r="B19" s="498"/>
      <c r="C19" s="498"/>
      <c r="D19" s="498"/>
      <c r="E19" s="498"/>
      <c r="F19" s="498"/>
      <c r="G19" s="498"/>
      <c r="H19" s="498"/>
      <c r="I19" s="498"/>
      <c r="J19" s="498"/>
      <c r="K19" s="498"/>
      <c r="L19" s="458"/>
      <c r="M19" s="452"/>
      <c r="N19" s="452"/>
      <c r="O19" s="452"/>
      <c r="P19" s="452"/>
      <c r="Q19" s="461"/>
    </row>
    <row r="20" spans="1:17" s="301" customFormat="1" ht="16.2" customHeight="1" x14ac:dyDescent="0.45">
      <c r="A20" s="497"/>
      <c r="B20" s="498"/>
      <c r="C20" s="498"/>
      <c r="D20" s="498"/>
      <c r="E20" s="498"/>
      <c r="F20" s="498"/>
      <c r="G20" s="498"/>
      <c r="H20" s="498"/>
      <c r="I20" s="498"/>
      <c r="J20" s="498"/>
      <c r="K20" s="498"/>
      <c r="L20" s="458"/>
      <c r="M20" s="452"/>
      <c r="N20" s="452"/>
      <c r="O20" s="452"/>
      <c r="P20" s="452"/>
      <c r="Q20" s="461"/>
    </row>
    <row r="21" spans="1:17" s="301" customFormat="1" ht="16.2" customHeight="1" x14ac:dyDescent="0.45">
      <c r="A21" s="497"/>
      <c r="B21" s="498"/>
      <c r="C21" s="498"/>
      <c r="D21" s="498"/>
      <c r="E21" s="498"/>
      <c r="F21" s="498"/>
      <c r="G21" s="498"/>
      <c r="H21" s="498"/>
      <c r="I21" s="498"/>
      <c r="J21" s="498"/>
      <c r="K21" s="498"/>
      <c r="L21" s="467"/>
      <c r="M21" s="464"/>
      <c r="N21" s="464"/>
      <c r="O21" s="464"/>
      <c r="P21" s="464"/>
      <c r="Q21" s="468"/>
    </row>
    <row r="22" spans="1:17" s="301" customFormat="1" ht="23.4" hidden="1" x14ac:dyDescent="0.45">
      <c r="A22" s="479"/>
      <c r="B22" s="480"/>
      <c r="C22" s="480"/>
      <c r="D22" s="480"/>
      <c r="E22" s="481"/>
      <c r="F22" s="485"/>
      <c r="G22" s="480"/>
      <c r="H22" s="480"/>
      <c r="I22" s="480"/>
      <c r="J22" s="480"/>
      <c r="K22" s="481"/>
      <c r="L22" s="485"/>
      <c r="M22" s="480"/>
      <c r="N22" s="480"/>
      <c r="O22" s="480"/>
      <c r="P22" s="480"/>
      <c r="Q22" s="487"/>
    </row>
    <row r="23" spans="1:17" s="301" customFormat="1" ht="16.2" hidden="1" customHeight="1" x14ac:dyDescent="0.45">
      <c r="A23" s="479"/>
      <c r="B23" s="480"/>
      <c r="C23" s="480"/>
      <c r="D23" s="480"/>
      <c r="E23" s="481"/>
      <c r="F23" s="485"/>
      <c r="G23" s="480"/>
      <c r="H23" s="480"/>
      <c r="I23" s="480"/>
      <c r="J23" s="480"/>
      <c r="K23" s="481"/>
      <c r="L23" s="485"/>
      <c r="M23" s="480"/>
      <c r="N23" s="480"/>
      <c r="O23" s="480"/>
      <c r="P23" s="480"/>
      <c r="Q23" s="487"/>
    </row>
    <row r="24" spans="1:17" s="301" customFormat="1" ht="16.2" hidden="1" customHeight="1" x14ac:dyDescent="0.45">
      <c r="A24" s="479"/>
      <c r="B24" s="480"/>
      <c r="C24" s="480"/>
      <c r="D24" s="480"/>
      <c r="E24" s="481"/>
      <c r="F24" s="485"/>
      <c r="G24" s="480"/>
      <c r="H24" s="480"/>
      <c r="I24" s="480"/>
      <c r="J24" s="480"/>
      <c r="K24" s="481"/>
      <c r="L24" s="485"/>
      <c r="M24" s="480"/>
      <c r="N24" s="480"/>
      <c r="O24" s="480"/>
      <c r="P24" s="480"/>
      <c r="Q24" s="487"/>
    </row>
    <row r="25" spans="1:17" s="301" customFormat="1" ht="16.2" hidden="1" customHeight="1" x14ac:dyDescent="0.45">
      <c r="A25" s="479"/>
      <c r="B25" s="480"/>
      <c r="C25" s="480"/>
      <c r="D25" s="480"/>
      <c r="E25" s="481"/>
      <c r="F25" s="485"/>
      <c r="G25" s="480"/>
      <c r="H25" s="480"/>
      <c r="I25" s="480"/>
      <c r="J25" s="480"/>
      <c r="K25" s="481"/>
      <c r="L25" s="485"/>
      <c r="M25" s="480"/>
      <c r="N25" s="480"/>
      <c r="O25" s="480"/>
      <c r="P25" s="480"/>
      <c r="Q25" s="487"/>
    </row>
    <row r="26" spans="1:17" s="301" customFormat="1" ht="16.2" hidden="1" customHeight="1" x14ac:dyDescent="0.45">
      <c r="A26" s="479"/>
      <c r="B26" s="480"/>
      <c r="C26" s="480"/>
      <c r="D26" s="480"/>
      <c r="E26" s="481"/>
      <c r="F26" s="485"/>
      <c r="G26" s="480"/>
      <c r="H26" s="480"/>
      <c r="I26" s="480"/>
      <c r="J26" s="480"/>
      <c r="K26" s="481"/>
      <c r="L26" s="485"/>
      <c r="M26" s="480"/>
      <c r="N26" s="480"/>
      <c r="O26" s="480"/>
      <c r="P26" s="480"/>
      <c r="Q26" s="487"/>
    </row>
    <row r="27" spans="1:17" s="301" customFormat="1" ht="16.2" hidden="1" customHeight="1" x14ac:dyDescent="0.45">
      <c r="A27" s="479"/>
      <c r="B27" s="480"/>
      <c r="C27" s="480"/>
      <c r="D27" s="480"/>
      <c r="E27" s="481"/>
      <c r="F27" s="485"/>
      <c r="G27" s="480"/>
      <c r="H27" s="480"/>
      <c r="I27" s="480"/>
      <c r="J27" s="480"/>
      <c r="K27" s="481"/>
      <c r="L27" s="485"/>
      <c r="M27" s="480"/>
      <c r="N27" s="480"/>
      <c r="O27" s="480"/>
      <c r="P27" s="480"/>
      <c r="Q27" s="487"/>
    </row>
    <row r="28" spans="1:17" s="301" customFormat="1" ht="16.2" hidden="1" customHeight="1" x14ac:dyDescent="0.45">
      <c r="A28" s="479"/>
      <c r="B28" s="480"/>
      <c r="C28" s="480"/>
      <c r="D28" s="480"/>
      <c r="E28" s="481"/>
      <c r="F28" s="485"/>
      <c r="G28" s="480"/>
      <c r="H28" s="480"/>
      <c r="I28" s="480"/>
      <c r="J28" s="480"/>
      <c r="K28" s="481"/>
      <c r="L28" s="485"/>
      <c r="M28" s="480"/>
      <c r="N28" s="480"/>
      <c r="O28" s="480"/>
      <c r="P28" s="480"/>
      <c r="Q28" s="487"/>
    </row>
    <row r="29" spans="1:17" s="301" customFormat="1" ht="16.2" hidden="1" customHeight="1" x14ac:dyDescent="0.45">
      <c r="A29" s="479"/>
      <c r="B29" s="480"/>
      <c r="C29" s="480"/>
      <c r="D29" s="480"/>
      <c r="E29" s="481"/>
      <c r="F29" s="485"/>
      <c r="G29" s="480"/>
      <c r="H29" s="480"/>
      <c r="I29" s="480"/>
      <c r="J29" s="480"/>
      <c r="K29" s="481"/>
      <c r="L29" s="485"/>
      <c r="M29" s="480"/>
      <c r="N29" s="480"/>
      <c r="O29" s="480"/>
      <c r="P29" s="480"/>
      <c r="Q29" s="487"/>
    </row>
    <row r="30" spans="1:17" s="301" customFormat="1" ht="16.2" hidden="1" customHeight="1" x14ac:dyDescent="0.45">
      <c r="A30" s="479"/>
      <c r="B30" s="480"/>
      <c r="C30" s="480"/>
      <c r="D30" s="480"/>
      <c r="E30" s="481"/>
      <c r="F30" s="485"/>
      <c r="G30" s="480"/>
      <c r="H30" s="480"/>
      <c r="I30" s="480"/>
      <c r="J30" s="480"/>
      <c r="K30" s="481"/>
      <c r="L30" s="485"/>
      <c r="M30" s="480"/>
      <c r="N30" s="480"/>
      <c r="O30" s="480"/>
      <c r="P30" s="480"/>
      <c r="Q30" s="487"/>
    </row>
    <row r="31" spans="1:17" s="301" customFormat="1" ht="23.4" hidden="1" x14ac:dyDescent="0.45">
      <c r="A31" s="479"/>
      <c r="B31" s="480"/>
      <c r="C31" s="480"/>
      <c r="D31" s="480"/>
      <c r="E31" s="481"/>
      <c r="F31" s="485"/>
      <c r="G31" s="480"/>
      <c r="H31" s="480"/>
      <c r="I31" s="480"/>
      <c r="J31" s="480"/>
      <c r="K31" s="481"/>
      <c r="L31" s="485"/>
      <c r="M31" s="480"/>
      <c r="N31" s="480"/>
      <c r="O31" s="480"/>
      <c r="P31" s="480"/>
      <c r="Q31" s="487"/>
    </row>
    <row r="32" spans="1:17" s="301" customFormat="1" ht="16.2" hidden="1" customHeight="1" x14ac:dyDescent="0.45">
      <c r="A32" s="479"/>
      <c r="B32" s="480"/>
      <c r="C32" s="480"/>
      <c r="D32" s="480"/>
      <c r="E32" s="481"/>
      <c r="F32" s="485"/>
      <c r="G32" s="480"/>
      <c r="H32" s="480"/>
      <c r="I32" s="480"/>
      <c r="J32" s="480"/>
      <c r="K32" s="481"/>
      <c r="L32" s="485"/>
      <c r="M32" s="480"/>
      <c r="N32" s="480"/>
      <c r="O32" s="480"/>
      <c r="P32" s="480"/>
      <c r="Q32" s="487"/>
    </row>
    <row r="33" spans="1:17" s="301" customFormat="1" ht="16.2" hidden="1" customHeight="1" x14ac:dyDescent="0.45">
      <c r="A33" s="482"/>
      <c r="B33" s="483"/>
      <c r="C33" s="483"/>
      <c r="D33" s="483"/>
      <c r="E33" s="484"/>
      <c r="F33" s="486"/>
      <c r="G33" s="483"/>
      <c r="H33" s="483"/>
      <c r="I33" s="483"/>
      <c r="J33" s="483"/>
      <c r="K33" s="484"/>
      <c r="L33" s="486"/>
      <c r="M33" s="483"/>
      <c r="N33" s="483"/>
      <c r="O33" s="483"/>
      <c r="P33" s="483"/>
      <c r="Q33" s="488"/>
    </row>
    <row r="34" spans="1:17" s="301" customFormat="1" ht="16.2" hidden="1" customHeight="1" x14ac:dyDescent="0.45">
      <c r="A34" s="489"/>
      <c r="B34" s="490"/>
      <c r="C34" s="490"/>
      <c r="D34" s="490"/>
      <c r="E34" s="491"/>
      <c r="F34" s="492"/>
      <c r="G34" s="490"/>
      <c r="H34" s="490"/>
      <c r="I34" s="490"/>
      <c r="J34" s="490"/>
      <c r="K34" s="491"/>
      <c r="L34" s="492"/>
      <c r="M34" s="490"/>
      <c r="N34" s="490"/>
      <c r="O34" s="490"/>
      <c r="P34" s="490"/>
      <c r="Q34" s="493"/>
    </row>
    <row r="35" spans="1:17" s="301" customFormat="1" ht="6.45" hidden="1" customHeight="1" x14ac:dyDescent="0.45">
      <c r="A35" s="448"/>
      <c r="B35" s="449"/>
      <c r="C35" s="449"/>
      <c r="D35" s="449"/>
      <c r="E35" s="450"/>
      <c r="F35" s="457"/>
      <c r="G35" s="449"/>
      <c r="H35" s="449"/>
      <c r="I35" s="449"/>
      <c r="J35" s="449"/>
      <c r="K35" s="450"/>
      <c r="L35" s="457"/>
      <c r="M35" s="449"/>
      <c r="N35" s="449"/>
      <c r="O35" s="449"/>
      <c r="P35" s="449"/>
      <c r="Q35" s="460"/>
    </row>
    <row r="36" spans="1:17" s="301" customFormat="1" ht="16.2" hidden="1" customHeight="1" x14ac:dyDescent="0.45">
      <c r="A36" s="451"/>
      <c r="B36" s="452"/>
      <c r="C36" s="452"/>
      <c r="D36" s="452"/>
      <c r="E36" s="453"/>
      <c r="F36" s="458"/>
      <c r="G36" s="452"/>
      <c r="H36" s="452"/>
      <c r="I36" s="452"/>
      <c r="J36" s="452"/>
      <c r="K36" s="453"/>
      <c r="L36" s="458"/>
      <c r="M36" s="452"/>
      <c r="N36" s="452"/>
      <c r="O36" s="452"/>
      <c r="P36" s="452"/>
      <c r="Q36" s="461"/>
    </row>
    <row r="37" spans="1:17" s="301" customFormat="1" ht="23.4" hidden="1" x14ac:dyDescent="0.45">
      <c r="A37" s="451"/>
      <c r="B37" s="452"/>
      <c r="C37" s="452"/>
      <c r="D37" s="452"/>
      <c r="E37" s="453"/>
      <c r="F37" s="458"/>
      <c r="G37" s="452"/>
      <c r="H37" s="452"/>
      <c r="I37" s="452"/>
      <c r="J37" s="452"/>
      <c r="K37" s="453"/>
      <c r="L37" s="458"/>
      <c r="M37" s="452"/>
      <c r="N37" s="452"/>
      <c r="O37" s="452"/>
      <c r="P37" s="452"/>
      <c r="Q37" s="461"/>
    </row>
    <row r="38" spans="1:17" s="301" customFormat="1" ht="16.2" hidden="1" customHeight="1" x14ac:dyDescent="0.45">
      <c r="A38" s="451"/>
      <c r="B38" s="452"/>
      <c r="C38" s="452"/>
      <c r="D38" s="452"/>
      <c r="E38" s="453"/>
      <c r="F38" s="458"/>
      <c r="G38" s="452"/>
      <c r="H38" s="452"/>
      <c r="I38" s="452"/>
      <c r="J38" s="452"/>
      <c r="K38" s="453"/>
      <c r="L38" s="458"/>
      <c r="M38" s="452"/>
      <c r="N38" s="452"/>
      <c r="O38" s="452"/>
      <c r="P38" s="452"/>
      <c r="Q38" s="461"/>
    </row>
    <row r="39" spans="1:17" s="301" customFormat="1" ht="23.4" hidden="1" x14ac:dyDescent="0.45">
      <c r="A39" s="451"/>
      <c r="B39" s="452"/>
      <c r="C39" s="452"/>
      <c r="D39" s="452"/>
      <c r="E39" s="453"/>
      <c r="F39" s="458"/>
      <c r="G39" s="452"/>
      <c r="H39" s="452"/>
      <c r="I39" s="452"/>
      <c r="J39" s="452"/>
      <c r="K39" s="453"/>
      <c r="L39" s="458"/>
      <c r="M39" s="452"/>
      <c r="N39" s="452"/>
      <c r="O39" s="452"/>
      <c r="P39" s="452"/>
      <c r="Q39" s="461"/>
    </row>
    <row r="40" spans="1:17" s="301" customFormat="1" ht="16.2" hidden="1" customHeight="1" x14ac:dyDescent="0.45">
      <c r="A40" s="451"/>
      <c r="B40" s="452"/>
      <c r="C40" s="452"/>
      <c r="D40" s="452"/>
      <c r="E40" s="453"/>
      <c r="F40" s="458"/>
      <c r="G40" s="452"/>
      <c r="H40" s="452"/>
      <c r="I40" s="452"/>
      <c r="J40" s="452"/>
      <c r="K40" s="453"/>
      <c r="L40" s="458"/>
      <c r="M40" s="452"/>
      <c r="N40" s="452"/>
      <c r="O40" s="452"/>
      <c r="P40" s="452"/>
      <c r="Q40" s="461"/>
    </row>
    <row r="41" spans="1:17" s="301" customFormat="1" ht="23.4" hidden="1" x14ac:dyDescent="0.45">
      <c r="A41" s="451"/>
      <c r="B41" s="452"/>
      <c r="C41" s="452"/>
      <c r="D41" s="452"/>
      <c r="E41" s="453"/>
      <c r="F41" s="458"/>
      <c r="G41" s="452"/>
      <c r="H41" s="452"/>
      <c r="I41" s="452"/>
      <c r="J41" s="452"/>
      <c r="K41" s="453"/>
      <c r="L41" s="458"/>
      <c r="M41" s="452"/>
      <c r="N41" s="452"/>
      <c r="O41" s="452"/>
      <c r="P41" s="452"/>
      <c r="Q41" s="461"/>
    </row>
    <row r="42" spans="1:17" s="301" customFormat="1" ht="16.2" hidden="1" customHeight="1" x14ac:dyDescent="0.45">
      <c r="A42" s="451"/>
      <c r="B42" s="452"/>
      <c r="C42" s="452"/>
      <c r="D42" s="452"/>
      <c r="E42" s="453"/>
      <c r="F42" s="458"/>
      <c r="G42" s="452"/>
      <c r="H42" s="452"/>
      <c r="I42" s="452"/>
      <c r="J42" s="452"/>
      <c r="K42" s="453"/>
      <c r="L42" s="458"/>
      <c r="M42" s="452"/>
      <c r="N42" s="452"/>
      <c r="O42" s="452"/>
      <c r="P42" s="452"/>
      <c r="Q42" s="461"/>
    </row>
    <row r="43" spans="1:17" s="301" customFormat="1" ht="23.4" hidden="1" x14ac:dyDescent="0.45">
      <c r="A43" s="451"/>
      <c r="B43" s="452"/>
      <c r="C43" s="452"/>
      <c r="D43" s="452"/>
      <c r="E43" s="453"/>
      <c r="F43" s="458"/>
      <c r="G43" s="452"/>
      <c r="H43" s="452"/>
      <c r="I43" s="452"/>
      <c r="J43" s="452"/>
      <c r="K43" s="453"/>
      <c r="L43" s="458"/>
      <c r="M43" s="452"/>
      <c r="N43" s="452"/>
      <c r="O43" s="452"/>
      <c r="P43" s="452"/>
      <c r="Q43" s="461"/>
    </row>
    <row r="44" spans="1:17" s="301" customFormat="1" ht="16.2" hidden="1" customHeight="1" x14ac:dyDescent="0.45">
      <c r="A44" s="451"/>
      <c r="B44" s="452"/>
      <c r="C44" s="452"/>
      <c r="D44" s="452"/>
      <c r="E44" s="453"/>
      <c r="F44" s="458"/>
      <c r="G44" s="452"/>
      <c r="H44" s="452"/>
      <c r="I44" s="452"/>
      <c r="J44" s="452"/>
      <c r="K44" s="453"/>
      <c r="L44" s="458"/>
      <c r="M44" s="452"/>
      <c r="N44" s="452"/>
      <c r="O44" s="452"/>
      <c r="P44" s="452"/>
      <c r="Q44" s="461"/>
    </row>
    <row r="45" spans="1:17" s="301" customFormat="1" ht="23.4" hidden="1" x14ac:dyDescent="0.45">
      <c r="A45" s="451"/>
      <c r="B45" s="452"/>
      <c r="C45" s="452"/>
      <c r="D45" s="452"/>
      <c r="E45" s="453"/>
      <c r="F45" s="458"/>
      <c r="G45" s="452"/>
      <c r="H45" s="452"/>
      <c r="I45" s="452"/>
      <c r="J45" s="452"/>
      <c r="K45" s="453"/>
      <c r="L45" s="458"/>
      <c r="M45" s="452"/>
      <c r="N45" s="452"/>
      <c r="O45" s="452"/>
      <c r="P45" s="452"/>
      <c r="Q45" s="461"/>
    </row>
    <row r="46" spans="1:17" s="301" customFormat="1" ht="16.2" hidden="1" customHeight="1" x14ac:dyDescent="0.45">
      <c r="A46" s="451"/>
      <c r="B46" s="452"/>
      <c r="C46" s="452"/>
      <c r="D46" s="452"/>
      <c r="E46" s="453"/>
      <c r="F46" s="458"/>
      <c r="G46" s="452"/>
      <c r="H46" s="452"/>
      <c r="I46" s="452"/>
      <c r="J46" s="452"/>
      <c r="K46" s="453"/>
      <c r="L46" s="458"/>
      <c r="M46" s="452"/>
      <c r="N46" s="452"/>
      <c r="O46" s="452"/>
      <c r="P46" s="452"/>
      <c r="Q46" s="461"/>
    </row>
    <row r="47" spans="1:17" s="301" customFormat="1" ht="51.9" hidden="1" customHeight="1" x14ac:dyDescent="0.45">
      <c r="A47" s="451"/>
      <c r="B47" s="452"/>
      <c r="C47" s="452"/>
      <c r="D47" s="452"/>
      <c r="E47" s="453"/>
      <c r="F47" s="458"/>
      <c r="G47" s="452"/>
      <c r="H47" s="452"/>
      <c r="I47" s="452"/>
      <c r="J47" s="452"/>
      <c r="K47" s="453"/>
      <c r="L47" s="458"/>
      <c r="M47" s="452"/>
      <c r="N47" s="452"/>
      <c r="O47" s="452"/>
      <c r="P47" s="452"/>
      <c r="Q47" s="461"/>
    </row>
    <row r="48" spans="1:17" s="301" customFormat="1" ht="16.2" hidden="1" customHeight="1" x14ac:dyDescent="0.45">
      <c r="A48" s="451"/>
      <c r="B48" s="452"/>
      <c r="C48" s="452"/>
      <c r="D48" s="452"/>
      <c r="E48" s="453"/>
      <c r="F48" s="458"/>
      <c r="G48" s="452"/>
      <c r="H48" s="452"/>
      <c r="I48" s="452"/>
      <c r="J48" s="452"/>
      <c r="K48" s="453"/>
      <c r="L48" s="458"/>
      <c r="M48" s="452"/>
      <c r="N48" s="452"/>
      <c r="O48" s="452"/>
      <c r="P48" s="452"/>
      <c r="Q48" s="461"/>
    </row>
    <row r="49" spans="1:17" s="301" customFormat="1" ht="1.2" hidden="1" customHeight="1" x14ac:dyDescent="0.45">
      <c r="A49" s="451"/>
      <c r="B49" s="452"/>
      <c r="C49" s="452"/>
      <c r="D49" s="452"/>
      <c r="E49" s="453"/>
      <c r="F49" s="458"/>
      <c r="G49" s="452"/>
      <c r="H49" s="452"/>
      <c r="I49" s="452"/>
      <c r="J49" s="452"/>
      <c r="K49" s="453"/>
      <c r="L49" s="458"/>
      <c r="M49" s="452"/>
      <c r="N49" s="452"/>
      <c r="O49" s="452"/>
      <c r="P49" s="452"/>
      <c r="Q49" s="461"/>
    </row>
    <row r="50" spans="1:17" s="301" customFormat="1" ht="16.2" hidden="1" customHeight="1" x14ac:dyDescent="0.45">
      <c r="A50" s="463"/>
      <c r="B50" s="464"/>
      <c r="C50" s="464"/>
      <c r="D50" s="464"/>
      <c r="E50" s="465"/>
      <c r="F50" s="467"/>
      <c r="G50" s="464"/>
      <c r="H50" s="464"/>
      <c r="I50" s="464"/>
      <c r="J50" s="464"/>
      <c r="K50" s="465"/>
      <c r="L50" s="467"/>
      <c r="M50" s="464"/>
      <c r="N50" s="464"/>
      <c r="O50" s="464"/>
      <c r="P50" s="464"/>
      <c r="Q50" s="468"/>
    </row>
    <row r="51" spans="1:17" s="301" customFormat="1" ht="15" customHeight="1" x14ac:dyDescent="0.45">
      <c r="A51" s="474"/>
      <c r="B51" s="475"/>
      <c r="C51" s="475"/>
      <c r="D51" s="475"/>
      <c r="E51" s="476"/>
      <c r="F51" s="477"/>
      <c r="G51" s="475"/>
      <c r="H51" s="475"/>
      <c r="I51" s="475"/>
      <c r="J51" s="475"/>
      <c r="K51" s="476"/>
      <c r="L51" s="477"/>
      <c r="M51" s="475"/>
      <c r="N51" s="475"/>
      <c r="O51" s="475"/>
      <c r="P51" s="475"/>
      <c r="Q51" s="478"/>
    </row>
    <row r="52" spans="1:17" s="301" customFormat="1" ht="16.2" customHeight="1" x14ac:dyDescent="0.45">
      <c r="A52" s="448"/>
      <c r="B52" s="449"/>
      <c r="C52" s="449"/>
      <c r="D52" s="449"/>
      <c r="E52" s="450"/>
      <c r="F52" s="457"/>
      <c r="G52" s="449"/>
      <c r="H52" s="449"/>
      <c r="I52" s="449"/>
      <c r="J52" s="449"/>
      <c r="K52" s="450"/>
      <c r="L52" s="457"/>
      <c r="M52" s="449"/>
      <c r="N52" s="449"/>
      <c r="O52" s="449"/>
      <c r="P52" s="449"/>
      <c r="Q52" s="460"/>
    </row>
    <row r="53" spans="1:17" s="301" customFormat="1" ht="23.4" x14ac:dyDescent="0.45">
      <c r="A53" s="451"/>
      <c r="B53" s="452"/>
      <c r="C53" s="452"/>
      <c r="D53" s="452"/>
      <c r="E53" s="453"/>
      <c r="F53" s="458"/>
      <c r="G53" s="452"/>
      <c r="H53" s="452"/>
      <c r="I53" s="452"/>
      <c r="J53" s="452"/>
      <c r="K53" s="453"/>
      <c r="L53" s="458"/>
      <c r="M53" s="452"/>
      <c r="N53" s="452"/>
      <c r="O53" s="452"/>
      <c r="P53" s="452"/>
      <c r="Q53" s="461"/>
    </row>
    <row r="54" spans="1:17" s="301" customFormat="1" ht="16.2" customHeight="1" x14ac:dyDescent="0.45">
      <c r="A54" s="451"/>
      <c r="B54" s="452"/>
      <c r="C54" s="452"/>
      <c r="D54" s="452"/>
      <c r="E54" s="453"/>
      <c r="F54" s="458"/>
      <c r="G54" s="452"/>
      <c r="H54" s="452"/>
      <c r="I54" s="452"/>
      <c r="J54" s="452"/>
      <c r="K54" s="453"/>
      <c r="L54" s="458"/>
      <c r="M54" s="452"/>
      <c r="N54" s="452"/>
      <c r="O54" s="452"/>
      <c r="P54" s="452"/>
      <c r="Q54" s="461"/>
    </row>
    <row r="55" spans="1:17" s="301" customFormat="1" ht="16.2" customHeight="1" x14ac:dyDescent="0.45">
      <c r="A55" s="451"/>
      <c r="B55" s="452"/>
      <c r="C55" s="452"/>
      <c r="D55" s="452"/>
      <c r="E55" s="453"/>
      <c r="F55" s="458"/>
      <c r="G55" s="452"/>
      <c r="H55" s="466"/>
      <c r="I55" s="452"/>
      <c r="J55" s="452"/>
      <c r="K55" s="453"/>
      <c r="L55" s="458"/>
      <c r="M55" s="452"/>
      <c r="N55" s="452"/>
      <c r="O55" s="452"/>
      <c r="P55" s="452"/>
      <c r="Q55" s="461"/>
    </row>
    <row r="56" spans="1:17" s="301" customFormat="1" ht="16.2" customHeight="1" x14ac:dyDescent="0.45">
      <c r="A56" s="451"/>
      <c r="B56" s="452"/>
      <c r="C56" s="452"/>
      <c r="D56" s="452"/>
      <c r="E56" s="453"/>
      <c r="F56" s="458"/>
      <c r="G56" s="452"/>
      <c r="H56" s="452"/>
      <c r="I56" s="452"/>
      <c r="J56" s="452"/>
      <c r="K56" s="453"/>
      <c r="L56" s="458"/>
      <c r="M56" s="452"/>
      <c r="N56" s="452"/>
      <c r="O56" s="452"/>
      <c r="P56" s="452"/>
      <c r="Q56" s="461"/>
    </row>
    <row r="57" spans="1:17" s="301" customFormat="1" ht="23.4" x14ac:dyDescent="0.45">
      <c r="A57" s="451"/>
      <c r="B57" s="452"/>
      <c r="C57" s="452"/>
      <c r="D57" s="452"/>
      <c r="E57" s="453"/>
      <c r="F57" s="458"/>
      <c r="G57" s="452"/>
      <c r="H57" s="452"/>
      <c r="I57" s="452"/>
      <c r="J57" s="452"/>
      <c r="K57" s="453"/>
      <c r="L57" s="458"/>
      <c r="M57" s="452"/>
      <c r="N57" s="452"/>
      <c r="O57" s="452"/>
      <c r="P57" s="452"/>
      <c r="Q57" s="461"/>
    </row>
    <row r="58" spans="1:17" s="301" customFormat="1" ht="16.2" customHeight="1" x14ac:dyDescent="0.45">
      <c r="A58" s="451"/>
      <c r="B58" s="452"/>
      <c r="C58" s="452"/>
      <c r="D58" s="452"/>
      <c r="E58" s="453"/>
      <c r="F58" s="458"/>
      <c r="G58" s="452"/>
      <c r="H58" s="452"/>
      <c r="I58" s="452"/>
      <c r="J58" s="452"/>
      <c r="K58" s="453"/>
      <c r="L58" s="458"/>
      <c r="M58" s="452"/>
      <c r="N58" s="452"/>
      <c r="O58" s="452"/>
      <c r="P58" s="452"/>
      <c r="Q58" s="461"/>
    </row>
    <row r="59" spans="1:17" s="301" customFormat="1" ht="16.2" customHeight="1" x14ac:dyDescent="0.45">
      <c r="A59" s="451"/>
      <c r="B59" s="452"/>
      <c r="C59" s="452"/>
      <c r="D59" s="452"/>
      <c r="E59" s="453"/>
      <c r="F59" s="458"/>
      <c r="G59" s="452"/>
      <c r="H59" s="452"/>
      <c r="I59" s="452"/>
      <c r="J59" s="452"/>
      <c r="K59" s="453"/>
      <c r="L59" s="458"/>
      <c r="M59" s="452"/>
      <c r="N59" s="452"/>
      <c r="O59" s="452"/>
      <c r="P59" s="452"/>
      <c r="Q59" s="461"/>
    </row>
    <row r="60" spans="1:17" s="301" customFormat="1" ht="16.2" customHeight="1" x14ac:dyDescent="0.45">
      <c r="A60" s="451"/>
      <c r="B60" s="452"/>
      <c r="C60" s="452"/>
      <c r="D60" s="452"/>
      <c r="E60" s="453"/>
      <c r="F60" s="458"/>
      <c r="G60" s="452"/>
      <c r="H60" s="452"/>
      <c r="I60" s="452"/>
      <c r="J60" s="452"/>
      <c r="K60" s="453"/>
      <c r="L60" s="458"/>
      <c r="M60" s="452"/>
      <c r="N60" s="452"/>
      <c r="O60" s="452"/>
      <c r="P60" s="452"/>
      <c r="Q60" s="461"/>
    </row>
    <row r="61" spans="1:17" s="301" customFormat="1" ht="23.4" x14ac:dyDescent="0.45">
      <c r="A61" s="451"/>
      <c r="B61" s="452"/>
      <c r="C61" s="452"/>
      <c r="D61" s="452"/>
      <c r="E61" s="453"/>
      <c r="F61" s="458"/>
      <c r="G61" s="452"/>
      <c r="H61" s="452"/>
      <c r="I61" s="452"/>
      <c r="J61" s="452"/>
      <c r="K61" s="453"/>
      <c r="L61" s="458"/>
      <c r="M61" s="452"/>
      <c r="N61" s="452"/>
      <c r="O61" s="452"/>
      <c r="P61" s="452"/>
      <c r="Q61" s="461"/>
    </row>
    <row r="62" spans="1:17" s="301" customFormat="1" ht="16.2" customHeight="1" x14ac:dyDescent="0.45">
      <c r="A62" s="451"/>
      <c r="B62" s="452"/>
      <c r="C62" s="452"/>
      <c r="D62" s="452"/>
      <c r="E62" s="453"/>
      <c r="F62" s="458"/>
      <c r="G62" s="452"/>
      <c r="H62" s="452"/>
      <c r="I62" s="452"/>
      <c r="J62" s="452"/>
      <c r="K62" s="453"/>
      <c r="L62" s="458"/>
      <c r="M62" s="452"/>
      <c r="N62" s="452"/>
      <c r="O62" s="452"/>
      <c r="P62" s="452"/>
      <c r="Q62" s="461"/>
    </row>
    <row r="63" spans="1:17" ht="16.2" customHeight="1" x14ac:dyDescent="0.3">
      <c r="A63" s="451"/>
      <c r="B63" s="452"/>
      <c r="C63" s="452"/>
      <c r="D63" s="452"/>
      <c r="E63" s="453"/>
      <c r="F63" s="458"/>
      <c r="G63" s="452"/>
      <c r="H63" s="452"/>
      <c r="I63" s="452"/>
      <c r="J63" s="452"/>
      <c r="K63" s="453"/>
      <c r="L63" s="458"/>
      <c r="M63" s="452"/>
      <c r="N63" s="452"/>
      <c r="O63" s="452"/>
      <c r="P63" s="452"/>
      <c r="Q63" s="461"/>
    </row>
    <row r="64" spans="1:17" ht="11.4" customHeight="1" x14ac:dyDescent="0.3">
      <c r="A64" s="463"/>
      <c r="B64" s="464"/>
      <c r="C64" s="464"/>
      <c r="D64" s="464"/>
      <c r="E64" s="465"/>
      <c r="F64" s="467"/>
      <c r="G64" s="464"/>
      <c r="H64" s="464"/>
      <c r="I64" s="464"/>
      <c r="J64" s="464"/>
      <c r="K64" s="465"/>
      <c r="L64" s="467"/>
      <c r="M64" s="464"/>
      <c r="N64" s="464"/>
      <c r="O64" s="464"/>
      <c r="P64" s="464"/>
      <c r="Q64" s="468"/>
    </row>
    <row r="65" spans="1:17" ht="15" customHeight="1" x14ac:dyDescent="0.3">
      <c r="A65" s="469"/>
      <c r="B65" s="470"/>
      <c r="C65" s="470"/>
      <c r="D65" s="470"/>
      <c r="E65" s="471"/>
      <c r="F65" s="472"/>
      <c r="G65" s="470"/>
      <c r="H65" s="470"/>
      <c r="I65" s="470"/>
      <c r="J65" s="470"/>
      <c r="K65" s="471"/>
      <c r="L65" s="472"/>
      <c r="M65" s="470"/>
      <c r="N65" s="470"/>
      <c r="O65" s="470"/>
      <c r="P65" s="470"/>
      <c r="Q65" s="473"/>
    </row>
    <row r="66" spans="1:17" ht="14.7" customHeight="1" x14ac:dyDescent="0.3">
      <c r="A66" s="448"/>
      <c r="B66" s="449"/>
      <c r="C66" s="449"/>
      <c r="D66" s="449"/>
      <c r="E66" s="450"/>
      <c r="F66" s="457"/>
      <c r="G66" s="449"/>
      <c r="H66" s="449"/>
      <c r="I66" s="449"/>
      <c r="J66" s="449"/>
      <c r="K66" s="450"/>
      <c r="L66" s="457"/>
      <c r="M66" s="449"/>
      <c r="N66" s="449"/>
      <c r="O66" s="449"/>
      <c r="P66" s="449"/>
      <c r="Q66" s="460"/>
    </row>
    <row r="67" spans="1:17" ht="23.25" customHeight="1" x14ac:dyDescent="0.3">
      <c r="A67" s="451"/>
      <c r="B67" s="452"/>
      <c r="C67" s="452"/>
      <c r="D67" s="452"/>
      <c r="E67" s="453"/>
      <c r="F67" s="458"/>
      <c r="G67" s="452"/>
      <c r="H67" s="452"/>
      <c r="I67" s="452"/>
      <c r="J67" s="452"/>
      <c r="K67" s="453"/>
      <c r="L67" s="458"/>
      <c r="M67" s="452"/>
      <c r="N67" s="452"/>
      <c r="O67" s="452"/>
      <c r="P67" s="452"/>
      <c r="Q67" s="461"/>
    </row>
    <row r="68" spans="1:17" ht="16.2" customHeight="1" x14ac:dyDescent="0.3">
      <c r="A68" s="451"/>
      <c r="B68" s="452"/>
      <c r="C68" s="452"/>
      <c r="D68" s="452"/>
      <c r="E68" s="453"/>
      <c r="F68" s="458"/>
      <c r="G68" s="452"/>
      <c r="H68" s="452"/>
      <c r="I68" s="452"/>
      <c r="J68" s="452"/>
      <c r="K68" s="453"/>
      <c r="L68" s="458"/>
      <c r="M68" s="452"/>
      <c r="N68" s="452"/>
      <c r="O68" s="452"/>
      <c r="P68" s="452"/>
      <c r="Q68" s="461"/>
    </row>
    <row r="69" spans="1:17" ht="16.2" customHeight="1" x14ac:dyDescent="0.3">
      <c r="A69" s="451"/>
      <c r="B69" s="452"/>
      <c r="C69" s="452"/>
      <c r="D69" s="452"/>
      <c r="E69" s="453"/>
      <c r="F69" s="458"/>
      <c r="G69" s="452"/>
      <c r="H69" s="452"/>
      <c r="I69" s="452"/>
      <c r="J69" s="452"/>
      <c r="K69" s="453"/>
      <c r="L69" s="458"/>
      <c r="M69" s="452"/>
      <c r="N69" s="452"/>
      <c r="O69" s="452"/>
      <c r="P69" s="452"/>
      <c r="Q69" s="461"/>
    </row>
    <row r="70" spans="1:17" ht="16.2" customHeight="1" x14ac:dyDescent="0.3">
      <c r="A70" s="451"/>
      <c r="B70" s="452"/>
      <c r="C70" s="452"/>
      <c r="D70" s="452"/>
      <c r="E70" s="453"/>
      <c r="F70" s="458"/>
      <c r="G70" s="452"/>
      <c r="H70" s="452"/>
      <c r="I70" s="452"/>
      <c r="J70" s="452"/>
      <c r="K70" s="453"/>
      <c r="L70" s="458"/>
      <c r="M70" s="452"/>
      <c r="N70" s="452"/>
      <c r="O70" s="452"/>
      <c r="P70" s="452"/>
      <c r="Q70" s="461"/>
    </row>
    <row r="71" spans="1:17" ht="16.2" customHeight="1" x14ac:dyDescent="0.3">
      <c r="A71" s="451"/>
      <c r="B71" s="452"/>
      <c r="C71" s="452"/>
      <c r="D71" s="452"/>
      <c r="E71" s="453"/>
      <c r="F71" s="458"/>
      <c r="G71" s="452"/>
      <c r="H71" s="452"/>
      <c r="I71" s="452"/>
      <c r="J71" s="452"/>
      <c r="K71" s="453"/>
      <c r="L71" s="458"/>
      <c r="M71" s="452"/>
      <c r="N71" s="452"/>
      <c r="O71" s="452"/>
      <c r="P71" s="452"/>
      <c r="Q71" s="461"/>
    </row>
    <row r="72" spans="1:17" ht="14.7" customHeight="1" x14ac:dyDescent="0.3">
      <c r="A72" s="451"/>
      <c r="B72" s="452"/>
      <c r="C72" s="452"/>
      <c r="D72" s="452"/>
      <c r="E72" s="453"/>
      <c r="F72" s="458"/>
      <c r="G72" s="452"/>
      <c r="H72" s="452"/>
      <c r="I72" s="452"/>
      <c r="J72" s="452"/>
      <c r="K72" s="453"/>
      <c r="L72" s="458"/>
      <c r="M72" s="452"/>
      <c r="N72" s="452"/>
      <c r="O72" s="452"/>
      <c r="P72" s="452"/>
      <c r="Q72" s="461"/>
    </row>
    <row r="73" spans="1:17" ht="16.2" customHeight="1" x14ac:dyDescent="0.3">
      <c r="A73" s="451"/>
      <c r="B73" s="452"/>
      <c r="C73" s="452"/>
      <c r="D73" s="452"/>
      <c r="E73" s="453"/>
      <c r="F73" s="458"/>
      <c r="G73" s="452"/>
      <c r="H73" s="452"/>
      <c r="I73" s="452"/>
      <c r="J73" s="452"/>
      <c r="K73" s="453"/>
      <c r="L73" s="458"/>
      <c r="M73" s="452"/>
      <c r="N73" s="452"/>
      <c r="O73" s="452"/>
      <c r="P73" s="452"/>
      <c r="Q73" s="461"/>
    </row>
    <row r="74" spans="1:17" ht="16.2" customHeight="1" x14ac:dyDescent="0.3">
      <c r="A74" s="451"/>
      <c r="B74" s="452"/>
      <c r="C74" s="452"/>
      <c r="D74" s="452"/>
      <c r="E74" s="453"/>
      <c r="F74" s="458"/>
      <c r="G74" s="452"/>
      <c r="H74" s="452"/>
      <c r="I74" s="452"/>
      <c r="J74" s="452"/>
      <c r="K74" s="453"/>
      <c r="L74" s="458"/>
      <c r="M74" s="452"/>
      <c r="N74" s="452"/>
      <c r="O74" s="452"/>
      <c r="P74" s="452"/>
      <c r="Q74" s="461"/>
    </row>
    <row r="75" spans="1:17" ht="16.2" customHeight="1" x14ac:dyDescent="0.3">
      <c r="A75" s="451"/>
      <c r="B75" s="452"/>
      <c r="C75" s="452"/>
      <c r="D75" s="452"/>
      <c r="E75" s="453"/>
      <c r="F75" s="458"/>
      <c r="G75" s="452"/>
      <c r="H75" s="452"/>
      <c r="I75" s="452"/>
      <c r="J75" s="452"/>
      <c r="K75" s="453"/>
      <c r="L75" s="458"/>
      <c r="M75" s="452"/>
      <c r="N75" s="452"/>
      <c r="O75" s="452"/>
      <c r="P75" s="452"/>
      <c r="Q75" s="461"/>
    </row>
    <row r="76" spans="1:17" ht="16.2" customHeight="1" x14ac:dyDescent="0.3">
      <c r="A76" s="451"/>
      <c r="B76" s="452"/>
      <c r="C76" s="452"/>
      <c r="D76" s="452"/>
      <c r="E76" s="453"/>
      <c r="F76" s="458"/>
      <c r="G76" s="452"/>
      <c r="H76" s="452"/>
      <c r="I76" s="452"/>
      <c r="J76" s="452"/>
      <c r="K76" s="453"/>
      <c r="L76" s="458"/>
      <c r="M76" s="452"/>
      <c r="N76" s="452"/>
      <c r="O76" s="452"/>
      <c r="P76" s="452"/>
      <c r="Q76" s="461"/>
    </row>
    <row r="77" spans="1:17" ht="16.2" customHeight="1" x14ac:dyDescent="0.3">
      <c r="A77" s="451"/>
      <c r="B77" s="452"/>
      <c r="C77" s="452"/>
      <c r="D77" s="452"/>
      <c r="E77" s="453"/>
      <c r="F77" s="458"/>
      <c r="G77" s="452"/>
      <c r="H77" s="452"/>
      <c r="I77" s="452"/>
      <c r="J77" s="452"/>
      <c r="K77" s="453"/>
      <c r="L77" s="458"/>
      <c r="M77" s="452"/>
      <c r="N77" s="452"/>
      <c r="O77" s="452"/>
      <c r="P77" s="452"/>
      <c r="Q77" s="461"/>
    </row>
    <row r="78" spans="1:17" ht="14.7" customHeight="1" x14ac:dyDescent="0.3">
      <c r="A78" s="451"/>
      <c r="B78" s="452"/>
      <c r="C78" s="452"/>
      <c r="D78" s="452"/>
      <c r="E78" s="453"/>
      <c r="F78" s="458"/>
      <c r="G78" s="452"/>
      <c r="H78" s="452"/>
      <c r="I78" s="452"/>
      <c r="J78" s="452"/>
      <c r="K78" s="453"/>
      <c r="L78" s="458"/>
      <c r="M78" s="452"/>
      <c r="N78" s="452"/>
      <c r="O78" s="452"/>
      <c r="P78" s="452"/>
      <c r="Q78" s="461"/>
    </row>
    <row r="79" spans="1:17" ht="16.2" customHeight="1" x14ac:dyDescent="0.3">
      <c r="A79" s="451"/>
      <c r="B79" s="452"/>
      <c r="C79" s="452"/>
      <c r="D79" s="452"/>
      <c r="E79" s="453"/>
      <c r="F79" s="458"/>
      <c r="G79" s="452"/>
      <c r="H79" s="452"/>
      <c r="I79" s="452"/>
      <c r="J79" s="452"/>
      <c r="K79" s="453"/>
      <c r="L79" s="458"/>
      <c r="M79" s="452"/>
      <c r="N79" s="452"/>
      <c r="O79" s="452"/>
      <c r="P79" s="452"/>
      <c r="Q79" s="461"/>
    </row>
    <row r="80" spans="1:17" ht="16.2" customHeight="1" x14ac:dyDescent="0.3">
      <c r="A80" s="451"/>
      <c r="B80" s="452"/>
      <c r="C80" s="452"/>
      <c r="D80" s="452"/>
      <c r="E80" s="453"/>
      <c r="F80" s="458"/>
      <c r="G80" s="452"/>
      <c r="H80" s="452"/>
      <c r="I80" s="452"/>
      <c r="J80" s="452"/>
      <c r="K80" s="453"/>
      <c r="L80" s="458"/>
      <c r="M80" s="452"/>
      <c r="N80" s="452"/>
      <c r="O80" s="452"/>
      <c r="P80" s="452"/>
      <c r="Q80" s="461"/>
    </row>
    <row r="81" spans="1:17" ht="16.2" customHeight="1" thickBot="1" x14ac:dyDescent="0.35">
      <c r="A81" s="454"/>
      <c r="B81" s="455"/>
      <c r="C81" s="455"/>
      <c r="D81" s="455"/>
      <c r="E81" s="456"/>
      <c r="F81" s="459"/>
      <c r="G81" s="455"/>
      <c r="H81" s="455"/>
      <c r="I81" s="455"/>
      <c r="J81" s="455"/>
      <c r="K81" s="456"/>
      <c r="L81" s="459"/>
      <c r="M81" s="455"/>
      <c r="N81" s="455"/>
      <c r="O81" s="455"/>
      <c r="P81" s="455"/>
      <c r="Q81" s="462"/>
    </row>
    <row r="82" spans="1:17" ht="16.2" customHeight="1" x14ac:dyDescent="0.3"/>
    <row r="83" spans="1:17" ht="16.2" customHeight="1" x14ac:dyDescent="0.3"/>
    <row r="84" spans="1:17" ht="16.2" customHeight="1" x14ac:dyDescent="0.3"/>
    <row r="85" spans="1:17" ht="16.2" customHeight="1" x14ac:dyDescent="0.3"/>
    <row r="86" spans="1:17" ht="16.2" customHeight="1" x14ac:dyDescent="0.3"/>
    <row r="87" spans="1:17" ht="16.2" customHeight="1" x14ac:dyDescent="0.3"/>
    <row r="88" spans="1:17" ht="16.2" customHeight="1" x14ac:dyDescent="0.3"/>
  </sheetData>
  <mergeCells count="35">
    <mergeCell ref="A6:K6"/>
    <mergeCell ref="N6:Q6"/>
    <mergeCell ref="A1:Q3"/>
    <mergeCell ref="A4:K4"/>
    <mergeCell ref="L4:M5"/>
    <mergeCell ref="N4:O5"/>
    <mergeCell ref="P4:Q4"/>
    <mergeCell ref="A7:Q7"/>
    <mergeCell ref="A8:E8"/>
    <mergeCell ref="F8:K8"/>
    <mergeCell ref="L8:Q8"/>
    <mergeCell ref="A9:E21"/>
    <mergeCell ref="F9:K21"/>
    <mergeCell ref="L9:Q21"/>
    <mergeCell ref="A22:E33"/>
    <mergeCell ref="F22:K33"/>
    <mergeCell ref="L22:Q33"/>
    <mergeCell ref="A34:E34"/>
    <mergeCell ref="F34:K34"/>
    <mergeCell ref="L34:Q34"/>
    <mergeCell ref="A35:E50"/>
    <mergeCell ref="F35:K50"/>
    <mergeCell ref="L35:Q50"/>
    <mergeCell ref="A51:E51"/>
    <mergeCell ref="F51:K51"/>
    <mergeCell ref="L51:Q51"/>
    <mergeCell ref="A66:E81"/>
    <mergeCell ref="F66:K81"/>
    <mergeCell ref="L66:Q81"/>
    <mergeCell ref="A52:E64"/>
    <mergeCell ref="F52:K64"/>
    <mergeCell ref="L52:Q64"/>
    <mergeCell ref="A65:E65"/>
    <mergeCell ref="F65:K65"/>
    <mergeCell ref="L65:Q65"/>
  </mergeCells>
  <printOptions horizontalCentered="1"/>
  <pageMargins left="0" right="0" top="0.25" bottom="0" header="0" footer="0"/>
  <pageSetup paperSize="9" scale="64"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55C48-A5F7-4C19-9CED-569B2765E75D}">
  <dimension ref="A1"/>
  <sheetViews>
    <sheetView workbookViewId="0">
      <selection activeCell="M15" sqref="M15"/>
    </sheetView>
  </sheetViews>
  <sheetFormatPr defaultRowHeight="15.6"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Summary</vt:lpstr>
      <vt:lpstr>Projection Vs Ach Summary</vt:lpstr>
      <vt:lpstr>DPR</vt:lpstr>
      <vt:lpstr>Resource</vt:lpstr>
      <vt:lpstr>DPR-0044 Site Picture</vt:lpstr>
      <vt:lpstr>Area Concerns</vt:lpstr>
      <vt:lpstr>'DPR-0044 Site Picture'!Print_Area</vt:lpstr>
      <vt:lpstr>'Projection Vs Ach Summary'!Print_Area</vt:lpstr>
      <vt:lpstr>Summary!Print_Area</vt:lpstr>
      <vt:lpstr>Summary!Print_Titles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plng</dc:creator>
  <cp:lastModifiedBy>SaroojApps2</cp:lastModifiedBy>
  <dcterms:created xsi:type="dcterms:W3CDTF">2016-09-04T05:13:05Z</dcterms:created>
  <dcterms:modified xsi:type="dcterms:W3CDTF">2026-04-21T15:09:49Z</dcterms:modified>
</cp:coreProperties>
</file>