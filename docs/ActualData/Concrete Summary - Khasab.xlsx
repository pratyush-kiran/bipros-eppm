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arooj\AIC\Formats\Concrete\"/>
    </mc:Choice>
  </mc:AlternateContent>
  <xr:revisionPtr revIDLastSave="0" documentId="13_ncr:1_{17BDAC2D-651C-459F-95A7-27278F21F30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6" r:id="rId1"/>
    <sheet name="Khasab" sheetId="1" r:id="rId2"/>
  </sheets>
  <definedNames>
    <definedName name="_xlcn.WorksheetConnection_ConcreteSummaryKhasab16.xlsxTable1" hidden="1">Table1[]</definedName>
  </definedNames>
  <calcPr calcId="191029"/>
  <pivotCaches>
    <pivotCache cacheId="39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Concrete Summary - Khasab (16)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J408" i="1"/>
  <c r="K408" i="1"/>
  <c r="J409" i="1"/>
  <c r="K409" i="1"/>
  <c r="J410" i="1"/>
  <c r="K410" i="1"/>
  <c r="J411" i="1"/>
  <c r="K411" i="1"/>
  <c r="J412" i="1"/>
  <c r="K412" i="1"/>
  <c r="J413" i="1"/>
  <c r="K413" i="1"/>
  <c r="J414" i="1"/>
  <c r="K414" i="1"/>
  <c r="J415" i="1"/>
  <c r="K415" i="1"/>
  <c r="J416" i="1"/>
  <c r="K416" i="1"/>
  <c r="J417" i="1"/>
  <c r="K417" i="1"/>
  <c r="J418" i="1"/>
  <c r="J419" i="1" s="1"/>
  <c r="K418" i="1"/>
  <c r="K419" i="1"/>
  <c r="J420" i="1"/>
  <c r="K420" i="1"/>
  <c r="J421" i="1"/>
  <c r="K421" i="1"/>
  <c r="J422" i="1"/>
  <c r="K422" i="1"/>
  <c r="J423" i="1"/>
  <c r="K423" i="1"/>
  <c r="J424" i="1"/>
  <c r="K424" i="1"/>
  <c r="J425" i="1"/>
  <c r="K425" i="1"/>
  <c r="J426" i="1"/>
  <c r="K426" i="1"/>
  <c r="J427" i="1"/>
  <c r="K427" i="1"/>
  <c r="J428" i="1"/>
  <c r="K428" i="1"/>
  <c r="J429" i="1"/>
  <c r="K429" i="1"/>
  <c r="J430" i="1"/>
  <c r="K430" i="1"/>
  <c r="J431" i="1"/>
  <c r="K431" i="1"/>
  <c r="J432" i="1"/>
  <c r="K432" i="1"/>
  <c r="J433" i="1"/>
  <c r="K433" i="1"/>
  <c r="J407" i="1"/>
  <c r="K407" i="1"/>
  <c r="J404" i="1"/>
  <c r="K404" i="1"/>
  <c r="J405" i="1"/>
  <c r="K405" i="1"/>
  <c r="J406" i="1"/>
  <c r="K406" i="1"/>
  <c r="J399" i="1"/>
  <c r="K399" i="1"/>
  <c r="J400" i="1"/>
  <c r="K400" i="1"/>
  <c r="J401" i="1"/>
  <c r="K401" i="1"/>
  <c r="J402" i="1"/>
  <c r="K402" i="1"/>
  <c r="J403" i="1"/>
  <c r="K403" i="1"/>
  <c r="J390" i="1"/>
  <c r="K390" i="1"/>
  <c r="J391" i="1"/>
  <c r="K391" i="1"/>
  <c r="J392" i="1"/>
  <c r="K392" i="1"/>
  <c r="J393" i="1"/>
  <c r="K393" i="1"/>
  <c r="J394" i="1"/>
  <c r="K394" i="1"/>
  <c r="J395" i="1"/>
  <c r="K395" i="1"/>
  <c r="J396" i="1"/>
  <c r="K396" i="1"/>
  <c r="J397" i="1"/>
  <c r="K397" i="1"/>
  <c r="J398" i="1"/>
  <c r="K398" i="1"/>
  <c r="J378" i="1"/>
  <c r="K378" i="1"/>
  <c r="J379" i="1"/>
  <c r="K379" i="1"/>
  <c r="J380" i="1"/>
  <c r="K380" i="1"/>
  <c r="J381" i="1"/>
  <c r="K381" i="1"/>
  <c r="J382" i="1"/>
  <c r="K382" i="1"/>
  <c r="J383" i="1"/>
  <c r="K383" i="1"/>
  <c r="J384" i="1"/>
  <c r="K384" i="1"/>
  <c r="J385" i="1"/>
  <c r="K385" i="1"/>
  <c r="J386" i="1"/>
  <c r="K386" i="1"/>
  <c r="J387" i="1"/>
  <c r="K387" i="1"/>
  <c r="J388" i="1"/>
  <c r="K388" i="1"/>
  <c r="J389" i="1"/>
  <c r="K389" i="1"/>
  <c r="J376" i="1"/>
  <c r="J377" i="1"/>
  <c r="K376" i="1"/>
  <c r="K377" i="1"/>
  <c r="J368" i="1"/>
  <c r="K368" i="1"/>
  <c r="J369" i="1"/>
  <c r="K369" i="1"/>
  <c r="J370" i="1"/>
  <c r="K370" i="1"/>
  <c r="J371" i="1"/>
  <c r="K371" i="1"/>
  <c r="J372" i="1"/>
  <c r="K372" i="1"/>
  <c r="J373" i="1"/>
  <c r="K373" i="1"/>
  <c r="J374" i="1"/>
  <c r="K374" i="1"/>
  <c r="J375" i="1"/>
  <c r="K375" i="1"/>
  <c r="J362" i="1"/>
  <c r="K362" i="1"/>
  <c r="J363" i="1"/>
  <c r="K363" i="1"/>
  <c r="J364" i="1"/>
  <c r="K364" i="1"/>
  <c r="J365" i="1"/>
  <c r="K365" i="1"/>
  <c r="J366" i="1"/>
  <c r="K366" i="1"/>
  <c r="J367" i="1"/>
  <c r="K367" i="1"/>
  <c r="J351" i="1"/>
  <c r="K351" i="1"/>
  <c r="J352" i="1"/>
  <c r="K352" i="1"/>
  <c r="J330" i="1"/>
  <c r="K330" i="1"/>
  <c r="J342" i="1"/>
  <c r="K342" i="1"/>
  <c r="J343" i="1"/>
  <c r="K343" i="1"/>
  <c r="J344" i="1"/>
  <c r="K344" i="1"/>
  <c r="J345" i="1"/>
  <c r="K345" i="1"/>
  <c r="J346" i="1"/>
  <c r="K346" i="1"/>
  <c r="J347" i="1"/>
  <c r="K347" i="1"/>
  <c r="J348" i="1"/>
  <c r="K348" i="1"/>
  <c r="J349" i="1"/>
  <c r="K349" i="1"/>
  <c r="J350" i="1"/>
  <c r="K350" i="1"/>
  <c r="J353" i="1"/>
  <c r="K353" i="1"/>
  <c r="J354" i="1"/>
  <c r="K354" i="1"/>
  <c r="J355" i="1"/>
  <c r="K355" i="1"/>
  <c r="J356" i="1"/>
  <c r="K356" i="1"/>
  <c r="J357" i="1"/>
  <c r="K357" i="1"/>
  <c r="J358" i="1"/>
  <c r="K358" i="1"/>
  <c r="J359" i="1"/>
  <c r="K359" i="1"/>
  <c r="J360" i="1"/>
  <c r="K360" i="1"/>
  <c r="J361" i="1"/>
  <c r="K361" i="1"/>
  <c r="J338" i="1"/>
  <c r="K338" i="1"/>
  <c r="J339" i="1"/>
  <c r="K339" i="1"/>
  <c r="J340" i="1"/>
  <c r="K340" i="1"/>
  <c r="J341" i="1"/>
  <c r="K341" i="1"/>
  <c r="J334" i="1"/>
  <c r="K334" i="1"/>
  <c r="J335" i="1"/>
  <c r="K335" i="1"/>
  <c r="J336" i="1"/>
  <c r="K336" i="1"/>
  <c r="J337" i="1"/>
  <c r="K337" i="1"/>
  <c r="J326" i="1"/>
  <c r="K326" i="1"/>
  <c r="J327" i="1"/>
  <c r="K327" i="1"/>
  <c r="J328" i="1"/>
  <c r="K328" i="1"/>
  <c r="J329" i="1"/>
  <c r="K329" i="1"/>
  <c r="J331" i="1"/>
  <c r="K331" i="1"/>
  <c r="J332" i="1"/>
  <c r="K332" i="1"/>
  <c r="J333" i="1"/>
  <c r="K333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14" i="1"/>
  <c r="K314" i="1"/>
  <c r="J315" i="1"/>
  <c r="K315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6" i="1"/>
  <c r="K316" i="1"/>
  <c r="J317" i="1"/>
  <c r="K317" i="1"/>
  <c r="J318" i="1"/>
  <c r="K318" i="1"/>
  <c r="J319" i="1"/>
  <c r="K319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292" i="1"/>
  <c r="K292" i="1"/>
  <c r="J293" i="1"/>
  <c r="K293" i="1"/>
  <c r="J294" i="1"/>
  <c r="K294" i="1"/>
  <c r="J295" i="1"/>
  <c r="K295" i="1"/>
  <c r="J296" i="1"/>
  <c r="K296" i="1"/>
  <c r="J288" i="1"/>
  <c r="J289" i="1" s="1"/>
  <c r="K288" i="1"/>
  <c r="K289" i="1"/>
  <c r="J290" i="1"/>
  <c r="K290" i="1"/>
  <c r="J291" i="1"/>
  <c r="K29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57" i="1" l="1"/>
  <c r="K257" i="1"/>
  <c r="J258" i="1"/>
  <c r="K258" i="1"/>
  <c r="J259" i="1"/>
  <c r="K259" i="1"/>
  <c r="J260" i="1"/>
  <c r="K260" i="1"/>
  <c r="J261" i="1"/>
  <c r="K261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47" i="1" l="1"/>
  <c r="K247" i="1"/>
  <c r="J248" i="1"/>
  <c r="K248" i="1"/>
  <c r="J249" i="1"/>
  <c r="K249" i="1"/>
  <c r="J244" i="1"/>
  <c r="K244" i="1"/>
  <c r="J245" i="1"/>
  <c r="K245" i="1"/>
  <c r="J246" i="1"/>
  <c r="K246" i="1"/>
  <c r="J239" i="1"/>
  <c r="K239" i="1"/>
  <c r="J240" i="1"/>
  <c r="K240" i="1"/>
  <c r="J241" i="1"/>
  <c r="K241" i="1"/>
  <c r="J242" i="1"/>
  <c r="K242" i="1"/>
  <c r="J243" i="1"/>
  <c r="K243" i="1"/>
  <c r="J234" i="1"/>
  <c r="K234" i="1"/>
  <c r="J235" i="1"/>
  <c r="K235" i="1"/>
  <c r="J236" i="1"/>
  <c r="K236" i="1"/>
  <c r="J237" i="1"/>
  <c r="K237" i="1"/>
  <c r="J238" i="1"/>
  <c r="K238" i="1"/>
  <c r="J230" i="1"/>
  <c r="K230" i="1"/>
  <c r="J231" i="1"/>
  <c r="K231" i="1"/>
  <c r="J232" i="1"/>
  <c r="K232" i="1"/>
  <c r="J233" i="1"/>
  <c r="K233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14" i="1"/>
  <c r="K214" i="1"/>
  <c r="J213" i="1"/>
  <c r="K213" i="1"/>
  <c r="J212" i="1"/>
  <c r="K212" i="1"/>
  <c r="J210" i="1"/>
  <c r="K210" i="1"/>
  <c r="J211" i="1"/>
  <c r="K211" i="1"/>
  <c r="J208" i="1"/>
  <c r="K208" i="1"/>
  <c r="J209" i="1"/>
  <c r="K20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176" i="1"/>
  <c r="K176" i="1"/>
  <c r="J177" i="1"/>
  <c r="K177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J199" i="1" s="1"/>
  <c r="K198" i="1"/>
  <c r="K199" i="1"/>
  <c r="J206" i="1"/>
  <c r="K206" i="1"/>
  <c r="J207" i="1"/>
  <c r="K207" i="1"/>
  <c r="J189" i="1"/>
  <c r="K189" i="1"/>
  <c r="J190" i="1"/>
  <c r="K190" i="1"/>
  <c r="J191" i="1"/>
  <c r="K191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1" i="1"/>
  <c r="K181" i="1"/>
  <c r="J182" i="1"/>
  <c r="K182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8" i="1"/>
  <c r="K178" i="1"/>
  <c r="J179" i="1"/>
  <c r="K179" i="1"/>
  <c r="J180" i="1"/>
  <c r="K180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54" i="1"/>
  <c r="K154" i="1"/>
  <c r="J155" i="1"/>
  <c r="K155" i="1"/>
  <c r="J156" i="1"/>
  <c r="K156" i="1"/>
  <c r="J157" i="1"/>
  <c r="J158" i="1" s="1"/>
  <c r="K157" i="1"/>
  <c r="K158" i="1"/>
  <c r="J159" i="1"/>
  <c r="K159" i="1"/>
  <c r="J160" i="1"/>
  <c r="K160" i="1"/>
  <c r="J161" i="1"/>
  <c r="K161" i="1"/>
  <c r="J145" i="1" l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33" i="1"/>
  <c r="K133" i="1"/>
  <c r="J134" i="1"/>
  <c r="K134" i="1"/>
  <c r="J135" i="1"/>
  <c r="K135" i="1"/>
  <c r="J136" i="1"/>
  <c r="K136" i="1"/>
  <c r="J137" i="1"/>
  <c r="K137" i="1"/>
  <c r="J128" i="1"/>
  <c r="K128" i="1"/>
  <c r="J129" i="1"/>
  <c r="K129" i="1"/>
  <c r="J130" i="1"/>
  <c r="K130" i="1"/>
  <c r="J131" i="1"/>
  <c r="K131" i="1"/>
  <c r="J132" i="1"/>
  <c r="K132" i="1"/>
  <c r="J125" i="1"/>
  <c r="J126" i="1" s="1"/>
  <c r="K125" i="1"/>
  <c r="K126" i="1"/>
  <c r="J127" i="1"/>
  <c r="K127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06" i="1"/>
  <c r="K106" i="1"/>
  <c r="J107" i="1"/>
  <c r="K107" i="1"/>
  <c r="J97" i="1"/>
  <c r="K97" i="1"/>
  <c r="J115" i="1"/>
  <c r="K115" i="1"/>
  <c r="J116" i="1"/>
  <c r="K116" i="1"/>
  <c r="J117" i="1"/>
  <c r="K117" i="1"/>
  <c r="J118" i="1"/>
  <c r="K118" i="1"/>
  <c r="J105" i="1"/>
  <c r="K105" i="1"/>
  <c r="J100" i="1"/>
  <c r="K100" i="1"/>
  <c r="J101" i="1"/>
  <c r="K101" i="1"/>
  <c r="J102" i="1"/>
  <c r="K102" i="1"/>
  <c r="J103" i="1"/>
  <c r="K103" i="1"/>
  <c r="J104" i="1"/>
  <c r="K104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93" i="1" l="1"/>
  <c r="K93" i="1"/>
  <c r="J94" i="1"/>
  <c r="K94" i="1"/>
  <c r="J95" i="1"/>
  <c r="K95" i="1"/>
  <c r="J96" i="1"/>
  <c r="K96" i="1"/>
  <c r="J98" i="1"/>
  <c r="K98" i="1"/>
  <c r="J99" i="1"/>
  <c r="K99" i="1"/>
  <c r="J88" i="1"/>
  <c r="K88" i="1"/>
  <c r="J89" i="1"/>
  <c r="K89" i="1"/>
  <c r="J90" i="1"/>
  <c r="K90" i="1"/>
  <c r="J91" i="1"/>
  <c r="K91" i="1"/>
  <c r="J92" i="1"/>
  <c r="K92" i="1"/>
  <c r="J83" i="1" l="1"/>
  <c r="K83" i="1"/>
  <c r="J84" i="1"/>
  <c r="K84" i="1"/>
  <c r="J85" i="1"/>
  <c r="K85" i="1"/>
  <c r="J86" i="1"/>
  <c r="K86" i="1"/>
  <c r="J87" i="1"/>
  <c r="K87" i="1"/>
  <c r="J77" i="1"/>
  <c r="K77" i="1"/>
  <c r="J78" i="1"/>
  <c r="K78" i="1"/>
  <c r="J79" i="1"/>
  <c r="K79" i="1"/>
  <c r="J80" i="1"/>
  <c r="K80" i="1"/>
  <c r="J81" i="1"/>
  <c r="K81" i="1"/>
  <c r="J82" i="1"/>
  <c r="K82" i="1"/>
  <c r="J74" i="1"/>
  <c r="K74" i="1"/>
  <c r="J75" i="1"/>
  <c r="K75" i="1"/>
  <c r="J76" i="1"/>
  <c r="K76" i="1"/>
  <c r="J73" i="1"/>
  <c r="K73" i="1"/>
  <c r="J68" i="1"/>
  <c r="K68" i="1"/>
  <c r="J69" i="1"/>
  <c r="K69" i="1"/>
  <c r="J70" i="1"/>
  <c r="K70" i="1"/>
  <c r="J71" i="1"/>
  <c r="K71" i="1"/>
  <c r="J72" i="1"/>
  <c r="K72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51" i="1"/>
  <c r="K51" i="1"/>
  <c r="J52" i="1"/>
  <c r="K52" i="1"/>
  <c r="J53" i="1"/>
  <c r="K53" i="1"/>
  <c r="J54" i="1"/>
  <c r="K54" i="1"/>
  <c r="J55" i="1"/>
  <c r="K55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4" i="1" l="1"/>
  <c r="K4" i="1"/>
  <c r="J5" i="1"/>
  <c r="K5" i="1"/>
  <c r="J6" i="1"/>
  <c r="K6" i="1"/>
  <c r="J7" i="1"/>
  <c r="K7" i="1"/>
  <c r="J8" i="1"/>
  <c r="K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2C4AED-822B-4CE2-8423-34BC76896AD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4A12702-DDBE-4670-8916-57FC7A419CA6}" name="WorksheetConnection_Concrete Summary - Khasab (16)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ConcreteSummaryKhasab16.xlsxTable1"/>
        </x15:connection>
      </ext>
    </extLst>
  </connection>
</connections>
</file>

<file path=xl/sharedStrings.xml><?xml version="1.0" encoding="utf-8"?>
<sst xmlns="http://schemas.openxmlformats.org/spreadsheetml/2006/main" count="1697" uniqueCount="356">
  <si>
    <t>Sl. No.</t>
  </si>
  <si>
    <t>Location / Chainage</t>
  </si>
  <si>
    <t>Structure</t>
  </si>
  <si>
    <t>Element</t>
  </si>
  <si>
    <t>Date</t>
  </si>
  <si>
    <t>Grade</t>
  </si>
  <si>
    <r>
      <t>Quantity (m</t>
    </r>
    <r>
      <rPr>
        <vertAlign val="superscript"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>)</t>
    </r>
  </si>
  <si>
    <t>Section</t>
  </si>
  <si>
    <t>Month</t>
  </si>
  <si>
    <t>C25</t>
  </si>
  <si>
    <t>Blinding</t>
  </si>
  <si>
    <t>C15</t>
  </si>
  <si>
    <t>Precast</t>
  </si>
  <si>
    <t>Box Culvert</t>
  </si>
  <si>
    <t>Concrete Barrier</t>
  </si>
  <si>
    <t>Bottom slab</t>
  </si>
  <si>
    <t>C35</t>
  </si>
  <si>
    <t>Row Labels</t>
  </si>
  <si>
    <t>Grand Total</t>
  </si>
  <si>
    <t>Sum of Quantity (m3)</t>
  </si>
  <si>
    <t>Plant</t>
  </si>
  <si>
    <t>SCC Khasab</t>
  </si>
  <si>
    <t>CONCRETE PRODUCTION SUMMARY</t>
  </si>
  <si>
    <t>Wing wall (Downstream)</t>
  </si>
  <si>
    <t xml:space="preserve">Blinding </t>
  </si>
  <si>
    <t>Wall and top slab</t>
  </si>
  <si>
    <t>Wall and top slab (Remaining Portion)</t>
  </si>
  <si>
    <t>Wing wall (upstream and downstream)</t>
  </si>
  <si>
    <t>wall and top slab</t>
  </si>
  <si>
    <t>Ditch line</t>
  </si>
  <si>
    <t>Apron slab and cut off wall (downstream)</t>
  </si>
  <si>
    <t>Apron slab and cutoff wall (upstream)</t>
  </si>
  <si>
    <t>Apron slab and cutoff wall (Downstream)</t>
  </si>
  <si>
    <t>Retaining Wall</t>
  </si>
  <si>
    <t>OBB Chamber</t>
  </si>
  <si>
    <t>Wing wall</t>
  </si>
  <si>
    <t>Apron slab and cutoff wall (Upstream and Downstream)</t>
  </si>
  <si>
    <t xml:space="preserve">Type E Blinding </t>
  </si>
  <si>
    <t xml:space="preserve">Bottom slab </t>
  </si>
  <si>
    <t>Type E (Stem) Ch 5+337 to 5+349,5+361 to 5+373,5+385 to 5+397 LHS</t>
  </si>
  <si>
    <t>Apron slab.cutoff wall (upstream), Head wall (U/S and D/S)</t>
  </si>
  <si>
    <t>Catchpit wall (Upstream)</t>
  </si>
  <si>
    <t>Apron slab,cutoff wall (Downstream)</t>
  </si>
  <si>
    <t>Blinding Ch 8+185 to 8+221 LHS</t>
  </si>
  <si>
    <t>Type E (Stem) Ch 5+373 to 5+385 LHS</t>
  </si>
  <si>
    <t>Apron slab,cut off wall (upstream)</t>
  </si>
  <si>
    <t>Type E (Stem) ch 5+397 to 5+400 LHS</t>
  </si>
  <si>
    <t>Cutoff wall and apron slab (upstream)</t>
  </si>
  <si>
    <t>Catchpit Bottom slab</t>
  </si>
  <si>
    <t>Wing wall (upstream)</t>
  </si>
  <si>
    <t>Bottom slab (RHS Portion)</t>
  </si>
  <si>
    <t>Head wall (upstream and downstream)</t>
  </si>
  <si>
    <t>Cutoff wall and apron slab (downstream)</t>
  </si>
  <si>
    <t>Head wall (upstream)</t>
  </si>
  <si>
    <t>Cutoff wall and apron slab (Downstream)</t>
  </si>
  <si>
    <t>cutoff wall and apron slab(Downstream)</t>
  </si>
  <si>
    <t>Head wall (Downstream)</t>
  </si>
  <si>
    <t>Bottom slab (unit 2)</t>
  </si>
  <si>
    <t>Inlet protection</t>
  </si>
  <si>
    <t>Catchpit wall (upstream)</t>
  </si>
  <si>
    <t>Blinding ch 8+502 to 8+550 LHS</t>
  </si>
  <si>
    <t>Raft ch 8+057 to 8+068 LHS (Segment 2)</t>
  </si>
  <si>
    <t>C30</t>
  </si>
  <si>
    <t>Type E Raft ch 8+510 to 8+546 LHS</t>
  </si>
  <si>
    <t>Blinding ch 8+444 to 8+474 LHS</t>
  </si>
  <si>
    <t>Blinding ch 8+310 to 8+342 LHS</t>
  </si>
  <si>
    <t>Blinding ch 8+548 to 8+596 LHS</t>
  </si>
  <si>
    <t>Type 4 ch 7+580 LHS</t>
  </si>
  <si>
    <t>Type 4 ch 8+620 LHS</t>
  </si>
  <si>
    <t>Bottom slab ch 12+532</t>
  </si>
  <si>
    <t>Encasement</t>
  </si>
  <si>
    <t>OBB Road crossing duct ch 8+120 LHS</t>
  </si>
  <si>
    <t>Type E Raft ch 8+546 to 8+578 LHS</t>
  </si>
  <si>
    <t>Type E Raft ch 8+578 to 8+596 LHS</t>
  </si>
  <si>
    <t>Type E (Stem) ch 8+510 to 8+522,8+534 to 8+546 LHS</t>
  </si>
  <si>
    <t>Type E Raft ch 8+441 to 8+462 LHS</t>
  </si>
  <si>
    <t>Type E (Stem) ch 8+522 to 8+534,8+546 to 8+558 LHS</t>
  </si>
  <si>
    <t>Type E (Stem) ch 8+558 to 8+570,8+582 to 8+594 LHS</t>
  </si>
  <si>
    <t>Type E Raft ch 8+310 to 8+341 LHS</t>
  </si>
  <si>
    <t>Blinding (RHS Portion)</t>
  </si>
  <si>
    <t>Concrete chute</t>
  </si>
  <si>
    <t>OBB Road crossing duct ch 8+120 (Remaining portion)</t>
  </si>
  <si>
    <t>Type E (Stem) ch 8+570 to 8+582 LHS</t>
  </si>
  <si>
    <t>catchpit Bottom slab (upstream)</t>
  </si>
  <si>
    <t>ch 0+010 to 0+020 and 0+030 to 0+040 (outlet)</t>
  </si>
  <si>
    <t xml:space="preserve">ch 0+00 to 0+010 and 0+020 to 0+030 (outlet) </t>
  </si>
  <si>
    <t>wall and top slab (RHS Portion)</t>
  </si>
  <si>
    <t>wall and top slab (unit-2)</t>
  </si>
  <si>
    <t>Mockup-using geocell(Texcell TC712*75) ch 3+894 to 3+900 RHS</t>
  </si>
  <si>
    <t>Mockup-using geocell(Techcell TC712*75) ch 3+888 to 3+894 RHS</t>
  </si>
  <si>
    <t>Type E (Stem) ch 8+329 to 8+341 LHS</t>
  </si>
  <si>
    <t>Type E (Stem) ch 8+311 to 8+317 LHS</t>
  </si>
  <si>
    <t>Blinding ch 8+252 to 8+296 LHS (Segment 8 to 11)</t>
  </si>
  <si>
    <t>Type E (Stem) ch 8+444 to 8+456 LHS</t>
  </si>
  <si>
    <t>Type E (Stem) ch 8+456 to 8+480 &amp; Type E Raft ch 8+462 to 8+480 LHS</t>
  </si>
  <si>
    <t>Type E ch 7+575 to 7+640 LHS</t>
  </si>
  <si>
    <t>Blinding ch 8+185 to 8+252 LHS (Segment 3 to 7)</t>
  </si>
  <si>
    <t>Type E ch 7+610 to 7+640 LHS</t>
  </si>
  <si>
    <t xml:space="preserve">OBB Road crossing duct </t>
  </si>
  <si>
    <t xml:space="preserve">Type E (stem) ch 8+317 to 8+329 </t>
  </si>
  <si>
    <t>Blinding ch 8+185 to 8+252 LHS (Segment 1 to 2)</t>
  </si>
  <si>
    <t>Type E Raft ch 7+575 to 7+645 LHS</t>
  </si>
  <si>
    <t>Type E ch 8+845 to 8+885 LHS</t>
  </si>
  <si>
    <t>ch 0+000 to 0+040 (outlet)</t>
  </si>
  <si>
    <t>Type E Ch 8+885 to 8+950 LHS</t>
  </si>
  <si>
    <t>Type E Raft ch 8+881 to 8+917 LHS</t>
  </si>
  <si>
    <t>Type E Stem ch 7+575 to 7+597 &amp; 7+609 to 7+721 LHS</t>
  </si>
  <si>
    <t>Type E Raft ch 8+845 to 8+881 LHS</t>
  </si>
  <si>
    <t>Road crossing duct ch 10+170</t>
  </si>
  <si>
    <t>Type E Raft ch 8+915 to 8+950 LHS</t>
  </si>
  <si>
    <t>Type E Stem ch 7+621 to 7+633 LHS</t>
  </si>
  <si>
    <t xml:space="preserve">Catchpit-wall </t>
  </si>
  <si>
    <t>Raft ch 8+089 to 8+097 Segment 6</t>
  </si>
  <si>
    <t>ch 0+040 to 0+070 (outlet)</t>
  </si>
  <si>
    <t>wall and top slab unit-1</t>
  </si>
  <si>
    <t>Blinding-apron slab and cutoff wall</t>
  </si>
  <si>
    <t>Type E Stem ch 8+845 to 8+857, 8+869 to 8+881 LHS</t>
  </si>
  <si>
    <t>Type E (Stem) ch 7+597 to 7+609,7+633 to 7+640 LHS</t>
  </si>
  <si>
    <t>wall (2 Nos)</t>
  </si>
  <si>
    <t>apron slab and cutoff wall</t>
  </si>
  <si>
    <t>Type E Stem 8+905 to 8+917 and 8+929 to 8+941 LHS</t>
  </si>
  <si>
    <t>Type E Stem ch 8+857 to 8+869 and 8+881 to 8+893 LHS</t>
  </si>
  <si>
    <t>Type E Stem ch 8+893 to 8+905</t>
  </si>
  <si>
    <t>Type E Stem ch 8+929 to 8+951</t>
  </si>
  <si>
    <t>Mockup-Single cell 1.5*1.5</t>
  </si>
  <si>
    <t>Aprom slab and cutoff wall (Downstream)</t>
  </si>
  <si>
    <t>Catchpit-Bottom slab</t>
  </si>
  <si>
    <t>Apron slab and cutoff wall (U/S and D/S)</t>
  </si>
  <si>
    <t>Apron slab and cutoff wall (U/S)</t>
  </si>
  <si>
    <t>Apron slab and cutoff wall (D/S)</t>
  </si>
  <si>
    <t>wall ch 8+057 to 8+069 (segment 2)</t>
  </si>
  <si>
    <t xml:space="preserve">Energy dissipators ch 0+005 to 0+040 </t>
  </si>
  <si>
    <t>wall ch 8+286 to 8+296 (segment 11)</t>
  </si>
  <si>
    <t>Raft ch 8+068 to 8+078 LHS (Segment 3)</t>
  </si>
  <si>
    <t>Raft ch 8+274.9 to 8+286.2 (segment 10)</t>
  </si>
  <si>
    <t>Raft ch 8+078 to 8+084 (segment 4)</t>
  </si>
  <si>
    <t>Raft ch 10+098 to 10+121 LHS</t>
  </si>
  <si>
    <t>Wall ch 8+089 to 8+097 (segment 6)</t>
  </si>
  <si>
    <t>Blinding ch 10+200 to 10+242</t>
  </si>
  <si>
    <t>Blinding ch 10+090 to 10+200 LHS</t>
  </si>
  <si>
    <t>Type E Raft ch 10+121 to 10+200 LHS</t>
  </si>
  <si>
    <t>Precast Box culvert</t>
  </si>
  <si>
    <t>Precast Box Culvert</t>
  </si>
  <si>
    <t>Mockup-Single cell 1.5*1.5(S2)</t>
  </si>
  <si>
    <t>Type E Raft ch 10+090 to 10+098, 10+200 to 10+222 LHS</t>
  </si>
  <si>
    <t>Embankment Protection</t>
  </si>
  <si>
    <t>Slope ch 0+060 to 0+070 LHS</t>
  </si>
  <si>
    <t>Wall 1 st lift (segment 11)</t>
  </si>
  <si>
    <t>Type E Raft ch 10+222 to 10+242 LHS</t>
  </si>
  <si>
    <t>Slope ch 0+070 to 0+080 LHS</t>
  </si>
  <si>
    <t>Road crossing duct ch 13+150</t>
  </si>
  <si>
    <t>wall ch 8+068.41 to 8+078.68 LHS (Segment 3)</t>
  </si>
  <si>
    <t>slope ch 0+080 to 0+090 LHS</t>
  </si>
  <si>
    <t>Blinding ch 8+484.5 to 8+501.5 LHS</t>
  </si>
  <si>
    <t>slope ch 0+090 to 0+100 LHS</t>
  </si>
  <si>
    <t>Blinding ch 9+780 to 9+820 LHS</t>
  </si>
  <si>
    <t>Slope ch 0+100 to 0+110 LHS</t>
  </si>
  <si>
    <t>Slope ch 0+110 to 0+120 LHS</t>
  </si>
  <si>
    <t>Slope ch 0+120 to 0+130 LHS</t>
  </si>
  <si>
    <t>Future duct ch 13+695 and OBB Chamber ch 13+150, 13+695</t>
  </si>
  <si>
    <t>wall-ch8+051 to 8+057, 8+078 to 8+084 (segment 1 and 4)</t>
  </si>
  <si>
    <t>Slope ch 0+130 to 0+140 LHS</t>
  </si>
  <si>
    <t>wall ch 8+274.9 to 8+286.2 (segment-10)</t>
  </si>
  <si>
    <t>Slope ch 0+140 to 0+150 LHS</t>
  </si>
  <si>
    <t>Wing wall (downstream)</t>
  </si>
  <si>
    <t>Slope ch 0+150 to 0+160 LHS</t>
  </si>
  <si>
    <t>wall ch 8+084.1 to 8+089.9 (segment 5)</t>
  </si>
  <si>
    <t>Raft ch 8+263.6 to 8+274.9 LHS</t>
  </si>
  <si>
    <t>Mockup-Single cell 1.5*1.5(S3)</t>
  </si>
  <si>
    <t>Raft (segment-5 and 1)</t>
  </si>
  <si>
    <t>Slope ch 0+160 to 0+165 LHS</t>
  </si>
  <si>
    <t>Raft ch 8+185 to 8+195 LHS (Segment 1)</t>
  </si>
  <si>
    <t>Type E Stem ch 10+098 to 10+110 LHS</t>
  </si>
  <si>
    <t>Type E Stem ch 10+122 to 10+134 LHS</t>
  </si>
  <si>
    <t>Type E Blinding , ch 11+500 to 11+560 LHS</t>
  </si>
  <si>
    <t>Type E Raft ch 11+440 to 11+500 LHS</t>
  </si>
  <si>
    <t>wall (2 Nos)-External wall</t>
  </si>
  <si>
    <t>wall ch 8+263.6 to 8+279.9 LHS</t>
  </si>
  <si>
    <t>wall ch 8+078 to 8+084 (Segment 4)</t>
  </si>
  <si>
    <t>Type E,Stem ch 10+134 to 10+146 to 10+158 to 10+170 LHS</t>
  </si>
  <si>
    <t>Slope ch 0+165 to 0+170 LHS</t>
  </si>
  <si>
    <t>Type E Blinding ch 11+560 to 11+620 LHS</t>
  </si>
  <si>
    <t>Type E (Stem) ch 10+146 to 10+158 ,10+170 to 10+182 LHS</t>
  </si>
  <si>
    <t>Blinding ch 11+620 to 11+670 LHS</t>
  </si>
  <si>
    <t>Type E,Raft ch 11+496 to 11+584 LHS</t>
  </si>
  <si>
    <t>Apron slab and cut off wall (upstream and downstream)</t>
  </si>
  <si>
    <t>Slope ch 0+170 to 0+180 LHS</t>
  </si>
  <si>
    <t>Slope ch 0+060 to 0+070 RHS</t>
  </si>
  <si>
    <t>Type E (Stem) ch 10+182 to 10+194 ,10+206 to 10+218 LHS</t>
  </si>
  <si>
    <t>Raft ch 8+241 to 8+252.3 LHS (Segment 7)</t>
  </si>
  <si>
    <t>Wall ch 8+252.3 to 8+263.6 LHS (Segment 8)</t>
  </si>
  <si>
    <t>Slope ch 0+070 to 0+080 RHS</t>
  </si>
  <si>
    <t>Type E (Stem) ch 10+194 to 10+206 ,10+230 to 10+242 LHS</t>
  </si>
  <si>
    <t>Type E Raft ch 11+584 to 11+608 LHS</t>
  </si>
  <si>
    <t>Slope ch 0+080 to 0+090 RHS</t>
  </si>
  <si>
    <t>Type E Raft ch 11+608 to 11+644 LHS</t>
  </si>
  <si>
    <t>Blinding ch 11+670 to 11+700 LHS</t>
  </si>
  <si>
    <t>Blinding ch 11+700 to 11+738 LHS</t>
  </si>
  <si>
    <t>Raft (segment-5 and 6)</t>
  </si>
  <si>
    <t>wall (segment 1 and 7)</t>
  </si>
  <si>
    <t>Type E (Stem) ch 10+206 to 10+218 ,10+242 to 10+249 LHS</t>
  </si>
  <si>
    <t>Blinding ch 11+830 to 11+870 LHS</t>
  </si>
  <si>
    <t>Type E (Stem) ch 11+440 to 11+452 ,11+464 to 11+476 LHS</t>
  </si>
  <si>
    <t>Type E Raft-ch 11+644 to 11+680 LHS</t>
  </si>
  <si>
    <t>Blinding ch 11+870 to 11+888 LHS</t>
  </si>
  <si>
    <t xml:space="preserve">wall and top slab </t>
  </si>
  <si>
    <t>slope ch 0+090 to 0+100 RHS</t>
  </si>
  <si>
    <t>Type E (Stem) ch 11+452 to 11+464 &amp; 11+476 to 11+488 LHS</t>
  </si>
  <si>
    <t>Raft (segment 4)</t>
  </si>
  <si>
    <t>Catchpit -Bottom slab</t>
  </si>
  <si>
    <t>Type E (Stem) ch 11+488 to 11+500, 11+512 to 11+524 LHS</t>
  </si>
  <si>
    <t>Blinding Ch 10+248 to 10+270 LHS</t>
  </si>
  <si>
    <t>Wall (segment 6)</t>
  </si>
  <si>
    <t>Type E (Stem) ch 11+500 to 11+512 ,11+524 to 11+536 LHS</t>
  </si>
  <si>
    <t>Raft ch 8+203.1 to 8+213.9 LHS</t>
  </si>
  <si>
    <t>Slope ch 0+100 to 0+110 RHS</t>
  </si>
  <si>
    <t>Raft-ch 8+195 to 8+203.1 LHS</t>
  </si>
  <si>
    <t>Type E Raft ch 11+694 to 11+706 LHS</t>
  </si>
  <si>
    <t>Type E (Stem) ch 11+536 to 11+548 ,11+560 to 11+572 LHS</t>
  </si>
  <si>
    <t>Wall ch 8+221.87 to 8+229.87 (segment 5)</t>
  </si>
  <si>
    <t>Concrete Mass ch 8+051 to 8+097 (segment 1 to 5)</t>
  </si>
  <si>
    <t>Slope ch 0+110 to 0+120 RHS</t>
  </si>
  <si>
    <t>Blinding ch 13+930</t>
  </si>
  <si>
    <t>Type E Raft ch 11+694 to 11+738 LHS</t>
  </si>
  <si>
    <t>Type E (stem) ch 11+548 to 11+560 LHS</t>
  </si>
  <si>
    <t>Blinding (Remaining portion)</t>
  </si>
  <si>
    <t>Slope ch 0+120 to 0+130 RHS</t>
  </si>
  <si>
    <t>Slope ch 0+130 to 0+135 RHS</t>
  </si>
  <si>
    <t>Type E (stem) ch 11+572 to 11+584 LHS and 11+596 to 11+608 LHS</t>
  </si>
  <si>
    <t>wall ch 8+195.4 to 8+203.1 (segment 2)</t>
  </si>
  <si>
    <t>Raft ch 8+485.5 to 8+494.4 (segment 1)</t>
  </si>
  <si>
    <t>Slope ch 0+130 to 0+150 RHS</t>
  </si>
  <si>
    <t>Type E (stem) ch 11+584 to 11+596 LHS and 11+608 to 11+620 LHS</t>
  </si>
  <si>
    <t>Raft ch 8+494.4 to 8+501.5 (segment 2)</t>
  </si>
  <si>
    <t>Slope ch 0+150 to 0+155 RHS</t>
  </si>
  <si>
    <t>Type E Raft ch 11+830 to 11+854 LHS</t>
  </si>
  <si>
    <t>wall ch 8+213.9 to 8+221.8 LHS (Segment 4)</t>
  </si>
  <si>
    <t>Catchpit -wall</t>
  </si>
  <si>
    <t>Slope ch 0+155 to 0+165 RHS</t>
  </si>
  <si>
    <t>Type E (stem) ch 11+632 to 11+644 LHS and 11+656 to 11+668 LHS</t>
  </si>
  <si>
    <t>Road crossing duct ch 11+130</t>
  </si>
  <si>
    <t>concrete protection-chute apron portion  (downstream)</t>
  </si>
  <si>
    <t>Type E (stem) ch 11+620 to 11+632 LHS and 11+644 to 11+656 LHS</t>
  </si>
  <si>
    <t>Type E Raft ch 11+854 to 11+888 LHS</t>
  </si>
  <si>
    <t>Blinding-apron slab and cutoff wall (Downstream)</t>
  </si>
  <si>
    <t>Slope ch 0+165 to 0+170 RHS</t>
  </si>
  <si>
    <t>Slope ch 0+170 to 0+180 RHS</t>
  </si>
  <si>
    <t>Type E (stem) ch 11+668 to 11+680 LHS</t>
  </si>
  <si>
    <t>Segment -4,5,6</t>
  </si>
  <si>
    <t>wall ch 8+203.1 to 8+213.9 LHS (Segment 3)</t>
  </si>
  <si>
    <t>Type E (Stem) ch 11+694 to 11+706, 11+718 to 11+730 LHS</t>
  </si>
  <si>
    <t>Type E (Stem) ch 11+706 to 11+718, 11+730 to 11+736 LHS</t>
  </si>
  <si>
    <t>concrete protection-upstream</t>
  </si>
  <si>
    <t>Raft ch 9+798.8 to 9+809.9 LHS</t>
  </si>
  <si>
    <t>Wall ch 8+495.4 to 8+501.5 LHS</t>
  </si>
  <si>
    <t>Type E (Stem) ch 11+830 to 11+842, 11+854 to 11+866 LHS</t>
  </si>
  <si>
    <t>Blinding ch 12+341.78 to 12+360.25 LHS (Segment 7 to 8)</t>
  </si>
  <si>
    <t>Type E (Stem) ch 11+842 to 11+854, 11+866 to 11+878 LHS</t>
  </si>
  <si>
    <t>Type E-Raft ch 10+248 to 10+272 LHS</t>
  </si>
  <si>
    <t>Raft ch 9+809.9 to 9+820 LHS</t>
  </si>
  <si>
    <t>concrete protection-upstream (including ditch line)</t>
  </si>
  <si>
    <t>Catchpit wall-upstream</t>
  </si>
  <si>
    <t>Head wall</t>
  </si>
  <si>
    <t>Type E (Stem) ch 11+878 to 11+888 LHS</t>
  </si>
  <si>
    <t>Blinding (segment 6)</t>
  </si>
  <si>
    <t>wall ch 8+484.5 to 8+494.4 LHS</t>
  </si>
  <si>
    <t>Type E-Raft ch 10+248 to 10+260 LHS</t>
  </si>
  <si>
    <t>Type E-Raft ch 10+260 to 10+272 LHS</t>
  </si>
  <si>
    <t>Blinding ch 12+325 to 12+331.8 (segment 5)</t>
  </si>
  <si>
    <t>Type E-Raft ch 12+445 to 12+469 LHS</t>
  </si>
  <si>
    <t>Type E (Stem) ch 12+445 to 12+457 LHS</t>
  </si>
  <si>
    <t>Raft ch 9+780 to 9+787.9 LHS (Segment 1)</t>
  </si>
  <si>
    <t>Type E-Raft ch 12+469 to 12+481 LHS</t>
  </si>
  <si>
    <t>Blinding ch 12+445 to 12+481 LHS</t>
  </si>
  <si>
    <t>Blinding ch 12+481 to 12+510 LHS</t>
  </si>
  <si>
    <t>Blinding ch 12+305 to 12+325.2</t>
  </si>
  <si>
    <t>Type E (Stem) ch 12+469 to 12+481 LHS</t>
  </si>
  <si>
    <t>Blinding-apron slab and cutoff wall (upstream and Downstream)</t>
  </si>
  <si>
    <t xml:space="preserve">concrete protection-upstream </t>
  </si>
  <si>
    <t>Type E-Raft ch 12+505 to 12+526 LHS</t>
  </si>
  <si>
    <t>Type E Blinding ch 10+361 to 10+384 LHS</t>
  </si>
  <si>
    <t>Concrete Mass ch 8+185 to 8+221.8 (segment 1 to 4)</t>
  </si>
  <si>
    <t>Type E (Stem) ch 12+493 to 12+505 and 12+517 to 12+526 LHS</t>
  </si>
  <si>
    <t>Blinding (segment 5)Remaining portion</t>
  </si>
  <si>
    <t>Blinding (segment 7 and 8) Remaining portion</t>
  </si>
  <si>
    <t>Blinding (segment 6-Remaining portion)</t>
  </si>
  <si>
    <t>wall ch 9+809.9 to 9+820 LHS (Segment 4)</t>
  </si>
  <si>
    <t>Raft ch 8+097.3 to 8+104.2 (Segment 7)</t>
  </si>
  <si>
    <t>Type E (Stem) ch 12+505 to 12+517 LHS</t>
  </si>
  <si>
    <t>Type E -Raft ch 10+361 to 10+409 LHS</t>
  </si>
  <si>
    <t>Blinding ch 10+462 to 10+509 LHS</t>
  </si>
  <si>
    <t>Raft (segment 8)</t>
  </si>
  <si>
    <t>Blinding (segment 9 and 10)</t>
  </si>
  <si>
    <t>Type E (Stem) ch 10+361 to 10+373 LHS</t>
  </si>
  <si>
    <t>Type E -Raft ch 10+421 to 10+445 LHS</t>
  </si>
  <si>
    <t>Blinding (segment 2 and 3)</t>
  </si>
  <si>
    <t>Raft (segment 7)</t>
  </si>
  <si>
    <t xml:space="preserve">Blinding-apron slab and cutoff wall </t>
  </si>
  <si>
    <t>Blinding ch 10+401 to 10+462 LHS</t>
  </si>
  <si>
    <t>Blinding ch 12+305 to 12+325.2 (Remaining portion)</t>
  </si>
  <si>
    <t>Blinding ch 12+300 to 12+305 (segment 1)</t>
  </si>
  <si>
    <t>ch 0+050 to 0+060 RHS</t>
  </si>
  <si>
    <t>Slope ch 0+030 to 0+050 RHS</t>
  </si>
  <si>
    <t>Type E (Stem) ch 10+373 to 10+385 LHS and 10+397 to 10+409 LHS</t>
  </si>
  <si>
    <t>Type E -Raft ch 10+445 to 10+469 LHS</t>
  </si>
  <si>
    <t>wall-ch 9+798.8 to 9+809.9 LHS (Segment 3)</t>
  </si>
  <si>
    <t>wall ch 8+097 to 8+104.2 LHS (Segment 7)</t>
  </si>
  <si>
    <t>Type E (Stem) ch 10+385 to 10+397 LHS and 10+409 to 10+421 LHS</t>
  </si>
  <si>
    <t>Apron slab and cut off wall (upstream)</t>
  </si>
  <si>
    <t>Type E Raft ch 10+469 to 10+509 LHS</t>
  </si>
  <si>
    <t>Blinding (segment 3)</t>
  </si>
  <si>
    <t>wall (segment 1)</t>
  </si>
  <si>
    <t>Blinding ch 10+701 to 10+751 LHS</t>
  </si>
  <si>
    <t>Type E (Stem) ch 10+421 to 10+433 LHS and 10+445 to 10+457 LHS</t>
  </si>
  <si>
    <t>Type E Raft ch 10+655 to 10+679 LHS</t>
  </si>
  <si>
    <t>Blinding (segment 1)</t>
  </si>
  <si>
    <t>Type E (Stem) ch 10+433 to 10+445 LHS and 10+457 to 10+469 LHS</t>
  </si>
  <si>
    <t>Blinding ch 10+955 to 11+038 LHS</t>
  </si>
  <si>
    <t>Type E (Stem) ch 10+469 to 10+481 LHS and 10+493 to 10+505 LHS</t>
  </si>
  <si>
    <t>wall ch 12+341.7 to 12+354.4 LHS (Segment 7)</t>
  </si>
  <si>
    <t>Raft (segment 5,6)</t>
  </si>
  <si>
    <t>Type E Raft ch 10+691 to 10+739 LHS</t>
  </si>
  <si>
    <t>Type E (Stem) ch 10+481 to 10+493 LHS and 10+505 to 10+509 LHS</t>
  </si>
  <si>
    <t>Raft ch 12+319.1 to 12+325.2 LHS (Segment 4)</t>
  </si>
  <si>
    <t>Blinding segment 9 and 10 -Haunch</t>
  </si>
  <si>
    <t>Type E (Stem) ch 10+655 to 10+667 LHS and 10+679 to 10+691 LHS</t>
  </si>
  <si>
    <t>Type E Raft ch 10+739 to 10+751 LHS and 10+955 to 10+995 LHS (Remaining portion)</t>
  </si>
  <si>
    <t>Blinding (segment 10 and 11)</t>
  </si>
  <si>
    <t>wall (segment 2)</t>
  </si>
  <si>
    <t>Blinding-Apron slab and cutoff wall (upstream)</t>
  </si>
  <si>
    <t>Blinding ch 11+189 to 11+230 RHS</t>
  </si>
  <si>
    <t>Slope ch 0+030 to 0+060 LHS</t>
  </si>
  <si>
    <t>Type E (Stem) ch 10+667 to 10+679 LHS and 10+691 to 10+703 LHS</t>
  </si>
  <si>
    <t>Type E Raft ch 10+995 to 11+038 LHS</t>
  </si>
  <si>
    <t>wall ch 12+354.4 to 12+360.2 LHS (Segment 8)</t>
  </si>
  <si>
    <t>Blinding ch 13+079 to 13+093 LHS</t>
  </si>
  <si>
    <t>Inlet protection(concrete ditch line ch 1+400 to 1+415 RHS)</t>
  </si>
  <si>
    <t>Type E (Stem) ch 10+703 to 10+715 LHS and 10+727 to 10+739 LHS</t>
  </si>
  <si>
    <t>Raft ch 12+310.4 to 12+319.1 LHS (Segment 3)</t>
  </si>
  <si>
    <t>Blinding -apron slab and cutoff wall (U/S and D/S)</t>
  </si>
  <si>
    <t>Inlet protection(concrete ditch line ch 1+415 to 1+430 RHS)</t>
  </si>
  <si>
    <t>Type E Raft ch 11+141 to 11+165 RHS</t>
  </si>
  <si>
    <t>Raft ch 12+300 to 12+310.4 LHS (Segment 1 and 2)</t>
  </si>
  <si>
    <t>Wall ch 12+331.8 to 12+341.7 LHS (Segment 6)</t>
  </si>
  <si>
    <t>Inlet protection(concrete ditch line ch 1+430 to 1+445 RHS)</t>
  </si>
  <si>
    <t>Type E Raft ch 11+165 to 11+213 RHS</t>
  </si>
  <si>
    <t>Type E (Stem) ch 10+955 to 10+967 LHS and 10+979 to 10+991 LHS</t>
  </si>
  <si>
    <t xml:space="preserve">Single cell -segment 7,8,9 </t>
  </si>
  <si>
    <t>Type E (Stem) ch 10+967 to 10+979 LHS and 10+991 to 11+003 LHS</t>
  </si>
  <si>
    <t>wall ch 12+325.2 to 12+331.8 LHS</t>
  </si>
  <si>
    <t>wall ch 12+300 to 12+305.2 LHS (Segment 1)</t>
  </si>
  <si>
    <t>Apr  26</t>
  </si>
  <si>
    <t>Dec  25</t>
  </si>
  <si>
    <t>Feb  26</t>
  </si>
  <si>
    <t>Jan  26</t>
  </si>
  <si>
    <t>Mar 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</si>
</sst>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+000"/>
    <numFmt numFmtId="165" formatCode="dd\-mm\-yy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164" fontId="1" fillId="3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64" fontId="8" fillId="4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\+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5" formatCode="dd\-mm\-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</xdr:colOff>
      <xdr:row>0</xdr:row>
      <xdr:rowOff>137160</xdr:rowOff>
    </xdr:from>
    <xdr:to>
      <xdr:col>2</xdr:col>
      <xdr:colOff>399293</xdr:colOff>
      <xdr:row>1</xdr:row>
      <xdr:rowOff>191935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1D9017-63F1-41FE-A973-32A5F1A758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799"/>
        <a:stretch/>
      </xdr:blipFill>
      <xdr:spPr bwMode="auto">
        <a:xfrm>
          <a:off x="403860" y="137160"/>
          <a:ext cx="940313" cy="2300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vi Chandra" refreshedDate="46147.397283101855" backgroundQuery="1" createdVersion="8" refreshedVersion="8" minRefreshableVersion="3" recordCount="0" supportSubquery="1" supportAdvancedDrill="1" xr:uid="{977D51F9-1CC5-4F28-9750-4D6168AB59FD}">
  <cacheSource type="external" connectionId="1"/>
  <cacheFields count="2">
    <cacheField name="[Measures].[Sum of Quantity (m3)]" caption="Sum of Quantity (m3)" numFmtId="0" hierarchy="14" level="32767"/>
    <cacheField name="[Table1].[Month].[Month]" caption="Month" numFmtId="0" hierarchy="11" level="1">
      <sharedItems count="5">
        <s v="Apr  26"/>
        <s v="Dec  25"/>
        <s v="Feb  26"/>
        <s v="Jan  26"/>
        <s v="Mar  26"/>
      </sharedItems>
    </cacheField>
  </cacheFields>
  <cacheHierarchies count="15">
    <cacheHierarchy uniqueName="[Table1].[Sl. No.]" caption="Sl. No." attribute="1" defaultMemberUniqueName="[Table1].[Sl. No.].[All]" allUniqueName="[Table1].[Sl. No.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Location / Chainage]" caption="Location / Chainage" attribute="1" defaultMemberUniqueName="[Table1].[Location / Chainage].[All]" allUniqueName="[Table1].[Location / Chainage].[All]" dimensionUniqueName="[Table1]" displayFolder="" count="0" memberValueDatatype="130" unbalanced="0"/>
    <cacheHierarchy uniqueName="[Table1].[Structure]" caption="Structure" attribute="1" defaultMemberUniqueName="[Table1].[Structure].[All]" allUniqueName="[Table1].[Structure].[All]" dimensionUniqueName="[Table1]" displayFolder="" count="0" memberValueDatatype="130" unbalanced="0"/>
    <cacheHierarchy uniqueName="[Table1].[Element]" caption="Element" attribute="1" defaultMemberUniqueName="[Table1].[Element].[All]" allUniqueName="[Table1].[Element].[All]" dimensionUniqueName="[Table1]" displayFolder="" count="0" memberValueDatatype="130" unbalanced="0"/>
    <cacheHierarchy uniqueName="[Table1].[Grade]" caption="Grade" attribute="1" defaultMemberUniqueName="[Table1].[Grade].[All]" allUniqueName="[Table1].[Grade].[All]" dimensionUniqueName="[Table1]" displayFolder="" count="0" memberValueDatatype="130" unbalanced="0"/>
    <cacheHierarchy uniqueName="[Table1].[Quantity (m3)]" caption="Quantity (m3)" attribute="1" defaultMemberUniqueName="[Table1].[Quantity (m3)].[All]" allUniqueName="[Table1].[Quantity (m3)].[All]" dimensionUniqueName="[Table1]" displayFolder="" count="0" memberValueDatatype="5" unbalanced="0"/>
    <cacheHierarchy uniqueName="[Table1].[Slump]" caption="Slump" attribute="1" defaultMemberUniqueName="[Table1].[Slump].[All]" allUniqueName="[Table1].[Slump].[All]" dimensionUniqueName="[Table1]" displayFolder="" count="0" memberValueDatatype="20" unbalanced="0"/>
    <cacheHierarchy uniqueName="[Table1].[Temperature]" caption="Temperature" attribute="1" defaultMemberUniqueName="[Table1].[Temperature].[All]" allUniqueName="[Table1].[Temperature].[All]" dimensionUniqueName="[Table1]" displayFolder="" count="0" memberValueDatatype="20" unbalanced="0"/>
    <cacheHierarchy uniqueName="[Table1].[Plant]" caption="Plant" attribute="1" defaultMemberUniqueName="[Table1].[Plant].[All]" allUniqueName="[Table1].[Plant].[All]" dimensionUniqueName="[Table1]" displayFolder="" count="0" memberValueDatatype="130" unbalanced="0"/>
    <cacheHierarchy uniqueName="[Table1].[Section]" caption="Section" attribute="1" defaultMemberUniqueName="[Table1].[Section].[All]" allUniqueName="[Table1].[Section].[All]" dimensionUniqueName="[Table1]" displayFolder="" count="0" memberValueDatatype="130" unbalanced="0"/>
    <cacheHierarchy uniqueName="[Table1].[Month]" caption="Month" attribute="1" defaultMemberUniqueName="[Table1].[Month].[All]" allUniqueName="[Table1].[Month].[All]" dimensionUniqueName="[Table1]" displayFolder="" count="2" memberValueDatatype="130" unbalanced="0">
      <fieldsUsage count="2">
        <fieldUsage x="-1"/>
        <fieldUsage x="1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Quantity (m3)]" caption="Sum of Quantity (m3)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7DEE1C-6BB2-480D-98F6-0C9D6BB99024}" name="PivotTable2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dataField="1" subtotalTop="0" showAll="0" defaultSubtotal="0"/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 (m3)" fld="0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ncrete Summary - Khasab (16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3:K433" totalsRowShown="0" headerRowDxfId="11" dataDxfId="10">
  <autoFilter ref="B3:K433" xr:uid="{00000000-000C-0000-FFFF-FFFF00000000}"/>
  <tableColumns count="10">
    <tableColumn id="1" xr3:uid="{00000000-0010-0000-0000-000001000000}" name="Sl. No." dataDxfId="9"/>
    <tableColumn id="11" xr3:uid="{00000000-0010-0000-0000-00000B000000}" name="Date" dataDxfId="8"/>
    <tableColumn id="2" xr3:uid="{00000000-0010-0000-0000-000002000000}" name="Location / Chainage" dataDxfId="7"/>
    <tableColumn id="3" xr3:uid="{00000000-0010-0000-0000-000003000000}" name="Structure" dataDxfId="6"/>
    <tableColumn id="4" xr3:uid="{00000000-0010-0000-0000-000004000000}" name="Element" dataDxfId="5"/>
    <tableColumn id="6" xr3:uid="{00000000-0010-0000-0000-000006000000}" name="Grade" dataDxfId="4"/>
    <tableColumn id="7" xr3:uid="{00000000-0010-0000-0000-000007000000}" name="Quantity (m3)" dataDxfId="3"/>
    <tableColumn id="8" xr3:uid="{00000000-0010-0000-0000-000008000000}" name="Plant" dataDxfId="2"/>
    <tableColumn id="9" xr3:uid="{00000000-0010-0000-0000-000009000000}" name="Section" dataDxfId="1">
      <calculatedColumnFormula>IF(Table1[[#This Row],[Location / Chainage]]="Precast",J3,IF(Table1[[#This Row],[Location / Chainage]]="","",IF(Table1[[#This Row],[Location / Chainage]]&lt;20000,"Khasab",IF(Table1[[#This Row],[Location / Chainage]]&lt;50000, "Lima",IF(Table1[[#This Row],[Location / Chainage]]&lt;72000,"Daba")))))</calculatedColumnFormula>
    </tableColumn>
    <tableColumn id="10" xr3:uid="{00000000-0010-0000-0000-00000A000000}" name="Month" dataDxfId="0">
      <calculatedColumnFormula>IF(Table1[[#This Row],[Date]]="","",TEXT(Table1[[#This Row],[Date]],"mmm  yy"))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C3EB-71BF-4CB3-B69E-4DB82D6CDDD6}">
  <dimension ref="A3:B9"/>
  <sheetViews>
    <sheetView workbookViewId="0">
      <selection activeCell="E12" sqref="E12"/>
    </sheetView>
  </sheetViews>
  <sheetFormatPr defaultRowHeight="14.4" x14ac:dyDescent="0.3"/>
  <cols>
    <col min="1" max="1" width="12.5546875" bestFit="1" customWidth="1"/>
    <col min="2" max="2" width="19.44140625" bestFit="1" customWidth="1"/>
  </cols>
  <sheetData>
    <row r="3" spans="1:2" x14ac:dyDescent="0.3">
      <c r="A3" s="4" t="s">
        <v>17</v>
      </c>
      <c r="B3" t="s">
        <v>19</v>
      </c>
    </row>
    <row r="4" spans="1:2" x14ac:dyDescent="0.3">
      <c r="A4" s="5" t="s">
        <v>351</v>
      </c>
      <c r="B4">
        <v>1721.2</v>
      </c>
    </row>
    <row r="5" spans="1:2" x14ac:dyDescent="0.3">
      <c r="A5" s="5" t="s">
        <v>352</v>
      </c>
      <c r="B5">
        <v>869</v>
      </c>
    </row>
    <row r="6" spans="1:2" x14ac:dyDescent="0.3">
      <c r="A6" s="5" t="s">
        <v>353</v>
      </c>
      <c r="B6">
        <v>1131.4000000000001</v>
      </c>
    </row>
    <row r="7" spans="1:2" x14ac:dyDescent="0.3">
      <c r="A7" s="5" t="s">
        <v>354</v>
      </c>
      <c r="B7">
        <v>1112</v>
      </c>
    </row>
    <row r="8" spans="1:2" x14ac:dyDescent="0.3">
      <c r="A8" s="5" t="s">
        <v>355</v>
      </c>
      <c r="B8">
        <v>1148</v>
      </c>
    </row>
    <row r="9" spans="1:2" x14ac:dyDescent="0.3">
      <c r="A9" s="5" t="s">
        <v>18</v>
      </c>
      <c r="B9">
        <v>5981.5999999999995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33"/>
  <sheetViews>
    <sheetView tabSelected="1" zoomScale="90" zoomScaleNormal="90" workbookViewId="0">
      <pane xSplit="4" ySplit="3" topLeftCell="E382" activePane="bottomRight" state="frozen"/>
      <selection pane="topRight" activeCell="E1" sqref="E1"/>
      <selection pane="bottomLeft" activeCell="A4" sqref="A4"/>
      <selection pane="bottomRight" activeCell="N389" sqref="N389"/>
    </sheetView>
  </sheetViews>
  <sheetFormatPr defaultColWidth="8.88671875" defaultRowHeight="13.8" x14ac:dyDescent="0.3"/>
  <cols>
    <col min="1" max="1" width="4.109375" style="1" customWidth="1"/>
    <col min="2" max="2" width="9.5546875" style="1" customWidth="1"/>
    <col min="3" max="3" width="10.5546875" style="1" customWidth="1"/>
    <col min="4" max="4" width="19.6640625" style="1" customWidth="1"/>
    <col min="5" max="5" width="22.88671875" style="1" customWidth="1"/>
    <col min="6" max="6" width="60.44140625" style="1" customWidth="1"/>
    <col min="7" max="7" width="10.5546875" style="1" customWidth="1"/>
    <col min="8" max="8" width="12.5546875" style="1" customWidth="1"/>
    <col min="9" max="9" width="15.5546875" style="1" customWidth="1"/>
    <col min="10" max="10" width="9.5546875" style="1" customWidth="1"/>
    <col min="11" max="11" width="10.5546875" style="1" customWidth="1"/>
    <col min="12" max="16384" width="8.88671875" style="1"/>
  </cols>
  <sheetData>
    <row r="1" spans="2:11" x14ac:dyDescent="0.3">
      <c r="B1" s="22" t="s">
        <v>22</v>
      </c>
      <c r="C1" s="22"/>
      <c r="D1" s="22"/>
      <c r="E1" s="22"/>
      <c r="F1" s="22"/>
      <c r="G1" s="22"/>
      <c r="H1" s="22"/>
      <c r="I1" s="22"/>
      <c r="J1" s="22"/>
      <c r="K1" s="22"/>
    </row>
    <row r="2" spans="2:11" ht="24.6" customHeight="1" x14ac:dyDescent="0.3"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2:11" ht="15" x14ac:dyDescent="0.3">
      <c r="B3" s="1" t="s">
        <v>0</v>
      </c>
      <c r="C3" s="1" t="s">
        <v>4</v>
      </c>
      <c r="D3" s="1" t="s">
        <v>1</v>
      </c>
      <c r="E3" s="1" t="s">
        <v>2</v>
      </c>
      <c r="F3" s="1" t="s">
        <v>3</v>
      </c>
      <c r="G3" s="1" t="s">
        <v>5</v>
      </c>
      <c r="H3" s="1" t="s">
        <v>6</v>
      </c>
      <c r="I3" s="1" t="s">
        <v>20</v>
      </c>
      <c r="J3" s="1" t="s">
        <v>7</v>
      </c>
      <c r="K3" s="1" t="s">
        <v>8</v>
      </c>
    </row>
    <row r="4" spans="2:11" x14ac:dyDescent="0.3">
      <c r="B4" s="8">
        <v>1</v>
      </c>
      <c r="C4" s="9">
        <v>45992</v>
      </c>
      <c r="D4" s="10">
        <v>5337</v>
      </c>
      <c r="E4" s="1" t="s">
        <v>14</v>
      </c>
      <c r="F4" s="3" t="s">
        <v>39</v>
      </c>
      <c r="G4" s="1" t="s">
        <v>9</v>
      </c>
      <c r="H4" s="8">
        <v>13</v>
      </c>
      <c r="I4" s="1" t="s">
        <v>21</v>
      </c>
      <c r="J4" s="8" t="str">
        <f>IF(Table1[[#This Row],[Location / Chainage]]="Precast",#REF!,IF(Table1[[#This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" s="8" t="str">
        <f>IF(Table1[[#This Row],[Date]]="","",TEXT(Table1[[#This Row],[Date]],"mmm  yy"))</f>
        <v>Dec  25</v>
      </c>
    </row>
    <row r="5" spans="2:11" x14ac:dyDescent="0.3">
      <c r="B5" s="8">
        <f>1+B4</f>
        <v>2</v>
      </c>
      <c r="C5" s="9">
        <v>45992</v>
      </c>
      <c r="D5" s="10">
        <v>9155</v>
      </c>
      <c r="E5" s="1" t="s">
        <v>13</v>
      </c>
      <c r="F5" s="3" t="s">
        <v>40</v>
      </c>
      <c r="G5" s="1" t="s">
        <v>16</v>
      </c>
      <c r="H5" s="8">
        <v>45</v>
      </c>
      <c r="I5" s="1" t="s">
        <v>21</v>
      </c>
      <c r="J5" s="8" t="str">
        <f>IF(Table1[[#This Row],[Location / Chainage]]="Precast",J4,IF(Table1[[#This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5" s="8" t="str">
        <f>IF(Table1[[#This Row],[Date]]="","",TEXT(Table1[[#This Row],[Date]],"mmm  yy"))</f>
        <v>Dec  25</v>
      </c>
    </row>
    <row r="6" spans="2:11" x14ac:dyDescent="0.3">
      <c r="B6" s="8">
        <f t="shared" ref="B6:B69" si="0">1+B5</f>
        <v>3</v>
      </c>
      <c r="C6" s="9">
        <v>45992</v>
      </c>
      <c r="D6" s="10">
        <v>9423</v>
      </c>
      <c r="E6" s="1" t="s">
        <v>13</v>
      </c>
      <c r="F6" s="3" t="s">
        <v>41</v>
      </c>
      <c r="G6" s="1" t="s">
        <v>16</v>
      </c>
      <c r="H6" s="8">
        <v>9</v>
      </c>
      <c r="I6" s="1" t="s">
        <v>21</v>
      </c>
      <c r="J6" s="8" t="str">
        <f>IF(Table1[[#This Row],[Location / Chainage]]="Precast",J5,IF(Table1[[#This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6" s="8" t="str">
        <f>IF(Table1[[#This Row],[Date]]="","",TEXT(Table1[[#This Row],[Date]],"mmm  yy"))</f>
        <v>Dec  25</v>
      </c>
    </row>
    <row r="7" spans="2:11" x14ac:dyDescent="0.3">
      <c r="B7" s="8">
        <f t="shared" si="0"/>
        <v>4</v>
      </c>
      <c r="C7" s="9">
        <v>45992</v>
      </c>
      <c r="D7" s="10">
        <v>9423</v>
      </c>
      <c r="E7" s="1" t="s">
        <v>13</v>
      </c>
      <c r="F7" s="3" t="s">
        <v>42</v>
      </c>
      <c r="G7" s="1" t="s">
        <v>16</v>
      </c>
      <c r="H7" s="8">
        <v>6</v>
      </c>
      <c r="I7" s="1" t="s">
        <v>21</v>
      </c>
      <c r="J7" s="8" t="str">
        <f>IF(Table1[[#This Row],[Location / Chainage]]="Precast",J6,IF(Table1[[#This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7" s="8" t="str">
        <f>IF(Table1[[#This Row],[Date]]="","",TEXT(Table1[[#This Row],[Date]],"mmm  yy"))</f>
        <v>Dec  25</v>
      </c>
    </row>
    <row r="8" spans="2:11" x14ac:dyDescent="0.3">
      <c r="B8" s="8">
        <f t="shared" si="0"/>
        <v>5</v>
      </c>
      <c r="C8" s="9">
        <v>45992</v>
      </c>
      <c r="D8" s="10">
        <v>8185</v>
      </c>
      <c r="E8" s="1" t="s">
        <v>33</v>
      </c>
      <c r="F8" s="3" t="s">
        <v>43</v>
      </c>
      <c r="G8" s="1" t="s">
        <v>16</v>
      </c>
      <c r="H8" s="8">
        <v>8</v>
      </c>
      <c r="I8" s="1" t="s">
        <v>21</v>
      </c>
      <c r="J8" s="8" t="str">
        <f>IF(Table1[[#This Row],[Location / Chainage]]="Precast",J7,IF(Table1[[#This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8" s="8" t="str">
        <f>IF(Table1[[#This Row],[Date]]="","",TEXT(Table1[[#This Row],[Date]],"mmm  yy"))</f>
        <v>Dec  25</v>
      </c>
    </row>
    <row r="9" spans="2:11" x14ac:dyDescent="0.3">
      <c r="B9" s="8">
        <f t="shared" si="0"/>
        <v>6</v>
      </c>
      <c r="C9" s="9">
        <v>45993</v>
      </c>
      <c r="D9" s="10">
        <v>5373</v>
      </c>
      <c r="E9" s="1" t="s">
        <v>14</v>
      </c>
      <c r="F9" s="3" t="s">
        <v>44</v>
      </c>
      <c r="G9" s="1" t="s">
        <v>9</v>
      </c>
      <c r="H9" s="8">
        <v>13</v>
      </c>
      <c r="I9" s="1" t="s">
        <v>21</v>
      </c>
      <c r="J9" s="8" t="str">
        <f>IF(Table1[[#This Row],[Location / Chainage]]="Precast",J8,IF(Table1[[#This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9" s="8" t="str">
        <f>IF(Table1[[#This Row],[Date]]="","",TEXT(Table1[[#This Row],[Date]],"mmm  yy"))</f>
        <v>Dec  25</v>
      </c>
    </row>
    <row r="10" spans="2:11" x14ac:dyDescent="0.3">
      <c r="B10" s="8">
        <f t="shared" si="0"/>
        <v>7</v>
      </c>
      <c r="C10" s="9">
        <v>45993</v>
      </c>
      <c r="D10" s="10">
        <v>8880</v>
      </c>
      <c r="E10" s="1" t="s">
        <v>13</v>
      </c>
      <c r="F10" s="3" t="s">
        <v>45</v>
      </c>
      <c r="G10" s="1" t="s">
        <v>16</v>
      </c>
      <c r="H10" s="8">
        <v>10</v>
      </c>
      <c r="I10" s="1" t="s">
        <v>21</v>
      </c>
      <c r="J10" s="8" t="str">
        <f>IF(Table1[[#This Row],[Location / Chainage]]="Precast",J9,IF(Table1[[#This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0" s="8" t="str">
        <f>IF(Table1[[#This Row],[Date]]="","",TEXT(Table1[[#This Row],[Date]],"mmm  yy"))</f>
        <v>Dec  25</v>
      </c>
    </row>
    <row r="11" spans="2:11" x14ac:dyDescent="0.3">
      <c r="B11" s="8">
        <f t="shared" si="0"/>
        <v>8</v>
      </c>
      <c r="C11" s="9">
        <v>45993</v>
      </c>
      <c r="D11" s="10">
        <v>8185</v>
      </c>
      <c r="E11" s="1" t="s">
        <v>33</v>
      </c>
      <c r="F11" s="3" t="s">
        <v>10</v>
      </c>
      <c r="G11" s="1" t="s">
        <v>11</v>
      </c>
      <c r="H11" s="8">
        <v>29</v>
      </c>
      <c r="I11" s="1" t="s">
        <v>21</v>
      </c>
      <c r="J11" s="8" t="str">
        <f>IF(Table1[[#This Row],[Location / Chainage]]="Precast",J10,IF(Table1[[#This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1" s="8" t="str">
        <f>IF(Table1[[#This Row],[Date]]="","",TEXT(Table1[[#This Row],[Date]],"mmm  yy"))</f>
        <v>Dec  25</v>
      </c>
    </row>
    <row r="12" spans="2:11" x14ac:dyDescent="0.3">
      <c r="B12" s="8">
        <f t="shared" si="0"/>
        <v>9</v>
      </c>
      <c r="C12" s="9">
        <v>45994</v>
      </c>
      <c r="D12" s="10">
        <v>5397</v>
      </c>
      <c r="E12" s="1" t="s">
        <v>14</v>
      </c>
      <c r="F12" s="3" t="s">
        <v>46</v>
      </c>
      <c r="G12" s="1" t="s">
        <v>9</v>
      </c>
      <c r="H12" s="8">
        <v>6</v>
      </c>
      <c r="I12" s="1" t="s">
        <v>21</v>
      </c>
      <c r="J12" s="8" t="str">
        <f>IF(Table1[[#This Row],[Location / Chainage]]="Precast",J11,IF(Table1[[#This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2" s="8" t="str">
        <f>IF(Table1[[#This Row],[Date]]="","",TEXT(Table1[[#This Row],[Date]],"mmm  yy"))</f>
        <v>Dec  25</v>
      </c>
    </row>
    <row r="13" spans="2:11" x14ac:dyDescent="0.3">
      <c r="B13" s="8">
        <f t="shared" si="0"/>
        <v>10</v>
      </c>
      <c r="C13" s="9">
        <v>45994</v>
      </c>
      <c r="D13" s="10">
        <v>9423</v>
      </c>
      <c r="E13" s="1" t="s">
        <v>13</v>
      </c>
      <c r="F13" s="3" t="s">
        <v>23</v>
      </c>
      <c r="G13" s="1" t="s">
        <v>16</v>
      </c>
      <c r="H13" s="8">
        <v>5</v>
      </c>
      <c r="I13" s="1" t="s">
        <v>21</v>
      </c>
      <c r="J13" s="8" t="str">
        <f>IF(Table1[[#This Row],[Location / Chainage]]="Precast",J12,IF(Table1[[#This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3" s="8" t="str">
        <f>IF(Table1[[#This Row],[Date]]="","",TEXT(Table1[[#This Row],[Date]],"mmm  yy"))</f>
        <v>Dec  25</v>
      </c>
    </row>
    <row r="14" spans="2:11" x14ac:dyDescent="0.3">
      <c r="B14" s="8">
        <f t="shared" si="0"/>
        <v>11</v>
      </c>
      <c r="C14" s="9">
        <v>45994</v>
      </c>
      <c r="D14" s="10">
        <v>9155</v>
      </c>
      <c r="E14" s="1" t="s">
        <v>13</v>
      </c>
      <c r="F14" s="3" t="s">
        <v>32</v>
      </c>
      <c r="G14" s="1" t="s">
        <v>11</v>
      </c>
      <c r="H14" s="8">
        <v>12</v>
      </c>
      <c r="I14" s="1" t="s">
        <v>21</v>
      </c>
      <c r="J14" s="8" t="str">
        <f>IF(Table1[[#This Row],[Location / Chainage]]="Precast",J13,IF(Table1[[#This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4" s="8" t="str">
        <f>IF(Table1[[#This Row],[Date]]="","",TEXT(Table1[[#This Row],[Date]],"mmm  yy"))</f>
        <v>Dec  25</v>
      </c>
    </row>
    <row r="15" spans="2:11" x14ac:dyDescent="0.3">
      <c r="B15" s="8">
        <f t="shared" si="0"/>
        <v>12</v>
      </c>
      <c r="C15" s="9">
        <v>45994</v>
      </c>
      <c r="D15" s="10">
        <v>12172</v>
      </c>
      <c r="E15" s="1" t="s">
        <v>13</v>
      </c>
      <c r="F15" s="3" t="s">
        <v>10</v>
      </c>
      <c r="G15" s="1" t="s">
        <v>11</v>
      </c>
      <c r="H15" s="8">
        <v>15</v>
      </c>
      <c r="I15" s="1" t="s">
        <v>21</v>
      </c>
      <c r="J15" s="8" t="str">
        <f>IF(Table1[[#This Row],[Location / Chainage]]="Precast",J14,IF(Table1[[#This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5" s="8" t="str">
        <f>IF(Table1[[#This Row],[Date]]="","",TEXT(Table1[[#This Row],[Date]],"mmm  yy"))</f>
        <v>Dec  25</v>
      </c>
    </row>
    <row r="16" spans="2:11" x14ac:dyDescent="0.3">
      <c r="B16" s="8">
        <f t="shared" si="0"/>
        <v>13</v>
      </c>
      <c r="C16" s="9">
        <v>45995</v>
      </c>
      <c r="D16" s="10">
        <v>13379</v>
      </c>
      <c r="E16" s="1" t="s">
        <v>13</v>
      </c>
      <c r="F16" s="3" t="s">
        <v>10</v>
      </c>
      <c r="G16" s="1" t="s">
        <v>11</v>
      </c>
      <c r="H16" s="8">
        <v>6</v>
      </c>
      <c r="I16" s="1" t="s">
        <v>21</v>
      </c>
      <c r="J16" s="8" t="str">
        <f>IF(Table1[[#This Row],[Location / Chainage]]="Precast",J15,IF(Table1[[#This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6" s="8" t="str">
        <f>IF(Table1[[#This Row],[Date]]="","",TEXT(Table1[[#This Row],[Date]],"mmm  yy"))</f>
        <v>Dec  25</v>
      </c>
    </row>
    <row r="17" spans="2:11" x14ac:dyDescent="0.3">
      <c r="B17" s="8">
        <f t="shared" si="0"/>
        <v>14</v>
      </c>
      <c r="C17" s="9">
        <v>45995</v>
      </c>
      <c r="D17" s="10">
        <v>9330</v>
      </c>
      <c r="E17" s="1" t="s">
        <v>13</v>
      </c>
      <c r="F17" s="3" t="s">
        <v>47</v>
      </c>
      <c r="G17" s="1" t="s">
        <v>11</v>
      </c>
      <c r="H17" s="8">
        <v>6</v>
      </c>
      <c r="I17" s="1" t="s">
        <v>21</v>
      </c>
      <c r="J17" s="8" t="str">
        <f>IF(Table1[[#This Row],[Location / Chainage]]="Precast",J16,IF(Table1[[#This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7" s="8" t="str">
        <f>IF(Table1[[#This Row],[Date]]="","",TEXT(Table1[[#This Row],[Date]],"mmm  yy"))</f>
        <v>Dec  25</v>
      </c>
    </row>
    <row r="18" spans="2:11" x14ac:dyDescent="0.3">
      <c r="B18" s="8">
        <f t="shared" si="0"/>
        <v>15</v>
      </c>
      <c r="C18" s="9">
        <v>45995</v>
      </c>
      <c r="D18" s="10">
        <v>10995</v>
      </c>
      <c r="E18" s="1" t="s">
        <v>13</v>
      </c>
      <c r="F18" s="3" t="s">
        <v>48</v>
      </c>
      <c r="G18" s="1" t="s">
        <v>16</v>
      </c>
      <c r="H18" s="8">
        <v>5</v>
      </c>
      <c r="I18" s="1" t="s">
        <v>21</v>
      </c>
      <c r="J18" s="8" t="str">
        <f>IF(Table1[[#This Row],[Location / Chainage]]="Precast",J17,IF(Table1[[#This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8" s="8" t="str">
        <f>IF(Table1[[#This Row],[Date]]="","",TEXT(Table1[[#This Row],[Date]],"mmm  yy"))</f>
        <v>Dec  25</v>
      </c>
    </row>
    <row r="19" spans="2:11" x14ac:dyDescent="0.3">
      <c r="B19" s="8">
        <f t="shared" si="0"/>
        <v>16</v>
      </c>
      <c r="C19" s="9">
        <v>45995</v>
      </c>
      <c r="D19" s="10">
        <v>8880</v>
      </c>
      <c r="E19" s="1" t="s">
        <v>13</v>
      </c>
      <c r="F19" s="3" t="s">
        <v>49</v>
      </c>
      <c r="G19" s="1" t="s">
        <v>16</v>
      </c>
      <c r="H19" s="8">
        <v>5</v>
      </c>
      <c r="I19" s="1" t="s">
        <v>21</v>
      </c>
      <c r="J19" s="8" t="str">
        <f>IF(Table1[[#This Row],[Location / Chainage]]="Precast",J18,IF(Table1[[#This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9" s="8" t="str">
        <f>IF(Table1[[#This Row],[Date]]="","",TEXT(Table1[[#This Row],[Date]],"mmm  yy"))</f>
        <v>Dec  25</v>
      </c>
    </row>
    <row r="20" spans="2:11" x14ac:dyDescent="0.3">
      <c r="B20" s="8">
        <f t="shared" si="0"/>
        <v>17</v>
      </c>
      <c r="C20" s="9">
        <v>45995</v>
      </c>
      <c r="D20" s="10">
        <v>9155</v>
      </c>
      <c r="E20" s="1" t="s">
        <v>13</v>
      </c>
      <c r="F20" s="3" t="s">
        <v>49</v>
      </c>
      <c r="G20" s="1" t="s">
        <v>16</v>
      </c>
      <c r="H20" s="8">
        <v>7</v>
      </c>
      <c r="I20" s="1" t="s">
        <v>21</v>
      </c>
      <c r="J20" s="8" t="str">
        <f>IF(Table1[[#This Row],[Location / Chainage]]="Precast",J19,IF(Table1[[#This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0" s="8" t="str">
        <f>IF(Table1[[#This Row],[Date]]="","",TEXT(Table1[[#This Row],[Date]],"mmm  yy"))</f>
        <v>Dec  25</v>
      </c>
    </row>
    <row r="21" spans="2:11" x14ac:dyDescent="0.3">
      <c r="B21" s="8">
        <f t="shared" si="0"/>
        <v>18</v>
      </c>
      <c r="C21" s="9">
        <v>45997</v>
      </c>
      <c r="D21" s="10">
        <v>13085</v>
      </c>
      <c r="E21" s="1" t="s">
        <v>13</v>
      </c>
      <c r="F21" s="3" t="s">
        <v>50</v>
      </c>
      <c r="G21" s="1" t="s">
        <v>16</v>
      </c>
      <c r="H21" s="8">
        <v>7</v>
      </c>
      <c r="I21" s="1" t="s">
        <v>21</v>
      </c>
      <c r="J21" s="8" t="str">
        <f>IF(Table1[[#This Row],[Location / Chainage]]="Precast",J20,IF(Table1[[#This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1" s="8" t="str">
        <f>IF(Table1[[#This Row],[Date]]="","",TEXT(Table1[[#This Row],[Date]],"mmm  yy"))</f>
        <v>Dec  25</v>
      </c>
    </row>
    <row r="22" spans="2:11" x14ac:dyDescent="0.3">
      <c r="B22" s="8">
        <f t="shared" si="0"/>
        <v>19</v>
      </c>
      <c r="C22" s="9">
        <v>45997</v>
      </c>
      <c r="D22" s="10">
        <v>9330</v>
      </c>
      <c r="E22" s="1" t="s">
        <v>13</v>
      </c>
      <c r="F22" s="3" t="s">
        <v>51</v>
      </c>
      <c r="G22" s="1" t="s">
        <v>16</v>
      </c>
      <c r="H22" s="8">
        <v>2</v>
      </c>
      <c r="I22" s="1" t="s">
        <v>21</v>
      </c>
      <c r="J22" s="8" t="str">
        <f>IF(Table1[[#This Row],[Location / Chainage]]="Precast",J21,IF(Table1[[#This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2" s="8" t="str">
        <f>IF(Table1[[#This Row],[Date]]="","",TEXT(Table1[[#This Row],[Date]],"mmm  yy"))</f>
        <v>Dec  25</v>
      </c>
    </row>
    <row r="23" spans="2:11" x14ac:dyDescent="0.3">
      <c r="B23" s="8">
        <f t="shared" si="0"/>
        <v>20</v>
      </c>
      <c r="C23" s="9">
        <v>45997</v>
      </c>
      <c r="D23" s="10">
        <v>9155</v>
      </c>
      <c r="E23" s="1" t="s">
        <v>13</v>
      </c>
      <c r="F23" s="3" t="s">
        <v>52</v>
      </c>
      <c r="G23" s="1" t="s">
        <v>16</v>
      </c>
      <c r="H23" s="8">
        <v>37</v>
      </c>
      <c r="I23" s="1" t="s">
        <v>21</v>
      </c>
      <c r="J23" s="8" t="str">
        <f>IF(Table1[[#This Row],[Location / Chainage]]="Precast",J22,IF(Table1[[#This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3" s="8" t="str">
        <f>IF(Table1[[#This Row],[Date]]="","",TEXT(Table1[[#This Row],[Date]],"mmm  yy"))</f>
        <v>Dec  25</v>
      </c>
    </row>
    <row r="24" spans="2:11" x14ac:dyDescent="0.3">
      <c r="B24" s="8">
        <f t="shared" si="0"/>
        <v>21</v>
      </c>
      <c r="C24" s="9">
        <v>45997</v>
      </c>
      <c r="D24" s="10">
        <v>9330</v>
      </c>
      <c r="E24" s="1" t="s">
        <v>13</v>
      </c>
      <c r="F24" s="3" t="s">
        <v>52</v>
      </c>
      <c r="G24" s="1" t="s">
        <v>11</v>
      </c>
      <c r="H24" s="8">
        <v>6</v>
      </c>
      <c r="I24" s="1" t="s">
        <v>21</v>
      </c>
      <c r="J24" s="8" t="str">
        <f>IF(Table1[[#This Row],[Location / Chainage]]="Precast",J23,IF(Table1[[#This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4" s="8" t="str">
        <f>IF(Table1[[#This Row],[Date]]="","",TEXT(Table1[[#This Row],[Date]],"mmm  yy"))</f>
        <v>Dec  25</v>
      </c>
    </row>
    <row r="25" spans="2:11" x14ac:dyDescent="0.3">
      <c r="B25" s="8">
        <f t="shared" si="0"/>
        <v>22</v>
      </c>
      <c r="C25" s="9">
        <v>45998</v>
      </c>
      <c r="D25" s="10">
        <v>9330</v>
      </c>
      <c r="E25" s="1" t="s">
        <v>13</v>
      </c>
      <c r="F25" s="3" t="s">
        <v>47</v>
      </c>
      <c r="G25" s="1" t="s">
        <v>16</v>
      </c>
      <c r="H25" s="8">
        <v>19</v>
      </c>
      <c r="I25" s="1" t="s">
        <v>21</v>
      </c>
      <c r="J25" s="8" t="str">
        <f>IF(Table1[[#This Row],[Location / Chainage]]="Precast",J24,IF(Table1[[#This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5" s="8" t="str">
        <f>IF(Table1[[#This Row],[Date]]="","",TEXT(Table1[[#This Row],[Date]],"mmm  yy"))</f>
        <v>Dec  25</v>
      </c>
    </row>
    <row r="26" spans="2:11" x14ac:dyDescent="0.3">
      <c r="B26" s="8">
        <f t="shared" si="0"/>
        <v>23</v>
      </c>
      <c r="C26" s="9">
        <v>45998</v>
      </c>
      <c r="D26" s="10">
        <v>8880</v>
      </c>
      <c r="E26" s="1" t="s">
        <v>13</v>
      </c>
      <c r="F26" s="3" t="s">
        <v>53</v>
      </c>
      <c r="G26" s="1" t="s">
        <v>16</v>
      </c>
      <c r="H26" s="8">
        <v>1</v>
      </c>
      <c r="I26" s="1" t="s">
        <v>21</v>
      </c>
      <c r="J26" s="8" t="str">
        <f>IF(Table1[[#This Row],[Location / Chainage]]="Precast",J25,IF(Table1[[#This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6" s="8" t="str">
        <f>IF(Table1[[#This Row],[Date]]="","",TEXT(Table1[[#This Row],[Date]],"mmm  yy"))</f>
        <v>Dec  25</v>
      </c>
    </row>
    <row r="27" spans="2:11" x14ac:dyDescent="0.3">
      <c r="B27" s="8">
        <f t="shared" si="0"/>
        <v>24</v>
      </c>
      <c r="C27" s="9">
        <v>45998</v>
      </c>
      <c r="D27" s="10">
        <v>8880</v>
      </c>
      <c r="E27" s="1" t="s">
        <v>13</v>
      </c>
      <c r="F27" s="3" t="s">
        <v>54</v>
      </c>
      <c r="G27" s="1" t="s">
        <v>11</v>
      </c>
      <c r="H27" s="8">
        <v>4</v>
      </c>
      <c r="I27" s="1" t="s">
        <v>21</v>
      </c>
      <c r="J27" s="8" t="str">
        <f>IF(Table1[[#This Row],[Location / Chainage]]="Precast",J26,IF(Table1[[#This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7" s="8" t="str">
        <f>IF(Table1[[#This Row],[Date]]="","",TEXT(Table1[[#This Row],[Date]],"mmm  yy"))</f>
        <v>Dec  25</v>
      </c>
    </row>
    <row r="28" spans="2:11" x14ac:dyDescent="0.3">
      <c r="B28" s="8">
        <f t="shared" si="0"/>
        <v>25</v>
      </c>
      <c r="C28" s="9">
        <v>45998</v>
      </c>
      <c r="D28" s="10">
        <v>9598</v>
      </c>
      <c r="E28" s="1" t="s">
        <v>13</v>
      </c>
      <c r="F28" s="3" t="s">
        <v>47</v>
      </c>
      <c r="G28" s="1" t="s">
        <v>11</v>
      </c>
      <c r="H28" s="8">
        <v>5</v>
      </c>
      <c r="I28" s="1" t="s">
        <v>21</v>
      </c>
      <c r="J28" s="8" t="str">
        <f>IF(Table1[[#This Row],[Location / Chainage]]="Precast",J27,IF(Table1[[#This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8" s="8" t="str">
        <f>IF(Table1[[#This Row],[Date]]="","",TEXT(Table1[[#This Row],[Date]],"mmm  yy"))</f>
        <v>Dec  25</v>
      </c>
    </row>
    <row r="29" spans="2:11" x14ac:dyDescent="0.3">
      <c r="B29" s="8">
        <f t="shared" si="0"/>
        <v>26</v>
      </c>
      <c r="C29" s="9">
        <v>45999</v>
      </c>
      <c r="D29" s="10">
        <v>9155</v>
      </c>
      <c r="E29" s="1" t="s">
        <v>13</v>
      </c>
      <c r="F29" s="3" t="s">
        <v>23</v>
      </c>
      <c r="G29" s="1" t="s">
        <v>16</v>
      </c>
      <c r="H29" s="8">
        <v>2</v>
      </c>
      <c r="I29" s="1" t="s">
        <v>21</v>
      </c>
      <c r="J29" s="8" t="str">
        <f>IF(Table1[[#This Row],[Location / Chainage]]="Precast",J28,IF(Table1[[#This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9" s="8" t="str">
        <f>IF(Table1[[#This Row],[Date]]="","",TEXT(Table1[[#This Row],[Date]],"mmm  yy"))</f>
        <v>Dec  25</v>
      </c>
    </row>
    <row r="30" spans="2:11" x14ac:dyDescent="0.3">
      <c r="B30" s="8">
        <f t="shared" si="0"/>
        <v>27</v>
      </c>
      <c r="C30" s="9">
        <v>45999</v>
      </c>
      <c r="D30" s="10">
        <v>9330</v>
      </c>
      <c r="E30" s="1" t="s">
        <v>13</v>
      </c>
      <c r="F30" s="3" t="s">
        <v>54</v>
      </c>
      <c r="G30" s="1" t="s">
        <v>16</v>
      </c>
      <c r="H30" s="8">
        <v>20</v>
      </c>
      <c r="I30" s="1" t="s">
        <v>21</v>
      </c>
      <c r="J30" s="8" t="str">
        <f>IF(Table1[[#This Row],[Location / Chainage]]="Precast",J29,IF(Table1[[#This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0" s="8" t="str">
        <f>IF(Table1[[#This Row],[Date]]="","",TEXT(Table1[[#This Row],[Date]],"mmm  yy"))</f>
        <v>Dec  25</v>
      </c>
    </row>
    <row r="31" spans="2:11" x14ac:dyDescent="0.3">
      <c r="B31" s="8">
        <f t="shared" si="0"/>
        <v>28</v>
      </c>
      <c r="C31" s="9">
        <v>45999</v>
      </c>
      <c r="D31" s="10">
        <v>9598</v>
      </c>
      <c r="E31" s="1" t="s">
        <v>13</v>
      </c>
      <c r="F31" s="3" t="s">
        <v>54</v>
      </c>
      <c r="G31" s="1" t="s">
        <v>11</v>
      </c>
      <c r="H31" s="8">
        <v>4</v>
      </c>
      <c r="I31" s="1" t="s">
        <v>21</v>
      </c>
      <c r="J31" s="8" t="str">
        <f>IF(Table1[[#This Row],[Location / Chainage]]="Precast",J30,IF(Table1[[#This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1" s="8" t="str">
        <f>IF(Table1[[#This Row],[Date]]="","",TEXT(Table1[[#This Row],[Date]],"mmm  yy"))</f>
        <v>Dec  25</v>
      </c>
    </row>
    <row r="32" spans="2:11" x14ac:dyDescent="0.3">
      <c r="B32" s="8">
        <f t="shared" si="0"/>
        <v>29</v>
      </c>
      <c r="C32" s="9">
        <v>45999</v>
      </c>
      <c r="D32" s="10">
        <v>12532</v>
      </c>
      <c r="E32" s="1" t="s">
        <v>13</v>
      </c>
      <c r="F32" s="3" t="s">
        <v>10</v>
      </c>
      <c r="G32" s="1" t="s">
        <v>11</v>
      </c>
      <c r="H32" s="8">
        <v>4.5</v>
      </c>
      <c r="I32" s="1" t="s">
        <v>21</v>
      </c>
      <c r="J32" s="8" t="str">
        <f>IF(Table1[[#This Row],[Location / Chainage]]="Precast",J31,IF(Table1[[#This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2" s="8" t="str">
        <f>IF(Table1[[#This Row],[Date]]="","",TEXT(Table1[[#This Row],[Date]],"mmm  yy"))</f>
        <v>Dec  25</v>
      </c>
    </row>
    <row r="33" spans="2:11" x14ac:dyDescent="0.3">
      <c r="B33" s="8">
        <f t="shared" si="0"/>
        <v>30</v>
      </c>
      <c r="C33" s="9">
        <v>46000</v>
      </c>
      <c r="D33" s="10">
        <v>8880</v>
      </c>
      <c r="E33" s="1" t="s">
        <v>13</v>
      </c>
      <c r="F33" s="3" t="s">
        <v>55</v>
      </c>
      <c r="G33" s="1" t="s">
        <v>16</v>
      </c>
      <c r="H33" s="8">
        <v>9.5</v>
      </c>
      <c r="I33" s="1" t="s">
        <v>21</v>
      </c>
      <c r="J33" s="8" t="str">
        <f>IF(Table1[[#This Row],[Location / Chainage]]="Precast",J32,IF(Table1[[#This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3" s="8" t="str">
        <f>IF(Table1[[#This Row],[Date]]="","",TEXT(Table1[[#This Row],[Date]],"mmm  yy"))</f>
        <v>Dec  25</v>
      </c>
    </row>
    <row r="34" spans="2:11" x14ac:dyDescent="0.3">
      <c r="B34" s="8">
        <f t="shared" si="0"/>
        <v>31</v>
      </c>
      <c r="C34" s="9">
        <v>46000</v>
      </c>
      <c r="D34" s="10">
        <v>9931</v>
      </c>
      <c r="E34" s="1" t="s">
        <v>13</v>
      </c>
      <c r="F34" s="3" t="s">
        <v>55</v>
      </c>
      <c r="G34" s="1" t="s">
        <v>11</v>
      </c>
      <c r="H34" s="8">
        <v>8</v>
      </c>
      <c r="I34" s="1" t="s">
        <v>21</v>
      </c>
      <c r="J34" s="8" t="str">
        <f>IF(Table1[[#This Row],[Location / Chainage]]="Precast",J33,IF(Table1[[#This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4" s="8" t="str">
        <f>IF(Table1[[#This Row],[Date]]="","",TEXT(Table1[[#This Row],[Date]],"mmm  yy"))</f>
        <v>Dec  25</v>
      </c>
    </row>
    <row r="35" spans="2:11" x14ac:dyDescent="0.3">
      <c r="B35" s="8">
        <f t="shared" si="0"/>
        <v>32</v>
      </c>
      <c r="C35" s="9">
        <v>46000</v>
      </c>
      <c r="D35" s="10">
        <v>9931</v>
      </c>
      <c r="E35" s="1" t="s">
        <v>13</v>
      </c>
      <c r="F35" s="3" t="s">
        <v>56</v>
      </c>
      <c r="G35" s="1" t="s">
        <v>16</v>
      </c>
      <c r="H35" s="8">
        <v>2.5</v>
      </c>
      <c r="I35" s="1" t="s">
        <v>21</v>
      </c>
      <c r="J35" s="8" t="str">
        <f>IF(Table1[[#This Row],[Location / Chainage]]="Precast",J34,IF(Table1[[#This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5" s="8" t="str">
        <f>IF(Table1[[#This Row],[Date]]="","",TEXT(Table1[[#This Row],[Date]],"mmm  yy"))</f>
        <v>Dec  25</v>
      </c>
    </row>
    <row r="36" spans="2:11" x14ac:dyDescent="0.3">
      <c r="B36" s="8">
        <f t="shared" si="0"/>
        <v>33</v>
      </c>
      <c r="C36" s="9">
        <v>46001</v>
      </c>
      <c r="D36" s="10">
        <v>9958</v>
      </c>
      <c r="E36" s="1" t="s">
        <v>13</v>
      </c>
      <c r="F36" s="3" t="s">
        <v>31</v>
      </c>
      <c r="G36" s="1" t="s">
        <v>16</v>
      </c>
      <c r="H36" s="8">
        <v>18</v>
      </c>
      <c r="I36" s="1" t="s">
        <v>21</v>
      </c>
      <c r="J36" s="8" t="str">
        <f>IF(Table1[[#This Row],[Location / Chainage]]="Precast",J35,IF(Table1[[#This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6" s="8" t="str">
        <f>IF(Table1[[#This Row],[Date]]="","",TEXT(Table1[[#This Row],[Date]],"mmm  yy"))</f>
        <v>Dec  25</v>
      </c>
    </row>
    <row r="37" spans="2:11" x14ac:dyDescent="0.3">
      <c r="B37" s="8">
        <f t="shared" si="0"/>
        <v>34</v>
      </c>
      <c r="C37" s="9">
        <v>46001</v>
      </c>
      <c r="D37" s="10">
        <v>8880</v>
      </c>
      <c r="E37" s="1" t="s">
        <v>13</v>
      </c>
      <c r="F37" s="3" t="s">
        <v>23</v>
      </c>
      <c r="G37" s="1" t="s">
        <v>16</v>
      </c>
      <c r="H37" s="8">
        <v>5</v>
      </c>
      <c r="I37" s="1" t="s">
        <v>21</v>
      </c>
      <c r="J37" s="8" t="str">
        <f>IF(Table1[[#This Row],[Location / Chainage]]="Precast",J36,IF(Table1[[#This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7" s="8" t="str">
        <f>IF(Table1[[#This Row],[Date]]="","",TEXT(Table1[[#This Row],[Date]],"mmm  yy"))</f>
        <v>Dec  25</v>
      </c>
    </row>
    <row r="38" spans="2:11" x14ac:dyDescent="0.3">
      <c r="B38" s="8">
        <f t="shared" si="0"/>
        <v>35</v>
      </c>
      <c r="C38" s="9">
        <v>46002</v>
      </c>
      <c r="D38" s="10">
        <v>9598</v>
      </c>
      <c r="E38" s="1" t="s">
        <v>13</v>
      </c>
      <c r="F38" s="3" t="s">
        <v>32</v>
      </c>
      <c r="G38" s="1" t="s">
        <v>16</v>
      </c>
      <c r="H38" s="8">
        <v>10.5</v>
      </c>
      <c r="I38" s="1" t="s">
        <v>21</v>
      </c>
      <c r="J38" s="8" t="str">
        <f>IF(Table1[[#This Row],[Location / Chainage]]="Precast",J37,IF(Table1[[#This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8" s="8" t="str">
        <f>IF(Table1[[#This Row],[Date]]="","",TEXT(Table1[[#This Row],[Date]],"mmm  yy"))</f>
        <v>Dec  25</v>
      </c>
    </row>
    <row r="39" spans="2:11" x14ac:dyDescent="0.3">
      <c r="B39" s="8">
        <f t="shared" si="0"/>
        <v>36</v>
      </c>
      <c r="C39" s="9">
        <v>46002</v>
      </c>
      <c r="D39" s="10">
        <v>9330</v>
      </c>
      <c r="E39" s="1" t="s">
        <v>13</v>
      </c>
      <c r="F39" s="3" t="s">
        <v>49</v>
      </c>
      <c r="G39" s="1" t="s">
        <v>16</v>
      </c>
      <c r="H39" s="8">
        <v>7</v>
      </c>
      <c r="I39" s="1" t="s">
        <v>21</v>
      </c>
      <c r="J39" s="8" t="str">
        <f>IF(Table1[[#This Row],[Location / Chainage]]="Precast",J38,IF(Table1[[#This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9" s="8" t="str">
        <f>IF(Table1[[#This Row],[Date]]="","",TEXT(Table1[[#This Row],[Date]],"mmm  yy"))</f>
        <v>Dec  25</v>
      </c>
    </row>
    <row r="40" spans="2:11" x14ac:dyDescent="0.3">
      <c r="B40" s="8">
        <f t="shared" si="0"/>
        <v>37</v>
      </c>
      <c r="C40" s="9">
        <v>46002</v>
      </c>
      <c r="D40" s="10">
        <v>9598</v>
      </c>
      <c r="E40" s="1" t="s">
        <v>13</v>
      </c>
      <c r="F40" s="3" t="s">
        <v>53</v>
      </c>
      <c r="G40" s="1" t="s">
        <v>16</v>
      </c>
      <c r="H40" s="1">
        <v>1.5</v>
      </c>
      <c r="I40" s="1" t="s">
        <v>21</v>
      </c>
      <c r="J40" s="8" t="str">
        <f>IF(Table1[[#This Row],[Location / Chainage]]="Precast",J39,IF(Table1[[#This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0" s="8" t="str">
        <f>IF(Table1[[#This Row],[Date]]="","",TEXT(Table1[[#This Row],[Date]],"mmm  yy"))</f>
        <v>Dec  25</v>
      </c>
    </row>
    <row r="41" spans="2:11" x14ac:dyDescent="0.3">
      <c r="B41" s="8">
        <f t="shared" si="0"/>
        <v>38</v>
      </c>
      <c r="C41" s="9">
        <v>46002</v>
      </c>
      <c r="D41" s="10">
        <v>11165</v>
      </c>
      <c r="E41" s="1" t="s">
        <v>13</v>
      </c>
      <c r="F41" s="3" t="s">
        <v>25</v>
      </c>
      <c r="G41" s="1" t="s">
        <v>16</v>
      </c>
      <c r="H41" s="8">
        <v>169</v>
      </c>
      <c r="I41" s="1" t="s">
        <v>21</v>
      </c>
      <c r="J41" s="8" t="str">
        <f>IF(Table1[[#This Row],[Location / Chainage]]="Precast",J40,IF(Table1[[#This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1" s="8" t="str">
        <f>IF(Table1[[#This Row],[Date]]="","",TEXT(Table1[[#This Row],[Date]],"mmm  yy"))</f>
        <v>Dec  25</v>
      </c>
    </row>
    <row r="42" spans="2:11" x14ac:dyDescent="0.3">
      <c r="B42" s="8">
        <f t="shared" si="0"/>
        <v>39</v>
      </c>
      <c r="C42" s="9">
        <v>46004</v>
      </c>
      <c r="D42" s="10">
        <v>9330</v>
      </c>
      <c r="E42" s="1" t="s">
        <v>13</v>
      </c>
      <c r="F42" s="3" t="s">
        <v>23</v>
      </c>
      <c r="G42" s="1" t="s">
        <v>16</v>
      </c>
      <c r="H42" s="8">
        <v>7</v>
      </c>
      <c r="I42" s="1" t="s">
        <v>21</v>
      </c>
      <c r="J42" s="8" t="str">
        <f>IF(Table1[[#This Row],[Location / Chainage]]="Precast",J41,IF(Table1[[#This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2" s="8" t="str">
        <f>IF(Table1[[#This Row],[Date]]="","",TEXT(Table1[[#This Row],[Date]],"mmm  yy"))</f>
        <v>Dec  25</v>
      </c>
    </row>
    <row r="43" spans="2:11" x14ac:dyDescent="0.3">
      <c r="B43" s="8">
        <f t="shared" si="0"/>
        <v>40</v>
      </c>
      <c r="C43" s="9">
        <v>46004</v>
      </c>
      <c r="D43" s="10">
        <v>9931</v>
      </c>
      <c r="E43" s="1" t="s">
        <v>13</v>
      </c>
      <c r="F43" s="3" t="s">
        <v>32</v>
      </c>
      <c r="G43" s="1" t="s">
        <v>16</v>
      </c>
      <c r="H43" s="8">
        <v>18</v>
      </c>
      <c r="I43" s="1" t="s">
        <v>21</v>
      </c>
      <c r="J43" s="8" t="str">
        <f>IF(Table1[[#This Row],[Location / Chainage]]="Precast",J42,IF(Table1[[#This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3" s="8" t="str">
        <f>IF(Table1[[#This Row],[Date]]="","",TEXT(Table1[[#This Row],[Date]],"mmm  yy"))</f>
        <v>Dec  25</v>
      </c>
    </row>
    <row r="44" spans="2:11" x14ac:dyDescent="0.3">
      <c r="B44" s="8">
        <f t="shared" si="0"/>
        <v>41</v>
      </c>
      <c r="C44" s="9">
        <v>46004</v>
      </c>
      <c r="D44" s="10">
        <v>12756</v>
      </c>
      <c r="E44" s="1" t="s">
        <v>13</v>
      </c>
      <c r="F44" s="3" t="s">
        <v>25</v>
      </c>
      <c r="G44" s="1" t="s">
        <v>16</v>
      </c>
      <c r="H44" s="8">
        <v>35</v>
      </c>
      <c r="I44" s="1" t="s">
        <v>21</v>
      </c>
      <c r="J44" s="8" t="str">
        <f>IF(Table1[[#This Row],[Location / Chainage]]="Precast",J43,IF(Table1[[#This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4" s="8" t="str">
        <f>IF(Table1[[#This Row],[Date]]="","",TEXT(Table1[[#This Row],[Date]],"mmm  yy"))</f>
        <v>Dec  25</v>
      </c>
    </row>
    <row r="45" spans="2:11" x14ac:dyDescent="0.3">
      <c r="B45" s="8">
        <f t="shared" si="0"/>
        <v>42</v>
      </c>
      <c r="C45" s="9">
        <v>46005</v>
      </c>
      <c r="D45" s="10">
        <v>13620</v>
      </c>
      <c r="E45" s="1" t="s">
        <v>13</v>
      </c>
      <c r="F45" s="3" t="s">
        <v>57</v>
      </c>
      <c r="G45" s="1" t="s">
        <v>16</v>
      </c>
      <c r="H45" s="8">
        <v>69</v>
      </c>
      <c r="I45" s="1" t="s">
        <v>21</v>
      </c>
      <c r="J45" s="8" t="str">
        <f>IF(Table1[[#This Row],[Location / Chainage]]="Precast",J44,IF(Table1[[#This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5" s="8" t="str">
        <f>IF(Table1[[#This Row],[Date]]="","",TEXT(Table1[[#This Row],[Date]],"mmm  yy"))</f>
        <v>Dec  25</v>
      </c>
    </row>
    <row r="46" spans="2:11" x14ac:dyDescent="0.3">
      <c r="B46" s="8">
        <f t="shared" si="0"/>
        <v>43</v>
      </c>
      <c r="C46" s="9">
        <v>46005</v>
      </c>
      <c r="D46" s="10">
        <v>10995</v>
      </c>
      <c r="E46" s="1" t="s">
        <v>13</v>
      </c>
      <c r="F46" s="3" t="s">
        <v>59</v>
      </c>
      <c r="G46" s="1" t="s">
        <v>16</v>
      </c>
      <c r="H46" s="8">
        <v>13</v>
      </c>
      <c r="I46" s="1" t="s">
        <v>21</v>
      </c>
      <c r="J46" s="8" t="str">
        <f>IF(Table1[[#This Row],[Location / Chainage]]="Precast",J45,IF(Table1[[#This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6" s="8" t="str">
        <f>IF(Table1[[#This Row],[Date]]="","",TEXT(Table1[[#This Row],[Date]],"mmm  yy"))</f>
        <v>Dec  25</v>
      </c>
    </row>
    <row r="47" spans="2:11" x14ac:dyDescent="0.3">
      <c r="B47" s="8">
        <f t="shared" si="0"/>
        <v>44</v>
      </c>
      <c r="C47" s="9">
        <v>46005</v>
      </c>
      <c r="D47" s="10">
        <v>1845</v>
      </c>
      <c r="E47" s="1" t="s">
        <v>13</v>
      </c>
      <c r="F47" s="3" t="s">
        <v>58</v>
      </c>
      <c r="G47" s="1" t="s">
        <v>9</v>
      </c>
      <c r="H47" s="8">
        <v>16</v>
      </c>
      <c r="I47" s="1" t="s">
        <v>21</v>
      </c>
      <c r="J47" s="8" t="str">
        <f>IF(Table1[[#This Row],[Location / Chainage]]="Precast",J46,IF(Table1[[#This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7" s="8" t="str">
        <f>IF(Table1[[#This Row],[Date]]="","",TEXT(Table1[[#This Row],[Date]],"mmm  yy"))</f>
        <v>Dec  25</v>
      </c>
    </row>
    <row r="48" spans="2:11" x14ac:dyDescent="0.3">
      <c r="B48" s="8">
        <f t="shared" si="0"/>
        <v>45</v>
      </c>
      <c r="C48" s="9">
        <v>46006</v>
      </c>
      <c r="D48" s="10">
        <v>9598</v>
      </c>
      <c r="E48" s="1" t="s">
        <v>13</v>
      </c>
      <c r="F48" s="3" t="s">
        <v>35</v>
      </c>
      <c r="G48" s="1" t="s">
        <v>16</v>
      </c>
      <c r="H48" s="8">
        <v>12</v>
      </c>
      <c r="I48" s="1" t="s">
        <v>21</v>
      </c>
      <c r="J48" s="8" t="str">
        <f>IF(Table1[[#This Row],[Location / Chainage]]="Precast",J47,IF(Table1[[#This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8" s="8" t="str">
        <f>IF(Table1[[#This Row],[Date]]="","",TEXT(Table1[[#This Row],[Date]],"mmm  yy"))</f>
        <v>Dec  25</v>
      </c>
    </row>
    <row r="49" spans="2:11" x14ac:dyDescent="0.3">
      <c r="B49" s="8">
        <f t="shared" si="0"/>
        <v>46</v>
      </c>
      <c r="C49" s="9">
        <v>46006</v>
      </c>
      <c r="D49" s="10">
        <v>13281</v>
      </c>
      <c r="E49" s="1" t="s">
        <v>13</v>
      </c>
      <c r="F49" s="3" t="s">
        <v>10</v>
      </c>
      <c r="G49" s="1" t="s">
        <v>11</v>
      </c>
      <c r="H49" s="8">
        <v>15</v>
      </c>
      <c r="I49" s="1" t="s">
        <v>21</v>
      </c>
      <c r="J49" s="8" t="str">
        <f>IF(Table1[[#This Row],[Location / Chainage]]="Precast",J48,IF(Table1[[#This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9" s="8" t="str">
        <f>IF(Table1[[#This Row],[Date]]="","",TEXT(Table1[[#This Row],[Date]],"mmm  yy"))</f>
        <v>Dec  25</v>
      </c>
    </row>
    <row r="50" spans="2:11" x14ac:dyDescent="0.3">
      <c r="B50" s="8">
        <f t="shared" si="0"/>
        <v>47</v>
      </c>
      <c r="C50" s="9">
        <v>46006</v>
      </c>
      <c r="D50" s="10">
        <v>8502</v>
      </c>
      <c r="E50" s="1" t="s">
        <v>14</v>
      </c>
      <c r="F50" s="3" t="s">
        <v>60</v>
      </c>
      <c r="G50" s="1" t="s">
        <v>11</v>
      </c>
      <c r="H50" s="8">
        <v>5</v>
      </c>
      <c r="I50" s="1" t="s">
        <v>21</v>
      </c>
      <c r="J50" s="8" t="str">
        <f>IF(Table1[[#This Row],[Location / Chainage]]="Precast",J49,IF(Table1[[#This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50" s="8" t="str">
        <f>IF(Table1[[#This Row],[Date]]="","",TEXT(Table1[[#This Row],[Date]],"mmm  yy"))</f>
        <v>Dec  25</v>
      </c>
    </row>
    <row r="51" spans="2:11" x14ac:dyDescent="0.3">
      <c r="B51" s="8">
        <f t="shared" si="0"/>
        <v>48</v>
      </c>
      <c r="C51" s="9">
        <v>46014</v>
      </c>
      <c r="D51" s="10">
        <v>8057</v>
      </c>
      <c r="E51" s="1" t="s">
        <v>33</v>
      </c>
      <c r="F51" s="3" t="s">
        <v>61</v>
      </c>
      <c r="G51" s="1" t="s">
        <v>62</v>
      </c>
      <c r="H51" s="8">
        <v>17</v>
      </c>
      <c r="I51" s="1" t="s">
        <v>21</v>
      </c>
      <c r="J51" s="8" t="str">
        <f>IF(Table1[[#This Row],[Location / Chainage]]="Precast",J50,IF(Table1[[#This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51" s="8" t="str">
        <f>IF(Table1[[#This Row],[Date]]="","",TEXT(Table1[[#This Row],[Date]],"mmm  yy"))</f>
        <v>Dec  25</v>
      </c>
    </row>
    <row r="52" spans="2:11" x14ac:dyDescent="0.3">
      <c r="B52" s="8">
        <f t="shared" si="0"/>
        <v>49</v>
      </c>
      <c r="C52" s="9">
        <v>46014</v>
      </c>
      <c r="D52" s="10">
        <v>8510</v>
      </c>
      <c r="E52" s="1" t="s">
        <v>14</v>
      </c>
      <c r="F52" s="3" t="s">
        <v>63</v>
      </c>
      <c r="G52" s="1" t="s">
        <v>9</v>
      </c>
      <c r="H52" s="8">
        <v>12</v>
      </c>
      <c r="I52" s="1" t="s">
        <v>21</v>
      </c>
      <c r="J52" s="8" t="str">
        <f>IF(Table1[[#This Row],[Location / Chainage]]="Precast",J51,IF(Table1[[#This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52" s="8" t="str">
        <f>IF(Table1[[#This Row],[Date]]="","",TEXT(Table1[[#This Row],[Date]],"mmm  yy"))</f>
        <v>Dec  25</v>
      </c>
    </row>
    <row r="53" spans="2:11" x14ac:dyDescent="0.3">
      <c r="B53" s="8">
        <f t="shared" si="0"/>
        <v>50</v>
      </c>
      <c r="C53" s="9">
        <v>46014</v>
      </c>
      <c r="D53" s="10">
        <v>8550</v>
      </c>
      <c r="E53" s="1" t="s">
        <v>14</v>
      </c>
      <c r="F53" s="3" t="s">
        <v>66</v>
      </c>
      <c r="G53" s="1" t="s">
        <v>11</v>
      </c>
      <c r="H53" s="8">
        <v>6</v>
      </c>
      <c r="I53" s="1" t="s">
        <v>21</v>
      </c>
      <c r="J53" s="8" t="str">
        <f>IF(Table1[[#This Row],[Location / Chainage]]="Precast",J52,IF(Table1[[#This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53" s="8" t="str">
        <f>IF(Table1[[#This Row],[Date]]="","",TEXT(Table1[[#This Row],[Date]],"mmm  yy"))</f>
        <v>Dec  25</v>
      </c>
    </row>
    <row r="54" spans="2:11" x14ac:dyDescent="0.3">
      <c r="B54" s="8">
        <f t="shared" si="0"/>
        <v>51</v>
      </c>
      <c r="C54" s="9">
        <v>46014</v>
      </c>
      <c r="D54" s="10">
        <v>8300</v>
      </c>
      <c r="E54" s="1" t="s">
        <v>14</v>
      </c>
      <c r="F54" s="3" t="s">
        <v>65</v>
      </c>
      <c r="G54" s="1" t="s">
        <v>11</v>
      </c>
      <c r="H54" s="8">
        <v>5</v>
      </c>
      <c r="I54" s="1" t="s">
        <v>21</v>
      </c>
      <c r="J54" s="8" t="str">
        <f>IF(Table1[[#This Row],[Location / Chainage]]="Precast",J53,IF(Table1[[#This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54" s="8" t="str">
        <f>IF(Table1[[#This Row],[Date]]="","",TEXT(Table1[[#This Row],[Date]],"mmm  yy"))</f>
        <v>Dec  25</v>
      </c>
    </row>
    <row r="55" spans="2:11" x14ac:dyDescent="0.3">
      <c r="B55" s="8">
        <f t="shared" si="0"/>
        <v>52</v>
      </c>
      <c r="C55" s="9">
        <v>46014</v>
      </c>
      <c r="D55" s="10">
        <v>8440</v>
      </c>
      <c r="E55" s="1" t="s">
        <v>14</v>
      </c>
      <c r="F55" s="3" t="s">
        <v>64</v>
      </c>
      <c r="G55" s="1" t="s">
        <v>11</v>
      </c>
      <c r="H55" s="8">
        <v>5.5</v>
      </c>
      <c r="I55" s="1" t="s">
        <v>21</v>
      </c>
      <c r="J55" s="8" t="str">
        <f>IF(Table1[[#This Row],[Location / Chainage]]="Precast",J54,IF(Table1[[#This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55" s="8" t="str">
        <f>IF(Table1[[#This Row],[Date]]="","",TEXT(Table1[[#This Row],[Date]],"mmm  yy"))</f>
        <v>Dec  25</v>
      </c>
    </row>
    <row r="56" spans="2:11" x14ac:dyDescent="0.3">
      <c r="B56" s="8">
        <f t="shared" si="0"/>
        <v>53</v>
      </c>
      <c r="C56" s="9">
        <v>46015</v>
      </c>
      <c r="D56" s="10">
        <v>7580</v>
      </c>
      <c r="E56" s="1" t="s">
        <v>34</v>
      </c>
      <c r="F56" s="3" t="s">
        <v>67</v>
      </c>
      <c r="G56" s="1" t="s">
        <v>11</v>
      </c>
      <c r="H56" s="8">
        <v>1</v>
      </c>
      <c r="I56" s="1" t="s">
        <v>21</v>
      </c>
      <c r="J56" s="8" t="str">
        <f>IF(Table1[[#This Row],[Location / Chainage]]="Precast",J55,IF(Table1[[#This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56" s="8" t="str">
        <f>IF(Table1[[#This Row],[Date]]="","",TEXT(Table1[[#This Row],[Date]],"mmm  yy"))</f>
        <v>Dec  25</v>
      </c>
    </row>
    <row r="57" spans="2:11" x14ac:dyDescent="0.3">
      <c r="B57" s="8">
        <f t="shared" si="0"/>
        <v>54</v>
      </c>
      <c r="C57" s="9">
        <v>46015</v>
      </c>
      <c r="D57" s="10">
        <v>8620</v>
      </c>
      <c r="E57" s="1" t="s">
        <v>34</v>
      </c>
      <c r="F57" s="3" t="s">
        <v>68</v>
      </c>
      <c r="G57" s="1" t="s">
        <v>11</v>
      </c>
      <c r="H57" s="8">
        <v>1</v>
      </c>
      <c r="I57" s="1" t="s">
        <v>21</v>
      </c>
      <c r="J57" s="8" t="str">
        <f>IF(Table1[[#This Row],[Location / Chainage]]="Precast",J56,IF(Table1[[#This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57" s="8" t="str">
        <f>IF(Table1[[#This Row],[Date]]="","",TEXT(Table1[[#This Row],[Date]],"mmm  yy"))</f>
        <v>Dec  25</v>
      </c>
    </row>
    <row r="58" spans="2:11" x14ac:dyDescent="0.3">
      <c r="B58" s="8">
        <f t="shared" si="0"/>
        <v>55</v>
      </c>
      <c r="C58" s="9">
        <v>46015</v>
      </c>
      <c r="D58" s="10">
        <v>8546</v>
      </c>
      <c r="E58" s="1" t="s">
        <v>14</v>
      </c>
      <c r="F58" s="3" t="s">
        <v>72</v>
      </c>
      <c r="G58" s="1" t="s">
        <v>9</v>
      </c>
      <c r="H58" s="8">
        <v>20</v>
      </c>
      <c r="I58" s="1" t="s">
        <v>21</v>
      </c>
      <c r="J58" s="8" t="str">
        <f>IF(Table1[[#This Row],[Location / Chainage]]="Precast",J57,IF(Table1[[#This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58" s="8" t="str">
        <f>IF(Table1[[#This Row],[Date]]="","",TEXT(Table1[[#This Row],[Date]],"mmm  yy"))</f>
        <v>Dec  25</v>
      </c>
    </row>
    <row r="59" spans="2:11" x14ac:dyDescent="0.3">
      <c r="B59" s="8">
        <f t="shared" si="0"/>
        <v>56</v>
      </c>
      <c r="C59" s="9">
        <v>46016</v>
      </c>
      <c r="D59" s="2">
        <v>8578</v>
      </c>
      <c r="E59" s="1" t="s">
        <v>14</v>
      </c>
      <c r="F59" s="3" t="s">
        <v>73</v>
      </c>
      <c r="G59" s="1" t="s">
        <v>9</v>
      </c>
      <c r="H59" s="8">
        <v>11</v>
      </c>
      <c r="I59" s="1" t="s">
        <v>21</v>
      </c>
      <c r="J59" s="8" t="str">
        <f>IF(Table1[[#This Row],[Location / Chainage]]="Precast",J58,IF(Table1[[#This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59" s="8" t="str">
        <f>IF(Table1[[#This Row],[Date]]="","",TEXT(Table1[[#This Row],[Date]],"mmm  yy"))</f>
        <v>Dec  25</v>
      </c>
    </row>
    <row r="60" spans="2:11" x14ac:dyDescent="0.3">
      <c r="B60" s="8">
        <f t="shared" si="0"/>
        <v>57</v>
      </c>
      <c r="C60" s="9">
        <v>46016</v>
      </c>
      <c r="D60" s="10">
        <v>8502</v>
      </c>
      <c r="E60" s="1" t="s">
        <v>14</v>
      </c>
      <c r="F60" s="3" t="s">
        <v>74</v>
      </c>
      <c r="G60" s="1" t="s">
        <v>9</v>
      </c>
      <c r="H60" s="8">
        <v>11</v>
      </c>
      <c r="I60" s="1" t="s">
        <v>21</v>
      </c>
      <c r="J60" s="8" t="str">
        <f>IF(Table1[[#This Row],[Location / Chainage]]="Precast",J59,IF(Table1[[#This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60" s="8" t="str">
        <f>IF(Table1[[#This Row],[Date]]="","",TEXT(Table1[[#This Row],[Date]],"mmm  yy"))</f>
        <v>Dec  25</v>
      </c>
    </row>
    <row r="61" spans="2:11" x14ac:dyDescent="0.3">
      <c r="B61" s="8">
        <f t="shared" si="0"/>
        <v>58</v>
      </c>
      <c r="C61" s="9">
        <v>46016</v>
      </c>
      <c r="D61" s="10">
        <v>12532</v>
      </c>
      <c r="E61" s="1" t="s">
        <v>13</v>
      </c>
      <c r="F61" s="3" t="s">
        <v>69</v>
      </c>
      <c r="G61" s="1" t="s">
        <v>16</v>
      </c>
      <c r="H61" s="8">
        <v>14</v>
      </c>
      <c r="I61" s="1" t="s">
        <v>21</v>
      </c>
      <c r="J61" s="8" t="str">
        <f>IF(Table1[[#This Row],[Location / Chainage]]="Precast",J60,IF(Table1[[#This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61" s="8" t="str">
        <f>IF(Table1[[#This Row],[Date]]="","",TEXT(Table1[[#This Row],[Date]],"mmm  yy"))</f>
        <v>Dec  25</v>
      </c>
    </row>
    <row r="62" spans="2:11" x14ac:dyDescent="0.3">
      <c r="B62" s="8">
        <f t="shared" si="0"/>
        <v>59</v>
      </c>
      <c r="C62" s="9">
        <v>46016</v>
      </c>
      <c r="D62" s="10">
        <v>8120</v>
      </c>
      <c r="E62" s="1" t="s">
        <v>70</v>
      </c>
      <c r="F62" s="3" t="s">
        <v>71</v>
      </c>
      <c r="G62" s="1" t="s">
        <v>11</v>
      </c>
      <c r="H62" s="8">
        <v>3</v>
      </c>
      <c r="I62" s="1" t="s">
        <v>21</v>
      </c>
      <c r="J62" s="8" t="str">
        <f>IF(Table1[[#This Row],[Location / Chainage]]="Precast",J61,IF(Table1[[#This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62" s="8" t="str">
        <f>IF(Table1[[#This Row],[Date]]="","",TEXT(Table1[[#This Row],[Date]],"mmm  yy"))</f>
        <v>Dec  25</v>
      </c>
    </row>
    <row r="63" spans="2:11" x14ac:dyDescent="0.3">
      <c r="B63" s="8">
        <f t="shared" si="0"/>
        <v>60</v>
      </c>
      <c r="C63" s="9">
        <v>46018</v>
      </c>
      <c r="D63" s="10">
        <v>8441</v>
      </c>
      <c r="E63" s="1" t="s">
        <v>14</v>
      </c>
      <c r="F63" s="3" t="s">
        <v>75</v>
      </c>
      <c r="G63" s="1" t="s">
        <v>9</v>
      </c>
      <c r="H63" s="8">
        <v>18</v>
      </c>
      <c r="I63" s="1" t="s">
        <v>21</v>
      </c>
      <c r="J63" s="8" t="str">
        <f>IF(Table1[[#This Row],[Location / Chainage]]="Precast",J62,IF(Table1[[#This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63" s="8" t="str">
        <f>IF(Table1[[#This Row],[Date]]="","",TEXT(Table1[[#This Row],[Date]],"mmm  yy"))</f>
        <v>Dec  25</v>
      </c>
    </row>
    <row r="64" spans="2:11" x14ac:dyDescent="0.3">
      <c r="B64" s="8">
        <f t="shared" si="0"/>
        <v>61</v>
      </c>
      <c r="C64" s="9">
        <v>46018</v>
      </c>
      <c r="D64" s="10">
        <v>8522</v>
      </c>
      <c r="E64" s="1" t="s">
        <v>14</v>
      </c>
      <c r="F64" s="3" t="s">
        <v>76</v>
      </c>
      <c r="G64" s="1" t="s">
        <v>9</v>
      </c>
      <c r="H64" s="8">
        <v>12</v>
      </c>
      <c r="I64" s="1" t="s">
        <v>21</v>
      </c>
      <c r="J64" s="8" t="str">
        <f>IF(Table1[[#This Row],[Location / Chainage]]="Precast",J63,IF(Table1[[#This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64" s="8" t="str">
        <f>IF(Table1[[#This Row],[Date]]="","",TEXT(Table1[[#This Row],[Date]],"mmm  yy"))</f>
        <v>Dec  25</v>
      </c>
    </row>
    <row r="65" spans="2:11" x14ac:dyDescent="0.3">
      <c r="B65" s="8">
        <f t="shared" si="0"/>
        <v>62</v>
      </c>
      <c r="C65" s="9">
        <v>46025</v>
      </c>
      <c r="D65" s="10">
        <v>8558</v>
      </c>
      <c r="E65" s="1" t="s">
        <v>14</v>
      </c>
      <c r="F65" s="3" t="s">
        <v>77</v>
      </c>
      <c r="G65" s="1" t="s">
        <v>9</v>
      </c>
      <c r="H65" s="8">
        <v>13</v>
      </c>
      <c r="I65" s="1" t="s">
        <v>21</v>
      </c>
      <c r="J65" s="8" t="str">
        <f>IF(Table1[[#This Row],[Location / Chainage]]="Precast",J64,IF(Table1[[#This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65" s="8" t="str">
        <f>IF(Table1[[#This Row],[Date]]="","",TEXT(Table1[[#This Row],[Date]],"mmm  yy"))</f>
        <v>Jan  26</v>
      </c>
    </row>
    <row r="66" spans="2:11" x14ac:dyDescent="0.3">
      <c r="B66" s="8">
        <f t="shared" si="0"/>
        <v>63</v>
      </c>
      <c r="C66" s="9">
        <v>46025</v>
      </c>
      <c r="D66" s="10">
        <v>8310</v>
      </c>
      <c r="E66" s="1" t="s">
        <v>14</v>
      </c>
      <c r="F66" s="3" t="s">
        <v>78</v>
      </c>
      <c r="G66" s="1" t="s">
        <v>9</v>
      </c>
      <c r="H66" s="8">
        <v>13</v>
      </c>
      <c r="I66" s="1" t="s">
        <v>21</v>
      </c>
      <c r="J66" s="8" t="str">
        <f>IF(Table1[[#This Row],[Location / Chainage]]="Precast",J65,IF(Table1[[#This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66" s="8" t="str">
        <f>IF(Table1[[#This Row],[Date]]="","",TEXT(Table1[[#This Row],[Date]],"mmm  yy"))</f>
        <v>Jan  26</v>
      </c>
    </row>
    <row r="67" spans="2:11" x14ac:dyDescent="0.3">
      <c r="B67" s="8">
        <f t="shared" si="0"/>
        <v>64</v>
      </c>
      <c r="C67" s="9">
        <v>46025</v>
      </c>
      <c r="D67" s="10">
        <v>13379</v>
      </c>
      <c r="E67" s="1" t="s">
        <v>13</v>
      </c>
      <c r="F67" s="3" t="s">
        <v>79</v>
      </c>
      <c r="G67" s="1" t="s">
        <v>11</v>
      </c>
      <c r="H67" s="8">
        <v>5.5</v>
      </c>
      <c r="I67" s="1" t="s">
        <v>21</v>
      </c>
      <c r="J67" s="8" t="str">
        <f>IF(Table1[[#This Row],[Location / Chainage]]="Precast",J66,IF(Table1[[#This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67" s="8" t="str">
        <f>IF(Table1[[#This Row],[Date]]="","",TEXT(Table1[[#This Row],[Date]],"mmm  yy"))</f>
        <v>Jan  26</v>
      </c>
    </row>
    <row r="68" spans="2:11" x14ac:dyDescent="0.3">
      <c r="B68" s="8">
        <f t="shared" si="0"/>
        <v>65</v>
      </c>
      <c r="C68" s="9">
        <v>46025</v>
      </c>
      <c r="D68" s="2">
        <v>12532</v>
      </c>
      <c r="E68" s="1" t="s">
        <v>13</v>
      </c>
      <c r="F68" s="3" t="s">
        <v>28</v>
      </c>
      <c r="G68" s="1" t="s">
        <v>16</v>
      </c>
      <c r="H68" s="8">
        <v>22</v>
      </c>
      <c r="I68" s="1" t="s">
        <v>21</v>
      </c>
      <c r="J68" s="8" t="str">
        <f>IF(Table1[[#This Row],[Location / Chainage]]="Precast",J67,IF(Table1[[#This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68" s="8" t="str">
        <f>IF(Table1[[#This Row],[Date]]="","",TEXT(Table1[[#This Row],[Date]],"mmm  yy"))</f>
        <v>Jan  26</v>
      </c>
    </row>
    <row r="69" spans="2:11" x14ac:dyDescent="0.3">
      <c r="B69" s="8">
        <f t="shared" si="0"/>
        <v>66</v>
      </c>
      <c r="C69" s="9">
        <v>46026</v>
      </c>
      <c r="D69" s="10">
        <v>1845</v>
      </c>
      <c r="E69" s="1" t="s">
        <v>80</v>
      </c>
      <c r="F69" s="3" t="s">
        <v>85</v>
      </c>
      <c r="G69" s="1" t="s">
        <v>9</v>
      </c>
      <c r="H69" s="8">
        <v>13</v>
      </c>
      <c r="I69" s="1" t="s">
        <v>21</v>
      </c>
      <c r="J69" s="8" t="str">
        <f>IF(Table1[[#This Row],[Location / Chainage]]="Precast",J68,IF(Table1[[#This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69" s="8" t="str">
        <f>IF(Table1[[#This Row],[Date]]="","",TEXT(Table1[[#This Row],[Date]],"mmm  yy"))</f>
        <v>Jan  26</v>
      </c>
    </row>
    <row r="70" spans="2:11" x14ac:dyDescent="0.3">
      <c r="B70" s="8">
        <f t="shared" ref="B70:B133" si="1">1+B69</f>
        <v>67</v>
      </c>
      <c r="C70" s="9">
        <v>46026</v>
      </c>
      <c r="D70" s="10">
        <v>8444</v>
      </c>
      <c r="E70" s="1" t="s">
        <v>14</v>
      </c>
      <c r="F70" s="3" t="s">
        <v>93</v>
      </c>
      <c r="G70" s="1" t="s">
        <v>9</v>
      </c>
      <c r="H70" s="8">
        <v>7</v>
      </c>
      <c r="I70" s="1" t="s">
        <v>21</v>
      </c>
      <c r="J70" s="8" t="str">
        <f>IF(Table1[[#This Row],[Location / Chainage]]="Precast",J69,IF(Table1[[#This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70" s="8" t="str">
        <f>IF(Table1[[#This Row],[Date]]="","",TEXT(Table1[[#This Row],[Date]],"mmm  yy"))</f>
        <v>Jan  26</v>
      </c>
    </row>
    <row r="71" spans="2:11" x14ac:dyDescent="0.3">
      <c r="B71" s="8">
        <f t="shared" si="1"/>
        <v>68</v>
      </c>
      <c r="C71" s="9">
        <v>46026</v>
      </c>
      <c r="D71" s="10">
        <v>8120</v>
      </c>
      <c r="E71" s="1" t="s">
        <v>70</v>
      </c>
      <c r="F71" s="3" t="s">
        <v>81</v>
      </c>
      <c r="G71" s="1" t="s">
        <v>9</v>
      </c>
      <c r="H71" s="8">
        <v>1</v>
      </c>
      <c r="I71" s="1" t="s">
        <v>21</v>
      </c>
      <c r="J71" s="8" t="str">
        <f>IF(Table1[[#This Row],[Location / Chainage]]="Precast",J70,IF(Table1[[#This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71" s="8" t="str">
        <f>IF(Table1[[#This Row],[Date]]="","",TEXT(Table1[[#This Row],[Date]],"mmm  yy"))</f>
        <v>Jan  26</v>
      </c>
    </row>
    <row r="72" spans="2:11" x14ac:dyDescent="0.3">
      <c r="B72" s="8">
        <f t="shared" si="1"/>
        <v>69</v>
      </c>
      <c r="C72" s="9">
        <v>46026</v>
      </c>
      <c r="D72" s="10">
        <v>8570</v>
      </c>
      <c r="E72" s="1" t="s">
        <v>14</v>
      </c>
      <c r="F72" s="3" t="s">
        <v>82</v>
      </c>
      <c r="G72" s="1" t="s">
        <v>9</v>
      </c>
      <c r="H72" s="8">
        <v>8</v>
      </c>
      <c r="I72" s="1" t="s">
        <v>21</v>
      </c>
      <c r="J72" s="8" t="str">
        <f>IF(Table1[[#This Row],[Location / Chainage]]="Precast",J71,IF(Table1[[#This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72" s="8" t="str">
        <f>IF(Table1[[#This Row],[Date]]="","",TEXT(Table1[[#This Row],[Date]],"mmm  yy"))</f>
        <v>Jan  26</v>
      </c>
    </row>
    <row r="73" spans="2:11" x14ac:dyDescent="0.3">
      <c r="B73" s="8">
        <f t="shared" si="1"/>
        <v>70</v>
      </c>
      <c r="C73" s="9">
        <v>46027</v>
      </c>
      <c r="D73" s="2">
        <v>9931</v>
      </c>
      <c r="E73" s="1" t="s">
        <v>13</v>
      </c>
      <c r="F73" s="3" t="s">
        <v>23</v>
      </c>
      <c r="G73" s="1" t="s">
        <v>16</v>
      </c>
      <c r="H73" s="1">
        <v>6</v>
      </c>
      <c r="I73" s="1" t="s">
        <v>21</v>
      </c>
      <c r="J73" s="1" t="str">
        <f>IF(Table1[[#This Row],[Location / Chainage]]="Precast",J72,IF(Table1[[#This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73" s="1" t="str">
        <f>IF(Table1[[#This Row],[Date]]="","",TEXT(Table1[[#This Row],[Date]],"mmm  yy"))</f>
        <v>Jan  26</v>
      </c>
    </row>
    <row r="74" spans="2:11" x14ac:dyDescent="0.3">
      <c r="B74" s="8">
        <f t="shared" si="1"/>
        <v>71</v>
      </c>
      <c r="C74" s="9">
        <v>46027</v>
      </c>
      <c r="D74" s="2">
        <v>9931</v>
      </c>
      <c r="E74" s="1" t="s">
        <v>13</v>
      </c>
      <c r="F74" s="3" t="s">
        <v>83</v>
      </c>
      <c r="G74" s="1" t="s">
        <v>16</v>
      </c>
      <c r="H74" s="1">
        <v>10.5</v>
      </c>
      <c r="I74" s="1" t="s">
        <v>21</v>
      </c>
      <c r="J74" s="8" t="str">
        <f>IF(Table1[[#This Row],[Location / Chainage]]="Precast",J73,IF(Table1[[#This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74" s="8" t="str">
        <f>IF(Table1[[#This Row],[Date]]="","",TEXT(Table1[[#This Row],[Date]],"mmm  yy"))</f>
        <v>Jan  26</v>
      </c>
    </row>
    <row r="75" spans="2:11" x14ac:dyDescent="0.3">
      <c r="B75" s="8">
        <f t="shared" si="1"/>
        <v>72</v>
      </c>
      <c r="C75" s="9">
        <v>46027</v>
      </c>
      <c r="D75" s="10">
        <v>1845</v>
      </c>
      <c r="E75" s="1" t="s">
        <v>80</v>
      </c>
      <c r="F75" s="3" t="s">
        <v>84</v>
      </c>
      <c r="G75" s="8" t="s">
        <v>9</v>
      </c>
      <c r="H75" s="8">
        <v>13.5</v>
      </c>
      <c r="I75" s="1" t="s">
        <v>21</v>
      </c>
      <c r="J75" s="1" t="str">
        <f>IF(Table1[[#This Row],[Location / Chainage]]="Precast",J74,IF(Table1[[#This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75" s="1" t="str">
        <f>IF(Table1[[#This Row],[Date]]="","",TEXT(Table1[[#This Row],[Date]],"mmm  yy"))</f>
        <v>Jan  26</v>
      </c>
    </row>
    <row r="76" spans="2:11" x14ac:dyDescent="0.3">
      <c r="B76" s="8">
        <f t="shared" si="1"/>
        <v>73</v>
      </c>
      <c r="C76" s="9">
        <v>46027</v>
      </c>
      <c r="D76" s="2">
        <v>8456</v>
      </c>
      <c r="E76" s="1" t="s">
        <v>14</v>
      </c>
      <c r="F76" s="3" t="s">
        <v>94</v>
      </c>
      <c r="G76" s="1" t="s">
        <v>9</v>
      </c>
      <c r="H76" s="8">
        <v>13</v>
      </c>
      <c r="I76" s="1" t="s">
        <v>21</v>
      </c>
      <c r="J76" s="8" t="str">
        <f>IF(Table1[[#This Row],[Location / Chainage]]="Precast",J75,IF(Table1[[#This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76" s="8" t="str">
        <f>IF(Table1[[#This Row],[Date]]="","",TEXT(Table1[[#This Row],[Date]],"mmm  yy"))</f>
        <v>Jan  26</v>
      </c>
    </row>
    <row r="77" spans="2:11" x14ac:dyDescent="0.3">
      <c r="B77" s="8">
        <f t="shared" si="1"/>
        <v>74</v>
      </c>
      <c r="C77" s="9">
        <v>46031</v>
      </c>
      <c r="D77" s="12">
        <v>13085</v>
      </c>
      <c r="E77" s="1" t="s">
        <v>13</v>
      </c>
      <c r="F77" s="3" t="s">
        <v>86</v>
      </c>
      <c r="G77" s="1" t="s">
        <v>16</v>
      </c>
      <c r="H77" s="11">
        <v>10</v>
      </c>
      <c r="I77" s="1" t="s">
        <v>21</v>
      </c>
      <c r="J77" s="8" t="str">
        <f>IF(Table1[[#This Row],[Location / Chainage]]="Precast",J76,IF(Table1[[#This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77" s="8" t="str">
        <f>IF(Table1[[#This Row],[Date]]="","",TEXT(Table1[[#This Row],[Date]],"mmm  yy"))</f>
        <v>Jan  26</v>
      </c>
    </row>
    <row r="78" spans="2:11" x14ac:dyDescent="0.3">
      <c r="B78" s="8">
        <f t="shared" si="1"/>
        <v>75</v>
      </c>
      <c r="C78" s="9">
        <v>46031</v>
      </c>
      <c r="D78" s="12">
        <v>13379</v>
      </c>
      <c r="E78" s="1" t="s">
        <v>13</v>
      </c>
      <c r="F78" s="3" t="s">
        <v>38</v>
      </c>
      <c r="G78" s="1" t="s">
        <v>16</v>
      </c>
      <c r="H78" s="11">
        <v>11</v>
      </c>
      <c r="I78" s="1" t="s">
        <v>21</v>
      </c>
      <c r="J78" s="8" t="str">
        <f>IF(Table1[[#This Row],[Location / Chainage]]="Precast",J77,IF(Table1[[#This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78" s="8" t="str">
        <f>IF(Table1[[#This Row],[Date]]="","",TEXT(Table1[[#This Row],[Date]],"mmm  yy"))</f>
        <v>Jan  26</v>
      </c>
    </row>
    <row r="79" spans="2:11" x14ac:dyDescent="0.3">
      <c r="B79" s="8">
        <f t="shared" si="1"/>
        <v>76</v>
      </c>
      <c r="C79" s="9">
        <v>46031</v>
      </c>
      <c r="D79" s="12">
        <v>13620</v>
      </c>
      <c r="E79" s="1" t="s">
        <v>13</v>
      </c>
      <c r="F79" s="3" t="s">
        <v>87</v>
      </c>
      <c r="G79" s="1" t="s">
        <v>16</v>
      </c>
      <c r="H79" s="11">
        <v>69</v>
      </c>
      <c r="I79" s="1" t="s">
        <v>21</v>
      </c>
      <c r="J79" s="8" t="str">
        <f>IF(Table1[[#This Row],[Location / Chainage]]="Precast",J78,IF(Table1[[#This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79" s="8" t="str">
        <f>IF(Table1[[#This Row],[Date]]="","",TEXT(Table1[[#This Row],[Date]],"mmm  yy"))</f>
        <v>Jan  26</v>
      </c>
    </row>
    <row r="80" spans="2:11" x14ac:dyDescent="0.3">
      <c r="B80" s="8">
        <f t="shared" si="1"/>
        <v>77</v>
      </c>
      <c r="C80" s="9">
        <v>46032</v>
      </c>
      <c r="D80" s="12">
        <v>3894</v>
      </c>
      <c r="E80" s="1" t="s">
        <v>29</v>
      </c>
      <c r="F80" s="3" t="s">
        <v>88</v>
      </c>
      <c r="G80" s="1" t="s">
        <v>9</v>
      </c>
      <c r="H80" s="11">
        <v>5</v>
      </c>
      <c r="I80" s="1" t="s">
        <v>21</v>
      </c>
      <c r="J80" s="8" t="str">
        <f>IF(Table1[[#This Row],[Location / Chainage]]="Precast",J79,IF(Table1[[#This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80" s="8" t="str">
        <f>IF(Table1[[#This Row],[Date]]="","",TEXT(Table1[[#This Row],[Date]],"mmm  yy"))</f>
        <v>Jan  26</v>
      </c>
    </row>
    <row r="81" spans="2:11" x14ac:dyDescent="0.3">
      <c r="B81" s="8">
        <f t="shared" si="1"/>
        <v>78</v>
      </c>
      <c r="C81" s="9">
        <v>46032</v>
      </c>
      <c r="D81" s="12">
        <v>3888</v>
      </c>
      <c r="E81" s="1" t="s">
        <v>29</v>
      </c>
      <c r="F81" s="3" t="s">
        <v>89</v>
      </c>
      <c r="G81" s="1" t="s">
        <v>9</v>
      </c>
      <c r="H81" s="11">
        <v>5.5</v>
      </c>
      <c r="I81" s="1" t="s">
        <v>21</v>
      </c>
      <c r="J81" s="8" t="str">
        <f>IF(Table1[[#This Row],[Location / Chainage]]="Precast",J80,IF(Table1[[#This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81" s="8" t="str">
        <f>IF(Table1[[#This Row],[Date]]="","",TEXT(Table1[[#This Row],[Date]],"mmm  yy"))</f>
        <v>Jan  26</v>
      </c>
    </row>
    <row r="82" spans="2:11" x14ac:dyDescent="0.3">
      <c r="B82" s="8">
        <f t="shared" si="1"/>
        <v>79</v>
      </c>
      <c r="C82" s="9">
        <v>46033</v>
      </c>
      <c r="D82" s="2">
        <v>11997</v>
      </c>
      <c r="E82" s="1" t="s">
        <v>13</v>
      </c>
      <c r="F82" s="3" t="s">
        <v>28</v>
      </c>
      <c r="G82" s="1" t="s">
        <v>16</v>
      </c>
      <c r="H82" s="8">
        <v>134</v>
      </c>
      <c r="I82" s="1" t="s">
        <v>21</v>
      </c>
      <c r="J82" s="8" t="str">
        <f>IF(Table1[[#This Row],[Location / Chainage]]="Precast",J81,IF(Table1[[#This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82" s="8" t="str">
        <f>IF(Table1[[#This Row],[Date]]="","",TEXT(Table1[[#This Row],[Date]],"mmm  yy"))</f>
        <v>Jan  26</v>
      </c>
    </row>
    <row r="83" spans="2:11" x14ac:dyDescent="0.3">
      <c r="B83" s="8">
        <f t="shared" si="1"/>
        <v>80</v>
      </c>
      <c r="C83" s="9">
        <v>46034</v>
      </c>
      <c r="D83" s="12">
        <v>8329</v>
      </c>
      <c r="E83" s="1" t="s">
        <v>14</v>
      </c>
      <c r="F83" s="3" t="s">
        <v>90</v>
      </c>
      <c r="G83" s="1" t="s">
        <v>9</v>
      </c>
      <c r="H83" s="11">
        <v>7</v>
      </c>
      <c r="I83" s="1" t="s">
        <v>21</v>
      </c>
      <c r="J83" s="8" t="str">
        <f>IF(Table1[[#This Row],[Location / Chainage]]="Precast",J82,IF(Table1[[#This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83" s="8" t="str">
        <f>IF(Table1[[#This Row],[Date]]="","",TEXT(Table1[[#This Row],[Date]],"mmm  yy"))</f>
        <v>Jan  26</v>
      </c>
    </row>
    <row r="84" spans="2:11" x14ac:dyDescent="0.3">
      <c r="B84" s="8">
        <f t="shared" si="1"/>
        <v>81</v>
      </c>
      <c r="C84" s="9">
        <v>46034</v>
      </c>
      <c r="D84" s="12">
        <v>8311</v>
      </c>
      <c r="E84" s="1" t="s">
        <v>14</v>
      </c>
      <c r="F84" s="3" t="s">
        <v>91</v>
      </c>
      <c r="G84" s="1" t="s">
        <v>9</v>
      </c>
      <c r="H84" s="1">
        <v>3.5</v>
      </c>
      <c r="I84" s="1" t="s">
        <v>21</v>
      </c>
      <c r="J84" s="8" t="str">
        <f>IF(Table1[[#This Row],[Location / Chainage]]="Precast",J83,IF(Table1[[#This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84" s="8" t="str">
        <f>IF(Table1[[#This Row],[Date]]="","",TEXT(Table1[[#This Row],[Date]],"mmm  yy"))</f>
        <v>Jan  26</v>
      </c>
    </row>
    <row r="85" spans="2:11" x14ac:dyDescent="0.3">
      <c r="B85" s="8">
        <f t="shared" si="1"/>
        <v>82</v>
      </c>
      <c r="C85" s="9">
        <v>46034</v>
      </c>
      <c r="D85" s="12">
        <v>8252</v>
      </c>
      <c r="E85" s="1" t="s">
        <v>33</v>
      </c>
      <c r="F85" s="3" t="s">
        <v>92</v>
      </c>
      <c r="G85" s="1" t="s">
        <v>11</v>
      </c>
      <c r="H85" s="11">
        <v>13</v>
      </c>
      <c r="I85" s="1" t="s">
        <v>21</v>
      </c>
      <c r="J85" s="8" t="str">
        <f>IF(Table1[[#This Row],[Location / Chainage]]="Precast",J84,IF(Table1[[#This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85" s="8" t="str">
        <f>IF(Table1[[#This Row],[Date]]="","",TEXT(Table1[[#This Row],[Date]],"mmm  yy"))</f>
        <v>Jan  26</v>
      </c>
    </row>
    <row r="86" spans="2:11" x14ac:dyDescent="0.3">
      <c r="B86" s="8">
        <f t="shared" si="1"/>
        <v>83</v>
      </c>
      <c r="C86" s="9">
        <v>46034</v>
      </c>
      <c r="D86" s="12">
        <v>7575</v>
      </c>
      <c r="E86" s="1" t="s">
        <v>14</v>
      </c>
      <c r="F86" s="3" t="s">
        <v>95</v>
      </c>
      <c r="G86" s="1" t="s">
        <v>11</v>
      </c>
      <c r="H86" s="11">
        <v>13</v>
      </c>
      <c r="I86" s="1" t="s">
        <v>21</v>
      </c>
      <c r="J86" s="8" t="str">
        <f>IF(Table1[[#This Row],[Location / Chainage]]="Precast",J85,IF(Table1[[#This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86" s="8" t="str">
        <f>IF(Table1[[#This Row],[Date]]="","",TEXT(Table1[[#This Row],[Date]],"mmm  yy"))</f>
        <v>Jan  26</v>
      </c>
    </row>
    <row r="87" spans="2:11" x14ac:dyDescent="0.3">
      <c r="B87" s="8">
        <f t="shared" si="1"/>
        <v>84</v>
      </c>
      <c r="C87" s="9">
        <v>46034</v>
      </c>
      <c r="D87" s="7">
        <v>8185</v>
      </c>
      <c r="E87" s="1" t="s">
        <v>33</v>
      </c>
      <c r="F87" s="3" t="s">
        <v>96</v>
      </c>
      <c r="G87" s="1" t="s">
        <v>11</v>
      </c>
      <c r="H87" s="11">
        <v>14</v>
      </c>
      <c r="I87" s="1" t="s">
        <v>21</v>
      </c>
      <c r="J87" s="8" t="str">
        <f>IF(Table1[[#This Row],[Location / Chainage]]="Precast",J86,IF(Table1[[#This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87" s="8" t="str">
        <f>IF(Table1[[#This Row],[Date]]="","",TEXT(Table1[[#This Row],[Date]],"mmm  yy"))</f>
        <v>Jan  26</v>
      </c>
    </row>
    <row r="88" spans="2:11" x14ac:dyDescent="0.3">
      <c r="B88" s="8">
        <f t="shared" si="1"/>
        <v>85</v>
      </c>
      <c r="C88" s="9">
        <v>46035</v>
      </c>
      <c r="D88" s="6">
        <v>7610</v>
      </c>
      <c r="E88" s="1" t="s">
        <v>14</v>
      </c>
      <c r="F88" s="3" t="s">
        <v>97</v>
      </c>
      <c r="G88" s="1" t="s">
        <v>11</v>
      </c>
      <c r="H88" s="1">
        <v>7</v>
      </c>
      <c r="I88" s="1" t="s">
        <v>21</v>
      </c>
      <c r="J88" s="8" t="str">
        <f>IF(Table1[[#This Row],[Location / Chainage]]="Precast",J87,IF(Table1[[#This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88" s="8" t="str">
        <f>IF(Table1[[#This Row],[Date]]="","",TEXT(Table1[[#This Row],[Date]],"mmm  yy"))</f>
        <v>Jan  26</v>
      </c>
    </row>
    <row r="89" spans="2:11" x14ac:dyDescent="0.3">
      <c r="B89" s="8">
        <f t="shared" si="1"/>
        <v>86</v>
      </c>
      <c r="C89" s="13">
        <v>46035</v>
      </c>
      <c r="D89" s="7">
        <v>9220</v>
      </c>
      <c r="E89" s="1" t="s">
        <v>70</v>
      </c>
      <c r="F89" s="3" t="s">
        <v>98</v>
      </c>
      <c r="G89" s="1" t="s">
        <v>11</v>
      </c>
      <c r="H89" s="1">
        <v>3</v>
      </c>
      <c r="I89" s="1" t="s">
        <v>21</v>
      </c>
      <c r="J89" s="8" t="str">
        <f>IF(Table1[[#This Row],[Location / Chainage]]="Precast",J88,IF(Table1[[#This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89" s="8" t="str">
        <f>IF(Table1[[#This Row],[Date]]="","",TEXT(Table1[[#This Row],[Date]],"mmm  yy"))</f>
        <v>Jan  26</v>
      </c>
    </row>
    <row r="90" spans="2:11" x14ac:dyDescent="0.3">
      <c r="B90" s="8">
        <f t="shared" si="1"/>
        <v>87</v>
      </c>
      <c r="C90" s="9">
        <v>46035</v>
      </c>
      <c r="D90" s="12">
        <v>8317</v>
      </c>
      <c r="E90" s="1" t="s">
        <v>14</v>
      </c>
      <c r="F90" s="3" t="s">
        <v>99</v>
      </c>
      <c r="G90" s="1" t="s">
        <v>9</v>
      </c>
      <c r="H90" s="11">
        <v>7</v>
      </c>
      <c r="I90" s="1" t="s">
        <v>21</v>
      </c>
      <c r="J90" s="8" t="str">
        <f>IF(Table1[[#This Row],[Location / Chainage]]="Precast",J89,IF(Table1[[#This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90" s="8" t="str">
        <f>IF(Table1[[#This Row],[Date]]="","",TEXT(Table1[[#This Row],[Date]],"mmm  yy"))</f>
        <v>Jan  26</v>
      </c>
    </row>
    <row r="91" spans="2:11" x14ac:dyDescent="0.3">
      <c r="B91" s="8">
        <f t="shared" si="1"/>
        <v>88</v>
      </c>
      <c r="C91" s="9">
        <v>46035</v>
      </c>
      <c r="D91" s="12">
        <v>8185</v>
      </c>
      <c r="E91" s="1" t="s">
        <v>33</v>
      </c>
      <c r="F91" s="3" t="s">
        <v>100</v>
      </c>
      <c r="G91" s="1" t="s">
        <v>9</v>
      </c>
      <c r="H91" s="11">
        <v>11</v>
      </c>
      <c r="I91" s="1" t="s">
        <v>21</v>
      </c>
      <c r="J91" s="8" t="str">
        <f>IF(Table1[[#This Row],[Location / Chainage]]="Precast",J90,IF(Table1[[#This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91" s="8" t="str">
        <f>IF(Table1[[#This Row],[Date]]="","",TEXT(Table1[[#This Row],[Date]],"mmm  yy"))</f>
        <v>Jan  26</v>
      </c>
    </row>
    <row r="92" spans="2:11" x14ac:dyDescent="0.3">
      <c r="B92" s="8">
        <f t="shared" si="1"/>
        <v>89</v>
      </c>
      <c r="C92" s="9">
        <v>46036</v>
      </c>
      <c r="D92" s="2">
        <v>7575</v>
      </c>
      <c r="E92" s="1" t="s">
        <v>14</v>
      </c>
      <c r="F92" s="3" t="s">
        <v>101</v>
      </c>
      <c r="G92" s="1" t="s">
        <v>9</v>
      </c>
      <c r="H92" s="1">
        <v>20</v>
      </c>
      <c r="I92" s="1" t="s">
        <v>21</v>
      </c>
      <c r="J92" s="8" t="str">
        <f>IF(Table1[[#This Row],[Location / Chainage]]="Precast",J91,IF(Table1[[#This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92" s="8" t="str">
        <f>IF(Table1[[#This Row],[Date]]="","",TEXT(Table1[[#This Row],[Date]],"mmm  yy"))</f>
        <v>Jan  26</v>
      </c>
    </row>
    <row r="93" spans="2:11" x14ac:dyDescent="0.3">
      <c r="B93" s="8">
        <f t="shared" si="1"/>
        <v>90</v>
      </c>
      <c r="C93" s="9">
        <v>46036</v>
      </c>
      <c r="D93" s="12">
        <v>8845</v>
      </c>
      <c r="E93" s="1" t="s">
        <v>14</v>
      </c>
      <c r="F93" s="3" t="s">
        <v>102</v>
      </c>
      <c r="G93" s="1" t="s">
        <v>11</v>
      </c>
      <c r="H93" s="11">
        <v>6</v>
      </c>
      <c r="I93" s="1" t="s">
        <v>21</v>
      </c>
      <c r="J93" s="8" t="str">
        <f>IF(Table1[[#This Row],[Location / Chainage]]="Precast",J92,IF(Table1[[#This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93" s="8" t="str">
        <f>IF(Table1[[#This Row],[Date]]="","",TEXT(Table1[[#This Row],[Date]],"mmm  yy"))</f>
        <v>Jan  26</v>
      </c>
    </row>
    <row r="94" spans="2:11" x14ac:dyDescent="0.3">
      <c r="B94" s="8">
        <f t="shared" si="1"/>
        <v>91</v>
      </c>
      <c r="C94" s="9">
        <v>46037</v>
      </c>
      <c r="D94" s="12">
        <v>1845</v>
      </c>
      <c r="E94" s="1" t="s">
        <v>80</v>
      </c>
      <c r="F94" s="3" t="s">
        <v>103</v>
      </c>
      <c r="G94" s="1" t="s">
        <v>9</v>
      </c>
      <c r="H94" s="11">
        <v>14</v>
      </c>
      <c r="I94" s="1" t="s">
        <v>21</v>
      </c>
      <c r="J94" s="8" t="str">
        <f>IF(Table1[[#This Row],[Location / Chainage]]="Precast",J93,IF(Table1[[#This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94" s="8" t="str">
        <f>IF(Table1[[#This Row],[Date]]="","",TEXT(Table1[[#This Row],[Date]],"mmm  yy"))</f>
        <v>Jan  26</v>
      </c>
    </row>
    <row r="95" spans="2:11" x14ac:dyDescent="0.3">
      <c r="B95" s="8">
        <f t="shared" si="1"/>
        <v>92</v>
      </c>
      <c r="C95" s="9">
        <v>46037</v>
      </c>
      <c r="D95" s="12">
        <v>1845</v>
      </c>
      <c r="E95" s="1" t="s">
        <v>80</v>
      </c>
      <c r="F95" s="3" t="s">
        <v>103</v>
      </c>
      <c r="G95" s="1" t="s">
        <v>9</v>
      </c>
      <c r="H95" s="11">
        <v>13</v>
      </c>
      <c r="I95" s="1" t="s">
        <v>21</v>
      </c>
      <c r="J95" s="8" t="str">
        <f>IF(Table1[[#This Row],[Location / Chainage]]="Precast",J94,IF(Table1[[#This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95" s="8" t="str">
        <f>IF(Table1[[#This Row],[Date]]="","",TEXT(Table1[[#This Row],[Date]],"mmm  yy"))</f>
        <v>Jan  26</v>
      </c>
    </row>
    <row r="96" spans="2:11" x14ac:dyDescent="0.3">
      <c r="B96" s="8">
        <f t="shared" si="1"/>
        <v>93</v>
      </c>
      <c r="C96" s="9">
        <v>46037</v>
      </c>
      <c r="D96" s="12">
        <v>8885</v>
      </c>
      <c r="E96" s="1" t="s">
        <v>14</v>
      </c>
      <c r="F96" s="3" t="s">
        <v>104</v>
      </c>
      <c r="G96" s="1" t="s">
        <v>11</v>
      </c>
      <c r="H96" s="11">
        <v>10</v>
      </c>
      <c r="I96" s="1" t="s">
        <v>21</v>
      </c>
      <c r="J96" s="8" t="str">
        <f>IF(Table1[[#This Row],[Location / Chainage]]="Precast",J95,IF(Table1[[#This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96" s="8" t="str">
        <f>IF(Table1[[#This Row],[Date]]="","",TEXT(Table1[[#This Row],[Date]],"mmm  yy"))</f>
        <v>Jan  26</v>
      </c>
    </row>
    <row r="97" spans="2:11" x14ac:dyDescent="0.3">
      <c r="B97" s="8">
        <f t="shared" si="1"/>
        <v>94</v>
      </c>
      <c r="C97" s="9">
        <v>46037</v>
      </c>
      <c r="D97" s="12">
        <v>13276</v>
      </c>
      <c r="E97" s="1" t="s">
        <v>13</v>
      </c>
      <c r="F97" s="3" t="s">
        <v>10</v>
      </c>
      <c r="G97" s="1" t="s">
        <v>11</v>
      </c>
      <c r="H97" s="11">
        <v>10</v>
      </c>
      <c r="I97" s="1" t="s">
        <v>21</v>
      </c>
      <c r="J97" s="11" t="str">
        <f>IF(Table1[[#This Row],[Location / Chainage]]="Precast",J96,IF(Table1[[#This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97" s="11" t="str">
        <f>IF(Table1[[#This Row],[Date]]="","",TEXT(Table1[[#This Row],[Date]],"mmm  yy"))</f>
        <v>Jan  26</v>
      </c>
    </row>
    <row r="98" spans="2:11" x14ac:dyDescent="0.3">
      <c r="B98" s="8">
        <f t="shared" si="1"/>
        <v>95</v>
      </c>
      <c r="C98" s="9">
        <v>46038</v>
      </c>
      <c r="D98" s="12">
        <v>7597</v>
      </c>
      <c r="E98" s="1" t="s">
        <v>14</v>
      </c>
      <c r="F98" s="3" t="s">
        <v>117</v>
      </c>
      <c r="G98" s="1" t="s">
        <v>9</v>
      </c>
      <c r="H98" s="11">
        <v>13</v>
      </c>
      <c r="I98" s="1" t="s">
        <v>21</v>
      </c>
      <c r="J98" s="8" t="str">
        <f>IF(Table1[[#This Row],[Location / Chainage]]="Precast",J96,IF(Table1[[#This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98" s="8" t="str">
        <f>IF(Table1[[#This Row],[Date]]="","",TEXT(Table1[[#This Row],[Date]],"mmm  yy"))</f>
        <v>Jan  26</v>
      </c>
    </row>
    <row r="99" spans="2:11" x14ac:dyDescent="0.3">
      <c r="B99" s="8">
        <f t="shared" si="1"/>
        <v>96</v>
      </c>
      <c r="C99" s="9">
        <v>46038</v>
      </c>
      <c r="D99" s="2">
        <v>12756</v>
      </c>
      <c r="E99" s="1" t="s">
        <v>13</v>
      </c>
      <c r="F99" s="3" t="s">
        <v>10</v>
      </c>
      <c r="G99" s="1" t="s">
        <v>11</v>
      </c>
      <c r="H99" s="1">
        <v>6</v>
      </c>
      <c r="I99" s="1" t="s">
        <v>21</v>
      </c>
      <c r="J99" s="8" t="str">
        <f>IF(Table1[[#This Row],[Location / Chainage]]="Precast",J98,IF(Table1[[#This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99" s="8" t="str">
        <f>IF(Table1[[#This Row],[Date]]="","",TEXT(Table1[[#This Row],[Date]],"mmm  yy"))</f>
        <v>Jan  26</v>
      </c>
    </row>
    <row r="100" spans="2:11" x14ac:dyDescent="0.3">
      <c r="B100" s="8">
        <f t="shared" si="1"/>
        <v>97</v>
      </c>
      <c r="C100" s="9">
        <v>46039</v>
      </c>
      <c r="D100" s="2">
        <v>8881</v>
      </c>
      <c r="E100" s="1" t="s">
        <v>14</v>
      </c>
      <c r="F100" s="3" t="s">
        <v>105</v>
      </c>
      <c r="G100" s="1" t="s">
        <v>9</v>
      </c>
      <c r="H100" s="1">
        <v>18</v>
      </c>
      <c r="I100" s="1" t="s">
        <v>21</v>
      </c>
      <c r="J100" s="8" t="str">
        <f>IF(Table1[[#This Row],[Location / Chainage]]="Precast",J99,IF(Table1[[#This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00" s="8" t="str">
        <f>IF(Table1[[#This Row],[Date]]="","",TEXT(Table1[[#This Row],[Date]],"mmm  yy"))</f>
        <v>Jan  26</v>
      </c>
    </row>
    <row r="101" spans="2:11" x14ac:dyDescent="0.3">
      <c r="B101" s="8">
        <f t="shared" si="1"/>
        <v>98</v>
      </c>
      <c r="C101" s="9">
        <v>46039</v>
      </c>
      <c r="D101" s="2">
        <v>7575</v>
      </c>
      <c r="E101" s="1" t="s">
        <v>14</v>
      </c>
      <c r="F101" s="3" t="s">
        <v>106</v>
      </c>
      <c r="G101" s="1" t="s">
        <v>9</v>
      </c>
      <c r="H101" s="1">
        <v>13</v>
      </c>
      <c r="I101" s="1" t="s">
        <v>21</v>
      </c>
      <c r="J101" s="8" t="str">
        <f>IF(Table1[[#This Row],[Location / Chainage]]="Precast",J100,IF(Table1[[#This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01" s="8" t="str">
        <f>IF(Table1[[#This Row],[Date]]="","",TEXT(Table1[[#This Row],[Date]],"mmm  yy"))</f>
        <v>Jan  26</v>
      </c>
    </row>
    <row r="102" spans="2:11" x14ac:dyDescent="0.3">
      <c r="B102" s="8">
        <f t="shared" si="1"/>
        <v>99</v>
      </c>
      <c r="C102" s="9">
        <v>46039</v>
      </c>
      <c r="D102" s="2">
        <v>8845</v>
      </c>
      <c r="E102" s="1" t="s">
        <v>14</v>
      </c>
      <c r="F102" s="3" t="s">
        <v>107</v>
      </c>
      <c r="G102" s="1" t="s">
        <v>9</v>
      </c>
      <c r="H102" s="1">
        <v>20</v>
      </c>
      <c r="I102" s="1" t="s">
        <v>21</v>
      </c>
      <c r="J102" s="8" t="str">
        <f>IF(Table1[[#This Row],[Location / Chainage]]="Precast",J101,IF(Table1[[#This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02" s="8" t="str">
        <f>IF(Table1[[#This Row],[Date]]="","",TEXT(Table1[[#This Row],[Date]],"mmm  yy"))</f>
        <v>Jan  26</v>
      </c>
    </row>
    <row r="103" spans="2:11" x14ac:dyDescent="0.3">
      <c r="B103" s="8">
        <f t="shared" si="1"/>
        <v>100</v>
      </c>
      <c r="C103" s="9">
        <v>46039</v>
      </c>
      <c r="D103" s="2">
        <v>10170</v>
      </c>
      <c r="E103" s="1" t="s">
        <v>70</v>
      </c>
      <c r="F103" s="3" t="s">
        <v>108</v>
      </c>
      <c r="G103" s="1" t="s">
        <v>11</v>
      </c>
      <c r="H103" s="1">
        <v>4</v>
      </c>
      <c r="I103" s="1" t="s">
        <v>21</v>
      </c>
      <c r="J103" s="8" t="str">
        <f>IF(Table1[[#This Row],[Location / Chainage]]="Precast",J102,IF(Table1[[#This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03" s="8" t="str">
        <f>IF(Table1[[#This Row],[Date]]="","",TEXT(Table1[[#This Row],[Date]],"mmm  yy"))</f>
        <v>Jan  26</v>
      </c>
    </row>
    <row r="104" spans="2:11" x14ac:dyDescent="0.3">
      <c r="B104" s="8">
        <f t="shared" si="1"/>
        <v>101</v>
      </c>
      <c r="C104" s="9">
        <v>46039</v>
      </c>
      <c r="D104" s="2">
        <v>13281</v>
      </c>
      <c r="E104" s="1" t="s">
        <v>13</v>
      </c>
      <c r="F104" s="3" t="s">
        <v>10</v>
      </c>
      <c r="G104" s="1" t="s">
        <v>11</v>
      </c>
      <c r="H104" s="1">
        <v>14</v>
      </c>
      <c r="I104" s="1" t="s">
        <v>21</v>
      </c>
      <c r="J104" s="8" t="str">
        <f>IF(Table1[[#This Row],[Location / Chainage]]="Precast",J103,IF(Table1[[#This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04" s="8" t="str">
        <f>IF(Table1[[#This Row],[Date]]="","",TEXT(Table1[[#This Row],[Date]],"mmm  yy"))</f>
        <v>Jan  26</v>
      </c>
    </row>
    <row r="105" spans="2:11" x14ac:dyDescent="0.3">
      <c r="B105" s="8">
        <f t="shared" si="1"/>
        <v>102</v>
      </c>
      <c r="C105" s="9">
        <v>46039</v>
      </c>
      <c r="D105" s="12">
        <v>1845</v>
      </c>
      <c r="E105" s="1" t="s">
        <v>80</v>
      </c>
      <c r="F105" s="3" t="s">
        <v>103</v>
      </c>
      <c r="G105" s="1" t="s">
        <v>9</v>
      </c>
      <c r="H105" s="11">
        <v>6</v>
      </c>
      <c r="I105" s="1" t="s">
        <v>21</v>
      </c>
      <c r="J105" s="11" t="str">
        <f>IF(Table1[[#This Row],[Location / Chainage]]="Precast",J104,IF(Table1[[#This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05" s="11" t="str">
        <f>IF(Table1[[#This Row],[Date]]="","",TEXT(Table1[[#This Row],[Date]],"mmm  yy"))</f>
        <v>Jan  26</v>
      </c>
    </row>
    <row r="106" spans="2:11" x14ac:dyDescent="0.3">
      <c r="B106" s="8">
        <f t="shared" si="1"/>
        <v>103</v>
      </c>
      <c r="C106" s="9">
        <v>46040</v>
      </c>
      <c r="D106" s="2">
        <v>1845</v>
      </c>
      <c r="E106" s="1" t="s">
        <v>80</v>
      </c>
      <c r="F106" s="3" t="s">
        <v>113</v>
      </c>
      <c r="G106" s="1" t="s">
        <v>9</v>
      </c>
      <c r="H106" s="1">
        <v>7</v>
      </c>
      <c r="I106" s="1" t="s">
        <v>21</v>
      </c>
      <c r="J106" s="8" t="str">
        <f>IF(Table1[[#This Row],[Location / Chainage]]="Precast",J105,IF(Table1[[#This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06" s="8" t="str">
        <f>IF(Table1[[#This Row],[Date]]="","",TEXT(Table1[[#This Row],[Date]],"mmm  yy"))</f>
        <v>Jan  26</v>
      </c>
    </row>
    <row r="107" spans="2:11" x14ac:dyDescent="0.3">
      <c r="B107" s="8">
        <f t="shared" si="1"/>
        <v>104</v>
      </c>
      <c r="C107" s="9">
        <v>46040</v>
      </c>
      <c r="D107" s="2">
        <v>8915</v>
      </c>
      <c r="E107" s="1" t="s">
        <v>14</v>
      </c>
      <c r="F107" s="3" t="s">
        <v>109</v>
      </c>
      <c r="G107" s="1" t="s">
        <v>9</v>
      </c>
      <c r="H107" s="1">
        <v>20</v>
      </c>
      <c r="I107" s="1" t="s">
        <v>21</v>
      </c>
      <c r="J107" s="11" t="str">
        <f>IF(Table1[[#This Row],[Location / Chainage]]="Precast",J106,IF(Table1[[#This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07" s="11" t="str">
        <f>IF(Table1[[#This Row],[Date]]="","",TEXT(Table1[[#This Row],[Date]],"mmm  yy"))</f>
        <v>Jan  26</v>
      </c>
    </row>
    <row r="108" spans="2:11" x14ac:dyDescent="0.3">
      <c r="B108" s="8">
        <f t="shared" si="1"/>
        <v>105</v>
      </c>
      <c r="C108" s="9">
        <v>46040</v>
      </c>
      <c r="D108" s="2">
        <v>7621</v>
      </c>
      <c r="E108" s="1" t="s">
        <v>14</v>
      </c>
      <c r="F108" s="3" t="s">
        <v>110</v>
      </c>
      <c r="G108" s="1" t="s">
        <v>9</v>
      </c>
      <c r="H108" s="1">
        <v>10</v>
      </c>
      <c r="I108" s="1" t="s">
        <v>21</v>
      </c>
      <c r="J108" s="8" t="str">
        <f>IF(Table1[[#This Row],[Location / Chainage]]="Precast",J107,IF(Table1[[#This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08" s="8" t="str">
        <f>IF(Table1[[#This Row],[Date]]="","",TEXT(Table1[[#This Row],[Date]],"mmm  yy"))</f>
        <v>Jan  26</v>
      </c>
    </row>
    <row r="109" spans="2:11" x14ac:dyDescent="0.3">
      <c r="B109" s="8">
        <f t="shared" si="1"/>
        <v>106</v>
      </c>
      <c r="C109" s="9">
        <v>46040</v>
      </c>
      <c r="D109" s="2">
        <v>9931</v>
      </c>
      <c r="E109" s="1" t="s">
        <v>13</v>
      </c>
      <c r="F109" s="3" t="s">
        <v>111</v>
      </c>
      <c r="G109" s="1" t="s">
        <v>16</v>
      </c>
      <c r="H109" s="1">
        <v>17</v>
      </c>
      <c r="I109" s="1" t="s">
        <v>21</v>
      </c>
      <c r="J109" s="8" t="str">
        <f>IF(Table1[[#This Row],[Location / Chainage]]="Precast",J108,IF(Table1[[#This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09" s="8" t="str">
        <f>IF(Table1[[#This Row],[Date]]="","",TEXT(Table1[[#This Row],[Date]],"mmm  yy"))</f>
        <v>Jan  26</v>
      </c>
    </row>
    <row r="110" spans="2:11" x14ac:dyDescent="0.3">
      <c r="B110" s="8">
        <f t="shared" si="1"/>
        <v>107</v>
      </c>
      <c r="C110" s="9">
        <v>46040</v>
      </c>
      <c r="D110" s="2">
        <v>8089</v>
      </c>
      <c r="E110" s="1" t="s">
        <v>33</v>
      </c>
      <c r="F110" s="3" t="s">
        <v>112</v>
      </c>
      <c r="G110" s="1" t="s">
        <v>16</v>
      </c>
      <c r="H110" s="1">
        <v>22</v>
      </c>
      <c r="I110" s="1" t="s">
        <v>21</v>
      </c>
      <c r="J110" s="8" t="str">
        <f>IF(Table1[[#This Row],[Location / Chainage]]="Precast",J109,IF(Table1[[#This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10" s="8" t="str">
        <f>IF(Table1[[#This Row],[Date]]="","",TEXT(Table1[[#This Row],[Date]],"mmm  yy"))</f>
        <v>Jan  26</v>
      </c>
    </row>
    <row r="111" spans="2:11" x14ac:dyDescent="0.3">
      <c r="B111" s="8">
        <f t="shared" si="1"/>
        <v>108</v>
      </c>
      <c r="C111" s="9">
        <v>46041</v>
      </c>
      <c r="D111" s="2">
        <v>1845</v>
      </c>
      <c r="E111" s="1" t="s">
        <v>80</v>
      </c>
      <c r="F111" s="3" t="s">
        <v>113</v>
      </c>
      <c r="G111" s="1" t="s">
        <v>9</v>
      </c>
      <c r="H111" s="1">
        <v>6</v>
      </c>
      <c r="I111" s="1" t="s">
        <v>21</v>
      </c>
      <c r="J111" s="8" t="str">
        <f>IF(Table1[[#This Row],[Location / Chainage]]="Precast",J110,IF(Table1[[#This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11" s="8" t="str">
        <f>IF(Table1[[#This Row],[Date]]="","",TEXT(Table1[[#This Row],[Date]],"mmm  yy"))</f>
        <v>Jan  26</v>
      </c>
    </row>
    <row r="112" spans="2:11" x14ac:dyDescent="0.3">
      <c r="B112" s="8">
        <f t="shared" si="1"/>
        <v>109</v>
      </c>
      <c r="C112" s="9">
        <v>46041</v>
      </c>
      <c r="D112" s="2">
        <v>13620</v>
      </c>
      <c r="E112" s="1" t="s">
        <v>13</v>
      </c>
      <c r="F112" s="3" t="s">
        <v>114</v>
      </c>
      <c r="G112" s="1" t="s">
        <v>16</v>
      </c>
      <c r="H112" s="1">
        <v>73</v>
      </c>
      <c r="I112" s="1" t="s">
        <v>21</v>
      </c>
      <c r="J112" s="8" t="str">
        <f>IF(Table1[[#This Row],[Location / Chainage]]="Precast",J111,IF(Table1[[#This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12" s="8" t="str">
        <f>IF(Table1[[#This Row],[Date]]="","",TEXT(Table1[[#This Row],[Date]],"mmm  yy"))</f>
        <v>Jan  26</v>
      </c>
    </row>
    <row r="113" spans="2:11" x14ac:dyDescent="0.3">
      <c r="B113" s="8">
        <f t="shared" si="1"/>
        <v>110</v>
      </c>
      <c r="C113" s="9">
        <v>46041</v>
      </c>
      <c r="D113" s="2">
        <v>13620</v>
      </c>
      <c r="E113" s="1" t="s">
        <v>13</v>
      </c>
      <c r="F113" s="3" t="s">
        <v>115</v>
      </c>
      <c r="G113" s="1" t="s">
        <v>16</v>
      </c>
      <c r="H113" s="1">
        <v>7</v>
      </c>
      <c r="I113" s="1" t="s">
        <v>21</v>
      </c>
      <c r="J113" s="8" t="str">
        <f>IF(Table1[[#This Row],[Location / Chainage]]="Precast",J112,IF(Table1[[#This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13" s="8" t="str">
        <f>IF(Table1[[#This Row],[Date]]="","",TEXT(Table1[[#This Row],[Date]],"mmm  yy"))</f>
        <v>Jan  26</v>
      </c>
    </row>
    <row r="114" spans="2:11" x14ac:dyDescent="0.3">
      <c r="B114" s="8">
        <f t="shared" si="1"/>
        <v>111</v>
      </c>
      <c r="C114" s="9">
        <v>46041</v>
      </c>
      <c r="D114" s="12">
        <v>8845</v>
      </c>
      <c r="E114" s="1" t="s">
        <v>14</v>
      </c>
      <c r="F114" s="3" t="s">
        <v>116</v>
      </c>
      <c r="G114" s="1" t="s">
        <v>9</v>
      </c>
      <c r="H114" s="11">
        <v>13</v>
      </c>
      <c r="I114" s="1" t="s">
        <v>21</v>
      </c>
      <c r="J114" s="8" t="str">
        <f>IF(Table1[[#This Row],[Location / Chainage]]="Precast",J113,IF(Table1[[#This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14" s="8" t="str">
        <f>IF(Table1[[#This Row],[Date]]="","",TEXT(Table1[[#This Row],[Date]],"mmm  yy"))</f>
        <v>Jan  26</v>
      </c>
    </row>
    <row r="115" spans="2:11" x14ac:dyDescent="0.3">
      <c r="B115" s="8">
        <f t="shared" si="1"/>
        <v>112</v>
      </c>
      <c r="C115" s="9">
        <v>46041</v>
      </c>
      <c r="D115" s="12">
        <v>13379</v>
      </c>
      <c r="E115" s="1" t="s">
        <v>13</v>
      </c>
      <c r="F115" s="3" t="s">
        <v>28</v>
      </c>
      <c r="G115" s="1" t="s">
        <v>16</v>
      </c>
      <c r="H115" s="11">
        <v>15</v>
      </c>
      <c r="I115" s="1" t="s">
        <v>21</v>
      </c>
      <c r="J115" s="8" t="str">
        <f>IF(Table1[[#This Row],[Location / Chainage]]="Precast",J114,IF(Table1[[#This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15" s="8" t="str">
        <f>IF(Table1[[#This Row],[Date]]="","",TEXT(Table1[[#This Row],[Date]],"mmm  yy"))</f>
        <v>Jan  26</v>
      </c>
    </row>
    <row r="116" spans="2:11" x14ac:dyDescent="0.3">
      <c r="B116" s="8">
        <f t="shared" si="1"/>
        <v>113</v>
      </c>
      <c r="C116" s="9">
        <v>46042</v>
      </c>
      <c r="D116" s="12">
        <v>8857</v>
      </c>
      <c r="E116" s="1" t="s">
        <v>14</v>
      </c>
      <c r="F116" s="3" t="s">
        <v>121</v>
      </c>
      <c r="G116" s="1" t="s">
        <v>9</v>
      </c>
      <c r="H116" s="11">
        <v>14</v>
      </c>
      <c r="I116" s="1" t="s">
        <v>21</v>
      </c>
      <c r="J116" s="8" t="str">
        <f>IF(Table1[[#This Row],[Location / Chainage]]="Precast",J115,IF(Table1[[#This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16" s="8" t="str">
        <f>IF(Table1[[#This Row],[Date]]="","",TEXT(Table1[[#This Row],[Date]],"mmm  yy"))</f>
        <v>Jan  26</v>
      </c>
    </row>
    <row r="117" spans="2:11" x14ac:dyDescent="0.3">
      <c r="B117" s="8">
        <f t="shared" si="1"/>
        <v>114</v>
      </c>
      <c r="C117" s="9">
        <v>46043</v>
      </c>
      <c r="D117" s="12">
        <v>11326</v>
      </c>
      <c r="E117" s="1" t="s">
        <v>13</v>
      </c>
      <c r="F117" s="3" t="s">
        <v>118</v>
      </c>
      <c r="G117" s="1" t="s">
        <v>16</v>
      </c>
      <c r="H117" s="11">
        <v>26</v>
      </c>
      <c r="I117" s="1" t="s">
        <v>21</v>
      </c>
      <c r="J117" s="8" t="str">
        <f>IF(Table1[[#This Row],[Location / Chainage]]="Precast",J116,IF(Table1[[#This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17" s="8" t="str">
        <f>IF(Table1[[#This Row],[Date]]="","",TEXT(Table1[[#This Row],[Date]],"mmm  yy"))</f>
        <v>Jan  26</v>
      </c>
    </row>
    <row r="118" spans="2:11" x14ac:dyDescent="0.3">
      <c r="B118" s="8">
        <f t="shared" si="1"/>
        <v>115</v>
      </c>
      <c r="C118" s="9">
        <v>46043</v>
      </c>
      <c r="D118" s="12">
        <v>12756</v>
      </c>
      <c r="E118" s="1" t="s">
        <v>13</v>
      </c>
      <c r="F118" s="3" t="s">
        <v>119</v>
      </c>
      <c r="G118" s="1" t="s">
        <v>16</v>
      </c>
      <c r="H118" s="11">
        <v>14</v>
      </c>
      <c r="I118" s="1" t="s">
        <v>21</v>
      </c>
      <c r="J118" s="8" t="str">
        <f>IF(Table1[[#This Row],[Location / Chainage]]="Precast",J117,IF(Table1[[#This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18" s="8" t="str">
        <f>IF(Table1[[#This Row],[Date]]="","",TEXT(Table1[[#This Row],[Date]],"mmm  yy"))</f>
        <v>Jan  26</v>
      </c>
    </row>
    <row r="119" spans="2:11" x14ac:dyDescent="0.3">
      <c r="B119" s="8">
        <f t="shared" si="1"/>
        <v>116</v>
      </c>
      <c r="C119" s="9">
        <v>46043</v>
      </c>
      <c r="D119" s="12">
        <v>8893</v>
      </c>
      <c r="E119" s="1" t="s">
        <v>14</v>
      </c>
      <c r="F119" s="3" t="s">
        <v>122</v>
      </c>
      <c r="G119" s="1" t="s">
        <v>9</v>
      </c>
      <c r="H119" s="11">
        <v>6</v>
      </c>
      <c r="I119" s="1" t="s">
        <v>21</v>
      </c>
      <c r="J119" s="8" t="str">
        <f>IF(Table1[[#This Row],[Location / Chainage]]="Precast",J118,IF(Table1[[#This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19" s="8" t="str">
        <f>IF(Table1[[#This Row],[Date]]="","",TEXT(Table1[[#This Row],[Date]],"mmm  yy"))</f>
        <v>Jan  26</v>
      </c>
    </row>
    <row r="120" spans="2:11" x14ac:dyDescent="0.3">
      <c r="B120" s="8">
        <f t="shared" si="1"/>
        <v>117</v>
      </c>
      <c r="C120" s="9">
        <v>46044</v>
      </c>
      <c r="D120" s="12">
        <v>10995</v>
      </c>
      <c r="E120" s="1" t="s">
        <v>13</v>
      </c>
      <c r="F120" s="3" t="s">
        <v>119</v>
      </c>
      <c r="G120" s="1" t="s">
        <v>11</v>
      </c>
      <c r="H120" s="11">
        <v>2</v>
      </c>
      <c r="I120" s="1" t="s">
        <v>21</v>
      </c>
      <c r="J120" s="8" t="str">
        <f>IF(Table1[[#This Row],[Location / Chainage]]="Precast",J119,IF(Table1[[#This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20" s="8" t="str">
        <f>IF(Table1[[#This Row],[Date]]="","",TEXT(Table1[[#This Row],[Date]],"mmm  yy"))</f>
        <v>Jan  26</v>
      </c>
    </row>
    <row r="121" spans="2:11" x14ac:dyDescent="0.3">
      <c r="B121" s="8">
        <f t="shared" si="1"/>
        <v>118</v>
      </c>
      <c r="C121" s="9">
        <v>46044</v>
      </c>
      <c r="D121" s="12">
        <v>12532</v>
      </c>
      <c r="E121" s="1" t="s">
        <v>13</v>
      </c>
      <c r="F121" s="3" t="s">
        <v>119</v>
      </c>
      <c r="G121" s="1" t="s">
        <v>11</v>
      </c>
      <c r="H121" s="11">
        <v>4</v>
      </c>
      <c r="I121" s="1" t="s">
        <v>21</v>
      </c>
      <c r="J121" s="8" t="str">
        <f>IF(Table1[[#This Row],[Location / Chainage]]="Precast",J120,IF(Table1[[#This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21" s="8" t="str">
        <f>IF(Table1[[#This Row],[Date]]="","",TEXT(Table1[[#This Row],[Date]],"mmm  yy"))</f>
        <v>Jan  26</v>
      </c>
    </row>
    <row r="122" spans="2:11" x14ac:dyDescent="0.3">
      <c r="B122" s="8">
        <f t="shared" si="1"/>
        <v>119</v>
      </c>
      <c r="C122" s="9">
        <v>46044</v>
      </c>
      <c r="D122" s="12">
        <v>8905</v>
      </c>
      <c r="E122" s="1" t="s">
        <v>14</v>
      </c>
      <c r="F122" s="3" t="s">
        <v>120</v>
      </c>
      <c r="G122" s="1" t="s">
        <v>9</v>
      </c>
      <c r="H122" s="11">
        <v>13</v>
      </c>
      <c r="I122" s="1" t="s">
        <v>21</v>
      </c>
      <c r="J122" s="8" t="str">
        <f>IF(Table1[[#This Row],[Location / Chainage]]="Precast",J121,IF(Table1[[#This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22" s="8" t="str">
        <f>IF(Table1[[#This Row],[Date]]="","",TEXT(Table1[[#This Row],[Date]],"mmm  yy"))</f>
        <v>Jan  26</v>
      </c>
    </row>
    <row r="123" spans="2:11" x14ac:dyDescent="0.3">
      <c r="B123" s="8">
        <f t="shared" si="1"/>
        <v>120</v>
      </c>
      <c r="C123" s="9">
        <v>46044</v>
      </c>
      <c r="D123" s="12">
        <v>6475</v>
      </c>
      <c r="E123" s="1" t="s">
        <v>13</v>
      </c>
      <c r="F123" s="3" t="s">
        <v>24</v>
      </c>
      <c r="G123" s="1" t="s">
        <v>11</v>
      </c>
      <c r="H123" s="11">
        <v>17</v>
      </c>
      <c r="I123" s="1" t="s">
        <v>21</v>
      </c>
      <c r="J123" s="8" t="str">
        <f>IF(Table1[[#This Row],[Location / Chainage]]="Precast",J122,IF(Table1[[#This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23" s="8" t="str">
        <f>IF(Table1[[#This Row],[Date]]="","",TEXT(Table1[[#This Row],[Date]],"mmm  yy"))</f>
        <v>Jan  26</v>
      </c>
    </row>
    <row r="124" spans="2:11" x14ac:dyDescent="0.3">
      <c r="B124" s="8">
        <f t="shared" si="1"/>
        <v>121</v>
      </c>
      <c r="C124" s="9">
        <v>46046</v>
      </c>
      <c r="D124" s="12">
        <v>1845</v>
      </c>
      <c r="E124" s="1" t="s">
        <v>80</v>
      </c>
      <c r="F124" s="3" t="s">
        <v>131</v>
      </c>
      <c r="G124" s="1" t="s">
        <v>9</v>
      </c>
      <c r="H124" s="11">
        <v>1.5</v>
      </c>
      <c r="I124" s="1" t="s">
        <v>21</v>
      </c>
      <c r="J124" s="8" t="str">
        <f>IF(Table1[[#This Row],[Location / Chainage]]="Precast",J123,IF(Table1[[#This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24" s="8" t="str">
        <f>IF(Table1[[#This Row],[Date]]="","",TEXT(Table1[[#This Row],[Date]],"mmm  yy"))</f>
        <v>Jan  26</v>
      </c>
    </row>
    <row r="125" spans="2:11" x14ac:dyDescent="0.3">
      <c r="B125" s="8">
        <f t="shared" si="1"/>
        <v>122</v>
      </c>
      <c r="C125" s="9">
        <v>46047</v>
      </c>
      <c r="D125" s="2">
        <v>8929</v>
      </c>
      <c r="E125" s="1" t="s">
        <v>14</v>
      </c>
      <c r="F125" s="3" t="s">
        <v>123</v>
      </c>
      <c r="G125" s="1" t="s">
        <v>16</v>
      </c>
      <c r="H125" s="1">
        <v>10</v>
      </c>
      <c r="I125" s="1" t="s">
        <v>21</v>
      </c>
      <c r="J125" s="8" t="str">
        <f>IF(Table1[[#This Row],[Location / Chainage]]="Precast",J124,IF(Table1[[#This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25" s="8" t="str">
        <f>IF(Table1[[#This Row],[Date]]="","",TEXT(Table1[[#This Row],[Date]],"mmm  yy"))</f>
        <v>Jan  26</v>
      </c>
    </row>
    <row r="126" spans="2:11" x14ac:dyDescent="0.3">
      <c r="B126" s="8">
        <f t="shared" si="1"/>
        <v>123</v>
      </c>
      <c r="C126" s="9">
        <v>46048</v>
      </c>
      <c r="D126" s="2" t="s">
        <v>12</v>
      </c>
      <c r="E126" s="1" t="s">
        <v>142</v>
      </c>
      <c r="F126" s="3" t="s">
        <v>124</v>
      </c>
      <c r="G126" s="1" t="s">
        <v>16</v>
      </c>
      <c r="H126" s="1">
        <v>4</v>
      </c>
      <c r="I126" s="1" t="s">
        <v>21</v>
      </c>
      <c r="J126" s="8" t="str">
        <f>IF(Table1[[#This Row],[Location / Chainage]]="Precast",J125,IF(Table1[[#This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26" s="8" t="str">
        <f>IF(Table1[[#This Row],[Date]]="","",TEXT(Table1[[#This Row],[Date]],"mmm  yy"))</f>
        <v>Jan  26</v>
      </c>
    </row>
    <row r="127" spans="2:11" x14ac:dyDescent="0.3">
      <c r="B127" s="8">
        <f t="shared" si="1"/>
        <v>124</v>
      </c>
      <c r="C127" s="9">
        <v>46048</v>
      </c>
      <c r="D127" s="2">
        <v>12172</v>
      </c>
      <c r="E127" s="1" t="s">
        <v>13</v>
      </c>
      <c r="F127" s="3" t="s">
        <v>15</v>
      </c>
      <c r="G127" s="1" t="s">
        <v>16</v>
      </c>
      <c r="H127" s="1">
        <v>11</v>
      </c>
      <c r="I127" s="1" t="s">
        <v>21</v>
      </c>
      <c r="J127" s="8" t="str">
        <f>IF(Table1[[#This Row],[Location / Chainage]]="Precast",J126,IF(Table1[[#This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27" s="8" t="str">
        <f>IF(Table1[[#This Row],[Date]]="","",TEXT(Table1[[#This Row],[Date]],"mmm  yy"))</f>
        <v>Jan  26</v>
      </c>
    </row>
    <row r="128" spans="2:11" x14ac:dyDescent="0.3">
      <c r="B128" s="8">
        <f t="shared" si="1"/>
        <v>125</v>
      </c>
      <c r="C128" s="9">
        <v>46049</v>
      </c>
      <c r="D128" s="15">
        <v>10995</v>
      </c>
      <c r="E128" s="1" t="s">
        <v>13</v>
      </c>
      <c r="F128" s="3" t="s">
        <v>125</v>
      </c>
      <c r="G128" s="1" t="s">
        <v>16</v>
      </c>
      <c r="H128" s="14">
        <v>12</v>
      </c>
      <c r="I128" s="1" t="s">
        <v>21</v>
      </c>
      <c r="J128" s="8" t="str">
        <f>IF(Table1[[#This Row],[Location / Chainage]]="Precast",J127,IF(Table1[[#This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28" s="8" t="str">
        <f>IF(Table1[[#This Row],[Date]]="","",TEXT(Table1[[#This Row],[Date]],"mmm  yy"))</f>
        <v>Jan  26</v>
      </c>
    </row>
    <row r="129" spans="2:11" x14ac:dyDescent="0.3">
      <c r="B129" s="8">
        <f t="shared" si="1"/>
        <v>126</v>
      </c>
      <c r="C129" s="9">
        <v>46049</v>
      </c>
      <c r="D129" s="2">
        <v>13379</v>
      </c>
      <c r="E129" s="1" t="s">
        <v>13</v>
      </c>
      <c r="F129" s="3" t="s">
        <v>126</v>
      </c>
      <c r="G129" s="1" t="s">
        <v>16</v>
      </c>
      <c r="H129" s="14">
        <v>8</v>
      </c>
      <c r="I129" s="1" t="s">
        <v>21</v>
      </c>
      <c r="J129" s="8" t="str">
        <f>IF(Table1[[#This Row],[Location / Chainage]]="Precast",J128,IF(Table1[[#This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29" s="8" t="str">
        <f>IF(Table1[[#This Row],[Date]]="","",TEXT(Table1[[#This Row],[Date]],"mmm  yy"))</f>
        <v>Jan  26</v>
      </c>
    </row>
    <row r="130" spans="2:11" x14ac:dyDescent="0.3">
      <c r="B130" s="8">
        <f t="shared" si="1"/>
        <v>127</v>
      </c>
      <c r="C130" s="9">
        <v>46049</v>
      </c>
      <c r="D130" s="15">
        <v>13085</v>
      </c>
      <c r="E130" s="1" t="s">
        <v>13</v>
      </c>
      <c r="F130" s="3" t="s">
        <v>126</v>
      </c>
      <c r="G130" s="1" t="s">
        <v>16</v>
      </c>
      <c r="H130" s="14">
        <v>5</v>
      </c>
      <c r="I130" s="1" t="s">
        <v>21</v>
      </c>
      <c r="J130" s="8" t="str">
        <f>IF(Table1[[#This Row],[Location / Chainage]]="Precast",J129,IF(Table1[[#This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30" s="8" t="str">
        <f>IF(Table1[[#This Row],[Date]]="","",TEXT(Table1[[#This Row],[Date]],"mmm  yy"))</f>
        <v>Jan  26</v>
      </c>
    </row>
    <row r="131" spans="2:11" x14ac:dyDescent="0.3">
      <c r="B131" s="8">
        <f t="shared" si="1"/>
        <v>128</v>
      </c>
      <c r="C131" s="9">
        <v>46049</v>
      </c>
      <c r="D131" s="15">
        <v>12532</v>
      </c>
      <c r="E131" s="1" t="s">
        <v>13</v>
      </c>
      <c r="F131" s="3" t="s">
        <v>127</v>
      </c>
      <c r="G131" s="1" t="s">
        <v>16</v>
      </c>
      <c r="H131" s="14">
        <v>8</v>
      </c>
      <c r="I131" s="1" t="s">
        <v>21</v>
      </c>
      <c r="J131" s="8" t="str">
        <f>IF(Table1[[#This Row],[Location / Chainage]]="Precast",J130,IF(Table1[[#This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31" s="8" t="str">
        <f>IF(Table1[[#This Row],[Date]]="","",TEXT(Table1[[#This Row],[Date]],"mmm  yy"))</f>
        <v>Jan  26</v>
      </c>
    </row>
    <row r="132" spans="2:11" x14ac:dyDescent="0.3">
      <c r="B132" s="8">
        <f t="shared" si="1"/>
        <v>129</v>
      </c>
      <c r="C132" s="9">
        <v>46050</v>
      </c>
      <c r="D132" s="15">
        <v>6475</v>
      </c>
      <c r="E132" s="1" t="s">
        <v>13</v>
      </c>
      <c r="F132" s="3" t="s">
        <v>15</v>
      </c>
      <c r="G132" s="1" t="s">
        <v>16</v>
      </c>
      <c r="H132" s="14">
        <v>41</v>
      </c>
      <c r="I132" s="1" t="s">
        <v>21</v>
      </c>
      <c r="J132" s="8" t="str">
        <f>IF(Table1[[#This Row],[Location / Chainage]]="Precast",J131,IF(Table1[[#This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32" s="8" t="str">
        <f>IF(Table1[[#This Row],[Date]]="","",TEXT(Table1[[#This Row],[Date]],"mmm  yy"))</f>
        <v>Jan  26</v>
      </c>
    </row>
    <row r="133" spans="2:11" x14ac:dyDescent="0.3">
      <c r="B133" s="8">
        <f t="shared" si="1"/>
        <v>130</v>
      </c>
      <c r="C133" s="9">
        <v>46051</v>
      </c>
      <c r="D133" s="15">
        <v>12756</v>
      </c>
      <c r="E133" s="1" t="s">
        <v>13</v>
      </c>
      <c r="F133" s="3" t="s">
        <v>127</v>
      </c>
      <c r="G133" s="1" t="s">
        <v>16</v>
      </c>
      <c r="H133" s="14">
        <v>10</v>
      </c>
      <c r="I133" s="1" t="s">
        <v>21</v>
      </c>
      <c r="J133" s="8" t="str">
        <f>IF(Table1[[#This Row],[Location / Chainage]]="Precast",J132,IF(Table1[[#This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33" s="8" t="str">
        <f>IF(Table1[[#This Row],[Date]]="","",TEXT(Table1[[#This Row],[Date]],"mmm  yy"))</f>
        <v>Jan  26</v>
      </c>
    </row>
    <row r="134" spans="2:11" x14ac:dyDescent="0.3">
      <c r="B134" s="8">
        <f t="shared" ref="B134:B197" si="2">1+B133</f>
        <v>131</v>
      </c>
      <c r="C134" s="9">
        <v>46051</v>
      </c>
      <c r="D134" s="15">
        <v>10995</v>
      </c>
      <c r="E134" s="1" t="s">
        <v>13</v>
      </c>
      <c r="F134" s="3" t="s">
        <v>35</v>
      </c>
      <c r="G134" s="1" t="s">
        <v>16</v>
      </c>
      <c r="H134" s="14">
        <v>8</v>
      </c>
      <c r="I134" s="1" t="s">
        <v>21</v>
      </c>
      <c r="J134" s="8" t="str">
        <f>IF(Table1[[#This Row],[Location / Chainage]]="Precast",J133,IF(Table1[[#This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34" s="8" t="str">
        <f>IF(Table1[[#This Row],[Date]]="","",TEXT(Table1[[#This Row],[Date]],"mmm  yy"))</f>
        <v>Jan  26</v>
      </c>
    </row>
    <row r="135" spans="2:11" x14ac:dyDescent="0.3">
      <c r="B135" s="8">
        <f t="shared" si="2"/>
        <v>132</v>
      </c>
      <c r="C135" s="9">
        <v>46051</v>
      </c>
      <c r="D135" s="15">
        <v>12532</v>
      </c>
      <c r="E135" s="1" t="s">
        <v>13</v>
      </c>
      <c r="F135" s="3" t="s">
        <v>128</v>
      </c>
      <c r="G135" s="1" t="s">
        <v>16</v>
      </c>
      <c r="H135" s="14">
        <v>6</v>
      </c>
      <c r="I135" s="1" t="s">
        <v>21</v>
      </c>
      <c r="J135" s="8" t="str">
        <f>IF(Table1[[#This Row],[Location / Chainage]]="Precast",J134,IF(Table1[[#This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35" s="8" t="str">
        <f>IF(Table1[[#This Row],[Date]]="","",TEXT(Table1[[#This Row],[Date]],"mmm  yy"))</f>
        <v>Jan  26</v>
      </c>
    </row>
    <row r="136" spans="2:11" x14ac:dyDescent="0.3">
      <c r="B136" s="8">
        <f t="shared" si="2"/>
        <v>133</v>
      </c>
      <c r="C136" s="9">
        <v>46051</v>
      </c>
      <c r="D136" s="15">
        <v>12265</v>
      </c>
      <c r="E136" s="1" t="s">
        <v>13</v>
      </c>
      <c r="F136" s="3" t="s">
        <v>10</v>
      </c>
      <c r="G136" s="1" t="s">
        <v>11</v>
      </c>
      <c r="H136" s="14">
        <v>12</v>
      </c>
      <c r="I136" s="1" t="s">
        <v>21</v>
      </c>
      <c r="J136" s="8" t="str">
        <f>IF(Table1[[#This Row],[Location / Chainage]]="Precast",J135,IF(Table1[[#This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36" s="8" t="str">
        <f>IF(Table1[[#This Row],[Date]]="","",TEXT(Table1[[#This Row],[Date]],"mmm  yy"))</f>
        <v>Jan  26</v>
      </c>
    </row>
    <row r="137" spans="2:11" x14ac:dyDescent="0.3">
      <c r="B137" s="8">
        <f t="shared" si="2"/>
        <v>134</v>
      </c>
      <c r="C137" s="9">
        <v>46051</v>
      </c>
      <c r="D137" s="15">
        <v>13620</v>
      </c>
      <c r="E137" s="1" t="s">
        <v>13</v>
      </c>
      <c r="F137" s="3" t="s">
        <v>129</v>
      </c>
      <c r="G137" s="1" t="s">
        <v>16</v>
      </c>
      <c r="H137" s="14">
        <v>14</v>
      </c>
      <c r="I137" s="1" t="s">
        <v>21</v>
      </c>
      <c r="J137" s="8" t="str">
        <f>IF(Table1[[#This Row],[Location / Chainage]]="Precast",J136,IF(Table1[[#This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37" s="8" t="str">
        <f>IF(Table1[[#This Row],[Date]]="","",TEXT(Table1[[#This Row],[Date]],"mmm  yy"))</f>
        <v>Jan  26</v>
      </c>
    </row>
    <row r="138" spans="2:11" x14ac:dyDescent="0.3">
      <c r="B138" s="8">
        <f t="shared" si="2"/>
        <v>135</v>
      </c>
      <c r="C138" s="9">
        <v>46051</v>
      </c>
      <c r="D138" s="15">
        <v>8286</v>
      </c>
      <c r="E138" s="1" t="s">
        <v>33</v>
      </c>
      <c r="F138" s="3" t="s">
        <v>132</v>
      </c>
      <c r="G138" s="1" t="s">
        <v>62</v>
      </c>
      <c r="H138" s="14">
        <v>16</v>
      </c>
      <c r="I138" s="1" t="s">
        <v>21</v>
      </c>
      <c r="J138" s="8" t="str">
        <f>IF(Table1[[#This Row],[Location / Chainage]]="Precast",J137,IF(Table1[[#This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38" s="8" t="str">
        <f>IF(Table1[[#This Row],[Date]]="","",TEXT(Table1[[#This Row],[Date]],"mmm  yy"))</f>
        <v>Jan  26</v>
      </c>
    </row>
    <row r="139" spans="2:11" x14ac:dyDescent="0.3">
      <c r="B139" s="8">
        <f t="shared" si="2"/>
        <v>136</v>
      </c>
      <c r="C139" s="9">
        <v>46053</v>
      </c>
      <c r="D139" s="15">
        <v>8057</v>
      </c>
      <c r="E139" s="1" t="s">
        <v>33</v>
      </c>
      <c r="F139" s="3" t="s">
        <v>130</v>
      </c>
      <c r="G139" s="1" t="s">
        <v>62</v>
      </c>
      <c r="H139" s="14">
        <v>19</v>
      </c>
      <c r="I139" s="1" t="s">
        <v>21</v>
      </c>
      <c r="J139" s="8" t="str">
        <f>IF(Table1[[#This Row],[Location / Chainage]]="Precast",J138,IF(Table1[[#This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39" s="8" t="str">
        <f>IF(Table1[[#This Row],[Date]]="","",TEXT(Table1[[#This Row],[Date]],"mmm  yy"))</f>
        <v>Jan  26</v>
      </c>
    </row>
    <row r="140" spans="2:11" x14ac:dyDescent="0.3">
      <c r="B140" s="8">
        <f t="shared" si="2"/>
        <v>137</v>
      </c>
      <c r="C140" s="9">
        <v>46053</v>
      </c>
      <c r="D140" s="15">
        <v>13620</v>
      </c>
      <c r="E140" s="1" t="s">
        <v>13</v>
      </c>
      <c r="F140" s="3" t="s">
        <v>128</v>
      </c>
      <c r="G140" s="1" t="s">
        <v>16</v>
      </c>
      <c r="H140" s="14">
        <v>15</v>
      </c>
      <c r="I140" s="1" t="s">
        <v>21</v>
      </c>
      <c r="J140" s="8" t="str">
        <f>IF(Table1[[#This Row],[Location / Chainage]]="Precast",J139,IF(Table1[[#This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40" s="8" t="str">
        <f>IF(Table1[[#This Row],[Date]]="","",TEXT(Table1[[#This Row],[Date]],"mmm  yy"))</f>
        <v>Jan  26</v>
      </c>
    </row>
    <row r="141" spans="2:11" x14ac:dyDescent="0.3">
      <c r="B141" s="8">
        <f t="shared" si="2"/>
        <v>138</v>
      </c>
      <c r="C141" s="9">
        <v>46053</v>
      </c>
      <c r="D141" s="15">
        <v>11997</v>
      </c>
      <c r="E141" s="1" t="s">
        <v>13</v>
      </c>
      <c r="F141" s="3" t="s">
        <v>128</v>
      </c>
      <c r="G141" s="1" t="s">
        <v>11</v>
      </c>
      <c r="H141" s="14">
        <v>7</v>
      </c>
      <c r="I141" s="1" t="s">
        <v>21</v>
      </c>
      <c r="J141" s="8" t="str">
        <f>IF(Table1[[#This Row],[Location / Chainage]]="Precast",J140,IF(Table1[[#This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41" s="8" t="str">
        <f>IF(Table1[[#This Row],[Date]]="","",TEXT(Table1[[#This Row],[Date]],"mmm  yy"))</f>
        <v>Jan  26</v>
      </c>
    </row>
    <row r="142" spans="2:11" x14ac:dyDescent="0.3">
      <c r="B142" s="8">
        <f t="shared" si="2"/>
        <v>139</v>
      </c>
      <c r="C142" s="9">
        <v>46053</v>
      </c>
      <c r="D142" s="15">
        <v>11165</v>
      </c>
      <c r="E142" s="1" t="s">
        <v>13</v>
      </c>
      <c r="F142" s="3" t="s">
        <v>127</v>
      </c>
      <c r="G142" s="1" t="s">
        <v>11</v>
      </c>
      <c r="H142" s="14">
        <v>13</v>
      </c>
      <c r="I142" s="1" t="s">
        <v>21</v>
      </c>
      <c r="J142" s="8" t="str">
        <f>IF(Table1[[#This Row],[Location / Chainage]]="Precast",J141,IF(Table1[[#This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42" s="8" t="str">
        <f>IF(Table1[[#This Row],[Date]]="","",TEXT(Table1[[#This Row],[Date]],"mmm  yy"))</f>
        <v>Jan  26</v>
      </c>
    </row>
    <row r="143" spans="2:11" x14ac:dyDescent="0.3">
      <c r="B143" s="8">
        <f t="shared" si="2"/>
        <v>140</v>
      </c>
      <c r="C143" s="9">
        <v>46054</v>
      </c>
      <c r="D143" s="15">
        <v>12532</v>
      </c>
      <c r="E143" s="1" t="s">
        <v>13</v>
      </c>
      <c r="F143" s="3" t="s">
        <v>23</v>
      </c>
      <c r="G143" s="1" t="s">
        <v>16</v>
      </c>
      <c r="H143" s="14">
        <v>6</v>
      </c>
      <c r="I143" s="1" t="s">
        <v>21</v>
      </c>
      <c r="J143" s="8" t="str">
        <f>IF(Table1[[#This Row],[Location / Chainage]]="Precast",J142,IF(Table1[[#This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43" s="8" t="str">
        <f>IF(Table1[[#This Row],[Date]]="","",TEXT(Table1[[#This Row],[Date]],"mmm  yy"))</f>
        <v>Feb  26</v>
      </c>
    </row>
    <row r="144" spans="2:11" x14ac:dyDescent="0.3">
      <c r="B144" s="8">
        <f t="shared" si="2"/>
        <v>141</v>
      </c>
      <c r="C144" s="9">
        <v>46054</v>
      </c>
      <c r="D144" s="15">
        <v>12756</v>
      </c>
      <c r="E144" s="1" t="s">
        <v>13</v>
      </c>
      <c r="F144" s="3" t="s">
        <v>23</v>
      </c>
      <c r="G144" s="1" t="s">
        <v>16</v>
      </c>
      <c r="H144" s="14">
        <v>6</v>
      </c>
      <c r="I144" s="1" t="s">
        <v>21</v>
      </c>
      <c r="J144" s="8" t="str">
        <f>IF(Table1[[#This Row],[Location / Chainage]]="Precast",J143,IF(Table1[[#This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44" s="8" t="str">
        <f>IF(Table1[[#This Row],[Date]]="","",TEXT(Table1[[#This Row],[Date]],"mmm  yy"))</f>
        <v>Feb  26</v>
      </c>
    </row>
    <row r="145" spans="2:11" x14ac:dyDescent="0.3">
      <c r="B145" s="8">
        <f t="shared" si="2"/>
        <v>142</v>
      </c>
      <c r="C145" s="9">
        <v>46056</v>
      </c>
      <c r="D145" s="2">
        <v>8068</v>
      </c>
      <c r="E145" s="1" t="s">
        <v>33</v>
      </c>
      <c r="F145" s="3" t="s">
        <v>133</v>
      </c>
      <c r="G145" s="1" t="s">
        <v>62</v>
      </c>
      <c r="H145" s="1">
        <v>24</v>
      </c>
      <c r="I145" s="1" t="s">
        <v>21</v>
      </c>
      <c r="J145" s="8" t="str">
        <f>IF(Table1[[#This Row],[Location / Chainage]]="Precast",J144,IF(Table1[[#This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45" s="8" t="str">
        <f>IF(Table1[[#This Row],[Date]]="","",TEXT(Table1[[#This Row],[Date]],"mmm  yy"))</f>
        <v>Feb  26</v>
      </c>
    </row>
    <row r="146" spans="2:11" x14ac:dyDescent="0.3">
      <c r="B146" s="8">
        <f t="shared" si="2"/>
        <v>143</v>
      </c>
      <c r="C146" s="9">
        <v>46056</v>
      </c>
      <c r="D146" s="2">
        <v>13276</v>
      </c>
      <c r="E146" s="1" t="s">
        <v>13</v>
      </c>
      <c r="F146" s="3" t="s">
        <v>15</v>
      </c>
      <c r="G146" s="1" t="s">
        <v>16</v>
      </c>
      <c r="H146" s="1">
        <v>61.5</v>
      </c>
      <c r="I146" s="1" t="s">
        <v>21</v>
      </c>
      <c r="J146" s="8" t="str">
        <f>IF(Table1[[#This Row],[Location / Chainage]]="Precast",J145,IF(Table1[[#This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46" s="8" t="str">
        <f>IF(Table1[[#This Row],[Date]]="","",TEXT(Table1[[#This Row],[Date]],"mmm  yy"))</f>
        <v>Feb  26</v>
      </c>
    </row>
    <row r="147" spans="2:11" x14ac:dyDescent="0.3">
      <c r="B147" s="8">
        <f t="shared" si="2"/>
        <v>144</v>
      </c>
      <c r="C147" s="9">
        <v>46057</v>
      </c>
      <c r="D147" s="2">
        <v>11165</v>
      </c>
      <c r="E147" s="1" t="s">
        <v>13</v>
      </c>
      <c r="F147" s="3" t="s">
        <v>31</v>
      </c>
      <c r="G147" s="1" t="s">
        <v>16</v>
      </c>
      <c r="H147" s="1">
        <v>32</v>
      </c>
      <c r="I147" s="1" t="s">
        <v>21</v>
      </c>
      <c r="J147" s="8" t="str">
        <f>IF(Table1[[#This Row],[Location / Chainage]]="Precast",J146,IF(Table1[[#This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47" s="8" t="str">
        <f>IF(Table1[[#This Row],[Date]]="","",TEXT(Table1[[#This Row],[Date]],"mmm  yy"))</f>
        <v>Feb  26</v>
      </c>
    </row>
    <row r="148" spans="2:11" x14ac:dyDescent="0.3">
      <c r="B148" s="8">
        <f t="shared" si="2"/>
        <v>145</v>
      </c>
      <c r="C148" s="9">
        <v>46057</v>
      </c>
      <c r="D148" s="2">
        <v>13085</v>
      </c>
      <c r="E148" s="1" t="s">
        <v>13</v>
      </c>
      <c r="F148" s="3" t="s">
        <v>111</v>
      </c>
      <c r="G148" s="1" t="s">
        <v>16</v>
      </c>
      <c r="H148" s="1">
        <v>9</v>
      </c>
      <c r="I148" s="1" t="s">
        <v>21</v>
      </c>
      <c r="J148" s="8" t="str">
        <f>IF(Table1[[#This Row],[Location / Chainage]]="Precast",J147,IF(Table1[[#This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48" s="8" t="str">
        <f>IF(Table1[[#This Row],[Date]]="","",TEXT(Table1[[#This Row],[Date]],"mmm  yy"))</f>
        <v>Feb  26</v>
      </c>
    </row>
    <row r="149" spans="2:11" x14ac:dyDescent="0.3">
      <c r="B149" s="8">
        <f t="shared" si="2"/>
        <v>146</v>
      </c>
      <c r="C149" s="9">
        <v>46057</v>
      </c>
      <c r="D149" s="2">
        <v>10090</v>
      </c>
      <c r="E149" s="1" t="s">
        <v>14</v>
      </c>
      <c r="F149" s="3" t="s">
        <v>139</v>
      </c>
      <c r="G149" s="1" t="s">
        <v>9</v>
      </c>
      <c r="H149" s="1">
        <v>10</v>
      </c>
      <c r="I149" s="1" t="s">
        <v>21</v>
      </c>
      <c r="J149" s="8" t="str">
        <f>IF(Table1[[#This Row],[Location / Chainage]]="Precast",J148,IF(Table1[[#This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49" s="8" t="str">
        <f>IF(Table1[[#This Row],[Date]]="","",TEXT(Table1[[#This Row],[Date]],"mmm  yy"))</f>
        <v>Feb  26</v>
      </c>
    </row>
    <row r="150" spans="2:11" x14ac:dyDescent="0.3">
      <c r="B150" s="8">
        <f t="shared" si="2"/>
        <v>147</v>
      </c>
      <c r="C150" s="9">
        <v>46057</v>
      </c>
      <c r="D150" s="2">
        <v>8274.9</v>
      </c>
      <c r="E150" s="1" t="s">
        <v>33</v>
      </c>
      <c r="F150" s="3" t="s">
        <v>134</v>
      </c>
      <c r="G150" s="1" t="s">
        <v>62</v>
      </c>
      <c r="H150" s="1">
        <v>17</v>
      </c>
      <c r="I150" s="1" t="s">
        <v>21</v>
      </c>
      <c r="J150" s="8" t="str">
        <f>IF(Table1[[#This Row],[Location / Chainage]]="Precast",J149,IF(Table1[[#This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50" s="8" t="str">
        <f>IF(Table1[[#This Row],[Date]]="","",TEXT(Table1[[#This Row],[Date]],"mmm  yy"))</f>
        <v>Feb  26</v>
      </c>
    </row>
    <row r="151" spans="2:11" x14ac:dyDescent="0.3">
      <c r="B151" s="8">
        <f t="shared" si="2"/>
        <v>148</v>
      </c>
      <c r="C151" s="9">
        <v>46058</v>
      </c>
      <c r="D151" s="2">
        <v>10090</v>
      </c>
      <c r="E151" s="1" t="s">
        <v>14</v>
      </c>
      <c r="F151" s="3" t="s">
        <v>136</v>
      </c>
      <c r="G151" s="1" t="s">
        <v>9</v>
      </c>
      <c r="H151" s="1">
        <v>20</v>
      </c>
      <c r="I151" s="1" t="s">
        <v>21</v>
      </c>
      <c r="J151" s="8" t="str">
        <f>IF(Table1[[#This Row],[Location / Chainage]]="Precast",J150,IF(Table1[[#This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51" s="8" t="str">
        <f>IF(Table1[[#This Row],[Date]]="","",TEXT(Table1[[#This Row],[Date]],"mmm  yy"))</f>
        <v>Feb  26</v>
      </c>
    </row>
    <row r="152" spans="2:11" x14ac:dyDescent="0.3">
      <c r="B152" s="8">
        <f t="shared" si="2"/>
        <v>149</v>
      </c>
      <c r="C152" s="9">
        <v>46058</v>
      </c>
      <c r="D152" s="2">
        <v>12532</v>
      </c>
      <c r="E152" s="1" t="s">
        <v>13</v>
      </c>
      <c r="F152" s="3" t="s">
        <v>49</v>
      </c>
      <c r="G152" s="1" t="s">
        <v>16</v>
      </c>
      <c r="H152" s="1">
        <v>4.5</v>
      </c>
      <c r="I152" s="1" t="s">
        <v>21</v>
      </c>
      <c r="J152" s="8" t="str">
        <f>IF(Table1[[#This Row],[Location / Chainage]]="Precast",J151,IF(Table1[[#This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52" s="8" t="str">
        <f>IF(Table1[[#This Row],[Date]]="","",TEXT(Table1[[#This Row],[Date]],"mmm  yy"))</f>
        <v>Feb  26</v>
      </c>
    </row>
    <row r="153" spans="2:11" x14ac:dyDescent="0.3">
      <c r="B153" s="8">
        <f t="shared" si="2"/>
        <v>150</v>
      </c>
      <c r="C153" s="9">
        <v>46058</v>
      </c>
      <c r="D153" s="2">
        <v>8078</v>
      </c>
      <c r="E153" s="1" t="s">
        <v>33</v>
      </c>
      <c r="F153" s="3" t="s">
        <v>135</v>
      </c>
      <c r="G153" s="1" t="s">
        <v>62</v>
      </c>
      <c r="H153" s="1">
        <v>12.5</v>
      </c>
      <c r="I153" s="1" t="s">
        <v>21</v>
      </c>
      <c r="J153" s="8" t="str">
        <f>IF(Table1[[#This Row],[Location / Chainage]]="Precast",J152,IF(Table1[[#This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53" s="8" t="str">
        <f>IF(Table1[[#This Row],[Date]]="","",TEXT(Table1[[#This Row],[Date]],"mmm  yy"))</f>
        <v>Feb  26</v>
      </c>
    </row>
    <row r="154" spans="2:11" x14ac:dyDescent="0.3">
      <c r="B154" s="8">
        <f t="shared" si="2"/>
        <v>151</v>
      </c>
      <c r="C154" s="9">
        <v>46060</v>
      </c>
      <c r="D154" s="2">
        <v>8089</v>
      </c>
      <c r="E154" s="1" t="s">
        <v>33</v>
      </c>
      <c r="F154" s="3" t="s">
        <v>137</v>
      </c>
      <c r="G154" s="1" t="s">
        <v>62</v>
      </c>
      <c r="H154" s="1">
        <v>25</v>
      </c>
      <c r="I154" s="1" t="s">
        <v>21</v>
      </c>
      <c r="J154" s="8" t="str">
        <f>IF(Table1[[#This Row],[Location / Chainage]]="Precast",J153,IF(Table1[[#This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54" s="8" t="str">
        <f>IF(Table1[[#This Row],[Date]]="","",TEXT(Table1[[#This Row],[Date]],"mmm  yy"))</f>
        <v>Feb  26</v>
      </c>
    </row>
    <row r="155" spans="2:11" x14ac:dyDescent="0.3">
      <c r="B155" s="8">
        <f t="shared" si="2"/>
        <v>152</v>
      </c>
      <c r="C155" s="9">
        <v>46060</v>
      </c>
      <c r="D155" s="2">
        <v>10200</v>
      </c>
      <c r="E155" s="1" t="s">
        <v>14</v>
      </c>
      <c r="F155" s="3" t="s">
        <v>138</v>
      </c>
      <c r="G155" s="1" t="s">
        <v>9</v>
      </c>
      <c r="H155" s="1">
        <v>7</v>
      </c>
      <c r="I155" s="1" t="s">
        <v>21</v>
      </c>
      <c r="J155" s="8" t="str">
        <f>IF(Table1[[#This Row],[Location / Chainage]]="Precast",J154,IF(Table1[[#This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55" s="8" t="str">
        <f>IF(Table1[[#This Row],[Date]]="","",TEXT(Table1[[#This Row],[Date]],"mmm  yy"))</f>
        <v>Feb  26</v>
      </c>
    </row>
    <row r="156" spans="2:11" x14ac:dyDescent="0.3">
      <c r="B156" s="8">
        <f t="shared" si="2"/>
        <v>153</v>
      </c>
      <c r="C156" s="9">
        <v>46060</v>
      </c>
      <c r="D156" s="2">
        <v>10121</v>
      </c>
      <c r="E156" s="1" t="s">
        <v>14</v>
      </c>
      <c r="F156" s="3" t="s">
        <v>140</v>
      </c>
      <c r="G156" s="1" t="s">
        <v>9</v>
      </c>
      <c r="H156" s="1">
        <v>35</v>
      </c>
      <c r="I156" s="1" t="s">
        <v>21</v>
      </c>
      <c r="J156" s="8" t="str">
        <f>IF(Table1[[#This Row],[Location / Chainage]]="Precast",J155,IF(Table1[[#This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56" s="8" t="str">
        <f>IF(Table1[[#This Row],[Date]]="","",TEXT(Table1[[#This Row],[Date]],"mmm  yy"))</f>
        <v>Feb  26</v>
      </c>
    </row>
    <row r="157" spans="2:11" x14ac:dyDescent="0.3">
      <c r="B157" s="8">
        <f t="shared" si="2"/>
        <v>154</v>
      </c>
      <c r="C157" s="9">
        <v>46060</v>
      </c>
      <c r="D157" s="2">
        <v>6475</v>
      </c>
      <c r="E157" s="1" t="s">
        <v>13</v>
      </c>
      <c r="F157" s="3" t="s">
        <v>28</v>
      </c>
      <c r="G157" s="1" t="s">
        <v>16</v>
      </c>
      <c r="H157" s="1">
        <v>56</v>
      </c>
      <c r="I157" s="1" t="s">
        <v>21</v>
      </c>
      <c r="J157" s="8" t="str">
        <f>IF(Table1[[#This Row],[Location / Chainage]]="Precast",J156,IF(Table1[[#This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57" s="8" t="str">
        <f>IF(Table1[[#This Row],[Date]]="","",TEXT(Table1[[#This Row],[Date]],"mmm  yy"))</f>
        <v>Feb  26</v>
      </c>
    </row>
    <row r="158" spans="2:11" x14ac:dyDescent="0.3">
      <c r="B158" s="8">
        <f t="shared" si="2"/>
        <v>155</v>
      </c>
      <c r="C158" s="9">
        <v>46061</v>
      </c>
      <c r="D158" s="2" t="s">
        <v>12</v>
      </c>
      <c r="E158" s="1" t="s">
        <v>141</v>
      </c>
      <c r="F158" s="3" t="s">
        <v>143</v>
      </c>
      <c r="G158" s="1" t="s">
        <v>16</v>
      </c>
      <c r="H158" s="1">
        <v>4</v>
      </c>
      <c r="I158" s="1" t="s">
        <v>21</v>
      </c>
      <c r="J158" s="8" t="str">
        <f>IF(Table1[[#This Row],[Location / Chainage]]="Precast",J157,IF(Table1[[#This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58" s="8" t="str">
        <f>IF(Table1[[#This Row],[Date]]="","",TEXT(Table1[[#This Row],[Date]],"mmm  yy"))</f>
        <v>Feb  26</v>
      </c>
    </row>
    <row r="159" spans="2:11" x14ac:dyDescent="0.3">
      <c r="B159" s="8">
        <f t="shared" si="2"/>
        <v>156</v>
      </c>
      <c r="C159" s="9">
        <v>46061</v>
      </c>
      <c r="D159" s="15">
        <v>11165</v>
      </c>
      <c r="E159" s="1" t="s">
        <v>13</v>
      </c>
      <c r="F159" s="3" t="s">
        <v>32</v>
      </c>
      <c r="G159" s="1" t="s">
        <v>16</v>
      </c>
      <c r="H159" s="14">
        <v>30</v>
      </c>
      <c r="I159" s="1" t="s">
        <v>21</v>
      </c>
      <c r="J159" s="8" t="str">
        <f>IF(Table1[[#This Row],[Location / Chainage]]="Precast",J158,IF(Table1[[#This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59" s="8" t="str">
        <f>IF(Table1[[#This Row],[Date]]="","",TEXT(Table1[[#This Row],[Date]],"mmm  yy"))</f>
        <v>Feb  26</v>
      </c>
    </row>
    <row r="160" spans="2:11" x14ac:dyDescent="0.3">
      <c r="B160" s="8">
        <f t="shared" si="2"/>
        <v>157</v>
      </c>
      <c r="C160" s="9">
        <v>46061</v>
      </c>
      <c r="D160" s="15">
        <v>10090</v>
      </c>
      <c r="E160" s="1" t="s">
        <v>14</v>
      </c>
      <c r="F160" s="3" t="s">
        <v>144</v>
      </c>
      <c r="G160" s="1" t="s">
        <v>9</v>
      </c>
      <c r="H160" s="14">
        <v>16</v>
      </c>
      <c r="I160" s="1" t="s">
        <v>21</v>
      </c>
      <c r="J160" s="8" t="str">
        <f>IF(Table1[[#This Row],[Location / Chainage]]="Precast",J159,IF(Table1[[#This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60" s="8" t="str">
        <f>IF(Table1[[#This Row],[Date]]="","",TEXT(Table1[[#This Row],[Date]],"mmm  yy"))</f>
        <v>Feb  26</v>
      </c>
    </row>
    <row r="161" spans="2:11" x14ac:dyDescent="0.3">
      <c r="B161" s="8">
        <f t="shared" si="2"/>
        <v>158</v>
      </c>
      <c r="C161" s="9">
        <v>46062</v>
      </c>
      <c r="D161" s="10">
        <v>12265</v>
      </c>
      <c r="E161" s="1" t="s">
        <v>13</v>
      </c>
      <c r="F161" s="3" t="s">
        <v>15</v>
      </c>
      <c r="G161" s="1" t="s">
        <v>16</v>
      </c>
      <c r="H161" s="8">
        <v>33</v>
      </c>
      <c r="I161" s="1" t="s">
        <v>21</v>
      </c>
      <c r="J161" s="8" t="str">
        <f>IF(Table1[[#This Row],[Location / Chainage]]="Precast",J160,IF(Table1[[#This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61" s="8" t="str">
        <f>IF(Table1[[#This Row],[Date]]="","",TEXT(Table1[[#This Row],[Date]],"mmm  yy"))</f>
        <v>Feb  26</v>
      </c>
    </row>
    <row r="162" spans="2:11" x14ac:dyDescent="0.3">
      <c r="B162" s="8">
        <f t="shared" si="2"/>
        <v>159</v>
      </c>
      <c r="C162" s="9">
        <v>46062</v>
      </c>
      <c r="D162" s="17">
        <v>60</v>
      </c>
      <c r="E162" s="1" t="s">
        <v>145</v>
      </c>
      <c r="F162" s="3" t="s">
        <v>146</v>
      </c>
      <c r="G162" s="1" t="s">
        <v>9</v>
      </c>
      <c r="H162" s="16">
        <v>8</v>
      </c>
      <c r="I162" s="1" t="s">
        <v>21</v>
      </c>
      <c r="J162" s="8" t="str">
        <f>IF(Table1[[#This Row],[Location / Chainage]]="Precast",J161,IF(Table1[[#This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62" s="8" t="str">
        <f>IF(Table1[[#This Row],[Date]]="","",TEXT(Table1[[#This Row],[Date]],"mmm  yy"))</f>
        <v>Feb  26</v>
      </c>
    </row>
    <row r="163" spans="2:11" x14ac:dyDescent="0.3">
      <c r="B163" s="8">
        <f t="shared" si="2"/>
        <v>160</v>
      </c>
      <c r="C163" s="9">
        <v>46063</v>
      </c>
      <c r="D163" s="17">
        <v>11165</v>
      </c>
      <c r="E163" s="1" t="s">
        <v>13</v>
      </c>
      <c r="F163" s="3" t="s">
        <v>49</v>
      </c>
      <c r="G163" s="1" t="s">
        <v>16</v>
      </c>
      <c r="H163" s="16">
        <v>7.2</v>
      </c>
      <c r="I163" s="1" t="s">
        <v>21</v>
      </c>
      <c r="J163" s="8" t="str">
        <f>IF(Table1[[#This Row],[Location / Chainage]]="Precast",J162,IF(Table1[[#This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63" s="8" t="str">
        <f>IF(Table1[[#This Row],[Date]]="","",TEXT(Table1[[#This Row],[Date]],"mmm  yy"))</f>
        <v>Feb  26</v>
      </c>
    </row>
    <row r="164" spans="2:11" x14ac:dyDescent="0.3">
      <c r="B164" s="8">
        <f t="shared" si="2"/>
        <v>161</v>
      </c>
      <c r="C164" s="9">
        <v>46063</v>
      </c>
      <c r="D164" s="18">
        <v>10222</v>
      </c>
      <c r="E164" s="1" t="s">
        <v>14</v>
      </c>
      <c r="F164" s="3" t="s">
        <v>148</v>
      </c>
      <c r="G164" s="1" t="s">
        <v>9</v>
      </c>
      <c r="H164" s="16">
        <v>9</v>
      </c>
      <c r="I164" s="1" t="s">
        <v>21</v>
      </c>
      <c r="J164" s="8" t="str">
        <f>IF(Table1[[#This Row],[Location / Chainage]]="Precast",J163,IF(Table1[[#This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64" s="8" t="str">
        <f>IF(Table1[[#This Row],[Date]]="","",TEXT(Table1[[#This Row],[Date]],"mmm  yy"))</f>
        <v>Feb  26</v>
      </c>
    </row>
    <row r="165" spans="2:11" x14ac:dyDescent="0.3">
      <c r="B165" s="8">
        <f t="shared" si="2"/>
        <v>162</v>
      </c>
      <c r="C165" s="9">
        <v>46063</v>
      </c>
      <c r="D165" s="2">
        <v>8286</v>
      </c>
      <c r="E165" s="1" t="s">
        <v>33</v>
      </c>
      <c r="F165" s="3" t="s">
        <v>147</v>
      </c>
      <c r="G165" s="1" t="s">
        <v>62</v>
      </c>
      <c r="H165" s="16">
        <v>5</v>
      </c>
      <c r="I165" s="1" t="s">
        <v>21</v>
      </c>
      <c r="J165" s="8" t="str">
        <f>IF(Table1[[#This Row],[Location / Chainage]]="Precast",J164,IF(Table1[[#This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65" s="8" t="str">
        <f>IF(Table1[[#This Row],[Date]]="","",TEXT(Table1[[#This Row],[Date]],"mmm  yy"))</f>
        <v>Feb  26</v>
      </c>
    </row>
    <row r="166" spans="2:11" x14ac:dyDescent="0.3">
      <c r="B166" s="8">
        <f t="shared" si="2"/>
        <v>163</v>
      </c>
      <c r="C166" s="9">
        <v>46064</v>
      </c>
      <c r="D166" s="17">
        <v>70</v>
      </c>
      <c r="E166" s="1" t="s">
        <v>145</v>
      </c>
      <c r="F166" s="3" t="s">
        <v>149</v>
      </c>
      <c r="G166" s="1" t="s">
        <v>9</v>
      </c>
      <c r="H166" s="16">
        <v>7</v>
      </c>
      <c r="I166" s="1" t="s">
        <v>21</v>
      </c>
      <c r="J166" s="8" t="str">
        <f>IF(Table1[[#This Row],[Location / Chainage]]="Precast",J165,IF(Table1[[#This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66" s="8" t="str">
        <f>IF(Table1[[#This Row],[Date]]="","",TEXT(Table1[[#This Row],[Date]],"mmm  yy"))</f>
        <v>Feb  26</v>
      </c>
    </row>
    <row r="167" spans="2:11" x14ac:dyDescent="0.3">
      <c r="B167" s="8">
        <f t="shared" si="2"/>
        <v>164</v>
      </c>
      <c r="C167" s="9">
        <v>46064</v>
      </c>
      <c r="D167" s="17">
        <v>8084</v>
      </c>
      <c r="E167" s="1" t="s">
        <v>33</v>
      </c>
      <c r="F167" s="3" t="s">
        <v>169</v>
      </c>
      <c r="G167" s="1" t="s">
        <v>62</v>
      </c>
      <c r="H167" s="16">
        <v>20</v>
      </c>
      <c r="I167" s="1" t="s">
        <v>21</v>
      </c>
      <c r="J167" s="8" t="str">
        <f>IF(Table1[[#This Row],[Location / Chainage]]="Precast",J166,IF(Table1[[#This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67" s="8" t="str">
        <f>IF(Table1[[#This Row],[Date]]="","",TEXT(Table1[[#This Row],[Date]],"mmm  yy"))</f>
        <v>Feb  26</v>
      </c>
    </row>
    <row r="168" spans="2:11" x14ac:dyDescent="0.3">
      <c r="B168" s="8">
        <f t="shared" si="2"/>
        <v>165</v>
      </c>
      <c r="C168" s="9">
        <v>46064</v>
      </c>
      <c r="D168" s="17">
        <v>12756</v>
      </c>
      <c r="E168" s="1" t="s">
        <v>13</v>
      </c>
      <c r="F168" s="3" t="s">
        <v>49</v>
      </c>
      <c r="G168" s="1" t="s">
        <v>16</v>
      </c>
      <c r="H168" s="16">
        <v>6</v>
      </c>
      <c r="I168" s="1" t="s">
        <v>21</v>
      </c>
      <c r="J168" s="8" t="str">
        <f>IF(Table1[[#This Row],[Location / Chainage]]="Precast",J167,IF(Table1[[#This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68" s="8" t="str">
        <f>IF(Table1[[#This Row],[Date]]="","",TEXT(Table1[[#This Row],[Date]],"mmm  yy"))</f>
        <v>Feb  26</v>
      </c>
    </row>
    <row r="169" spans="2:11" x14ac:dyDescent="0.3">
      <c r="B169" s="8">
        <f t="shared" si="2"/>
        <v>166</v>
      </c>
      <c r="C169" s="9">
        <v>46065</v>
      </c>
      <c r="D169" s="17">
        <v>13150</v>
      </c>
      <c r="E169" s="1" t="s">
        <v>70</v>
      </c>
      <c r="F169" s="3" t="s">
        <v>150</v>
      </c>
      <c r="G169" s="1" t="s">
        <v>62</v>
      </c>
      <c r="H169" s="16">
        <v>5</v>
      </c>
      <c r="I169" s="1" t="s">
        <v>21</v>
      </c>
      <c r="J169" s="8" t="str">
        <f>IF(Table1[[#This Row],[Location / Chainage]]="Precast",J168,IF(Table1[[#This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69" s="8" t="str">
        <f>IF(Table1[[#This Row],[Date]]="","",TEXT(Table1[[#This Row],[Date]],"mmm  yy"))</f>
        <v>Feb  26</v>
      </c>
    </row>
    <row r="170" spans="2:11" x14ac:dyDescent="0.3">
      <c r="B170" s="8">
        <f t="shared" si="2"/>
        <v>167</v>
      </c>
      <c r="C170" s="9">
        <v>46065</v>
      </c>
      <c r="D170" s="17">
        <v>8068</v>
      </c>
      <c r="E170" s="1" t="s">
        <v>33</v>
      </c>
      <c r="F170" s="3" t="s">
        <v>151</v>
      </c>
      <c r="G170" s="1" t="s">
        <v>62</v>
      </c>
      <c r="H170" s="16">
        <v>25</v>
      </c>
      <c r="I170" s="1" t="s">
        <v>21</v>
      </c>
      <c r="J170" s="8" t="str">
        <f>IF(Table1[[#This Row],[Location / Chainage]]="Precast",J169,IF(Table1[[#This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70" s="8" t="str">
        <f>IF(Table1[[#This Row],[Date]]="","",TEXT(Table1[[#This Row],[Date]],"mmm  yy"))</f>
        <v>Feb  26</v>
      </c>
    </row>
    <row r="171" spans="2:11" x14ac:dyDescent="0.3">
      <c r="B171" s="8">
        <f t="shared" si="2"/>
        <v>168</v>
      </c>
      <c r="C171" s="9">
        <v>46065</v>
      </c>
      <c r="D171" s="17">
        <v>80</v>
      </c>
      <c r="E171" s="1" t="s">
        <v>145</v>
      </c>
      <c r="F171" s="3" t="s">
        <v>152</v>
      </c>
      <c r="G171" s="1" t="s">
        <v>9</v>
      </c>
      <c r="H171" s="16">
        <v>6</v>
      </c>
      <c r="I171" s="1" t="s">
        <v>21</v>
      </c>
      <c r="J171" s="8" t="str">
        <f>IF(Table1[[#This Row],[Location / Chainage]]="Precast",J170,IF(Table1[[#This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71" s="8" t="str">
        <f>IF(Table1[[#This Row],[Date]]="","",TEXT(Table1[[#This Row],[Date]],"mmm  yy"))</f>
        <v>Feb  26</v>
      </c>
    </row>
    <row r="172" spans="2:11" x14ac:dyDescent="0.3">
      <c r="B172" s="8">
        <f t="shared" si="2"/>
        <v>169</v>
      </c>
      <c r="C172" s="9">
        <v>46065</v>
      </c>
      <c r="D172" s="17">
        <v>11165</v>
      </c>
      <c r="E172" s="1" t="s">
        <v>13</v>
      </c>
      <c r="F172" s="3" t="s">
        <v>23</v>
      </c>
      <c r="G172" s="1" t="s">
        <v>16</v>
      </c>
      <c r="H172" s="16">
        <v>6</v>
      </c>
      <c r="I172" s="1" t="s">
        <v>21</v>
      </c>
      <c r="J172" s="8" t="str">
        <f>IF(Table1[[#This Row],[Location / Chainage]]="Precast",J171,IF(Table1[[#This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72" s="8" t="str">
        <f>IF(Table1[[#This Row],[Date]]="","",TEXT(Table1[[#This Row],[Date]],"mmm  yy"))</f>
        <v>Feb  26</v>
      </c>
    </row>
    <row r="173" spans="2:11" x14ac:dyDescent="0.3">
      <c r="B173" s="8">
        <f t="shared" si="2"/>
        <v>170</v>
      </c>
      <c r="C173" s="9">
        <v>46065</v>
      </c>
      <c r="D173" s="17">
        <v>13620</v>
      </c>
      <c r="E173" s="1" t="s">
        <v>13</v>
      </c>
      <c r="F173" s="3" t="s">
        <v>23</v>
      </c>
      <c r="G173" s="1" t="s">
        <v>16</v>
      </c>
      <c r="H173" s="16">
        <v>6</v>
      </c>
      <c r="I173" s="1" t="s">
        <v>21</v>
      </c>
      <c r="J173" s="8" t="str">
        <f>IF(Table1[[#This Row],[Location / Chainage]]="Precast",J172,IF(Table1[[#This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73" s="8" t="str">
        <f>IF(Table1[[#This Row],[Date]]="","",TEXT(Table1[[#This Row],[Date]],"mmm  yy"))</f>
        <v>Feb  26</v>
      </c>
    </row>
    <row r="174" spans="2:11" x14ac:dyDescent="0.3">
      <c r="B174" s="8">
        <f t="shared" si="2"/>
        <v>171</v>
      </c>
      <c r="C174" s="9">
        <v>46065</v>
      </c>
      <c r="D174" s="17">
        <v>13379</v>
      </c>
      <c r="E174" s="1" t="s">
        <v>13</v>
      </c>
      <c r="F174" s="3" t="s">
        <v>111</v>
      </c>
      <c r="G174" s="1" t="s">
        <v>16</v>
      </c>
      <c r="H174" s="16">
        <v>8</v>
      </c>
      <c r="I174" s="1" t="s">
        <v>21</v>
      </c>
      <c r="J174" s="8" t="str">
        <f>IF(Table1[[#This Row],[Location / Chainage]]="Precast",J173,IF(Table1[[#This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74" s="8" t="str">
        <f>IF(Table1[[#This Row],[Date]]="","",TEXT(Table1[[#This Row],[Date]],"mmm  yy"))</f>
        <v>Feb  26</v>
      </c>
    </row>
    <row r="175" spans="2:11" x14ac:dyDescent="0.3">
      <c r="B175" s="8">
        <f t="shared" si="2"/>
        <v>172</v>
      </c>
      <c r="C175" s="9">
        <v>46065</v>
      </c>
      <c r="D175" s="17">
        <v>8484</v>
      </c>
      <c r="E175" s="1" t="s">
        <v>33</v>
      </c>
      <c r="F175" s="3" t="s">
        <v>153</v>
      </c>
      <c r="G175" s="1" t="s">
        <v>9</v>
      </c>
      <c r="H175" s="16">
        <v>4.5</v>
      </c>
      <c r="I175" s="1" t="s">
        <v>21</v>
      </c>
      <c r="J175" s="8" t="str">
        <f>IF(Table1[[#This Row],[Location / Chainage]]="Precast",J174,IF(Table1[[#This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75" s="8" t="str">
        <f>IF(Table1[[#This Row],[Date]]="","",TEXT(Table1[[#This Row],[Date]],"mmm  yy"))</f>
        <v>Feb  26</v>
      </c>
    </row>
    <row r="176" spans="2:11" x14ac:dyDescent="0.3">
      <c r="B176" s="8">
        <f t="shared" si="2"/>
        <v>173</v>
      </c>
      <c r="C176" s="9">
        <v>46065</v>
      </c>
      <c r="D176" s="17">
        <v>7731</v>
      </c>
      <c r="E176" s="1" t="s">
        <v>13</v>
      </c>
      <c r="F176" s="3" t="s">
        <v>10</v>
      </c>
      <c r="G176" s="1" t="s">
        <v>9</v>
      </c>
      <c r="H176" s="16">
        <v>3</v>
      </c>
      <c r="I176" s="1" t="s">
        <v>21</v>
      </c>
      <c r="J176" s="8" t="str">
        <f>IF(Table1[[#This Row],[Location / Chainage]]="Precast",J175,IF(Table1[[#This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76" s="8" t="str">
        <f>IF(Table1[[#This Row],[Date]]="","",TEXT(Table1[[#This Row],[Date]],"mmm  yy"))</f>
        <v>Feb  26</v>
      </c>
    </row>
    <row r="177" spans="2:11" x14ac:dyDescent="0.3">
      <c r="B177" s="8">
        <f t="shared" si="2"/>
        <v>174</v>
      </c>
      <c r="C177" s="9">
        <v>46067</v>
      </c>
      <c r="D177" s="17">
        <v>90</v>
      </c>
      <c r="E177" s="1" t="s">
        <v>145</v>
      </c>
      <c r="F177" s="3" t="s">
        <v>154</v>
      </c>
      <c r="G177" s="1" t="s">
        <v>9</v>
      </c>
      <c r="H177" s="16">
        <v>6</v>
      </c>
      <c r="I177" s="1" t="s">
        <v>21</v>
      </c>
      <c r="J177" s="8" t="str">
        <f>IF(Table1[[#This Row],[Location / Chainage]]="Precast",J176,IF(Table1[[#This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77" s="8" t="str">
        <f>IF(Table1[[#This Row],[Date]]="","",TEXT(Table1[[#This Row],[Date]],"mmm  yy"))</f>
        <v>Feb  26</v>
      </c>
    </row>
    <row r="178" spans="2:11" x14ac:dyDescent="0.3">
      <c r="B178" s="8">
        <f t="shared" si="2"/>
        <v>175</v>
      </c>
      <c r="C178" s="9">
        <v>46067</v>
      </c>
      <c r="D178" s="17">
        <v>11997</v>
      </c>
      <c r="E178" s="1" t="s">
        <v>13</v>
      </c>
      <c r="F178" s="3" t="s">
        <v>31</v>
      </c>
      <c r="G178" s="1" t="s">
        <v>16</v>
      </c>
      <c r="H178" s="16">
        <v>29</v>
      </c>
      <c r="I178" s="1" t="s">
        <v>21</v>
      </c>
      <c r="J178" s="8" t="str">
        <f>IF(Table1[[#This Row],[Location / Chainage]]="Precast",J177,IF(Table1[[#This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78" s="8" t="str">
        <f>IF(Table1[[#This Row],[Date]]="","",TEXT(Table1[[#This Row],[Date]],"mmm  yy"))</f>
        <v>Feb  26</v>
      </c>
    </row>
    <row r="179" spans="2:11" x14ac:dyDescent="0.3">
      <c r="B179" s="8">
        <f t="shared" si="2"/>
        <v>176</v>
      </c>
      <c r="C179" s="9">
        <v>46067</v>
      </c>
      <c r="D179" s="17">
        <v>9780</v>
      </c>
      <c r="E179" s="1" t="s">
        <v>33</v>
      </c>
      <c r="F179" s="3" t="s">
        <v>155</v>
      </c>
      <c r="G179" s="1" t="s">
        <v>9</v>
      </c>
      <c r="H179" s="16">
        <v>16</v>
      </c>
      <c r="I179" s="1" t="s">
        <v>21</v>
      </c>
      <c r="J179" s="8" t="str">
        <f>IF(Table1[[#This Row],[Location / Chainage]]="Precast",J178,IF(Table1[[#This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79" s="8" t="str">
        <f>IF(Table1[[#This Row],[Date]]="","",TEXT(Table1[[#This Row],[Date]],"mmm  yy"))</f>
        <v>Feb  26</v>
      </c>
    </row>
    <row r="180" spans="2:11" x14ac:dyDescent="0.3">
      <c r="B180" s="8">
        <f t="shared" si="2"/>
        <v>177</v>
      </c>
      <c r="C180" s="9">
        <v>46067</v>
      </c>
      <c r="D180" s="17">
        <v>7303</v>
      </c>
      <c r="E180" s="1" t="s">
        <v>13</v>
      </c>
      <c r="F180" s="3" t="s">
        <v>10</v>
      </c>
      <c r="G180" s="1" t="s">
        <v>11</v>
      </c>
      <c r="H180" s="16">
        <v>24</v>
      </c>
      <c r="I180" s="1" t="s">
        <v>21</v>
      </c>
      <c r="J180" s="8" t="str">
        <f>IF(Table1[[#This Row],[Location / Chainage]]="Precast",J179,IF(Table1[[#This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80" s="8" t="str">
        <f>IF(Table1[[#This Row],[Date]]="","",TEXT(Table1[[#This Row],[Date]],"mmm  yy"))</f>
        <v>Feb  26</v>
      </c>
    </row>
    <row r="181" spans="2:11" x14ac:dyDescent="0.3">
      <c r="B181" s="8">
        <f t="shared" si="2"/>
        <v>178</v>
      </c>
      <c r="C181" s="9">
        <v>46068</v>
      </c>
      <c r="D181" s="17">
        <v>100</v>
      </c>
      <c r="E181" s="1" t="s">
        <v>145</v>
      </c>
      <c r="F181" s="3" t="s">
        <v>156</v>
      </c>
      <c r="G181" s="1" t="s">
        <v>9</v>
      </c>
      <c r="H181" s="16">
        <v>8</v>
      </c>
      <c r="I181" s="1" t="s">
        <v>21</v>
      </c>
      <c r="J181" s="8" t="str">
        <f>IF(Table1[[#This Row],[Location / Chainage]]="Precast",J180,IF(Table1[[#This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81" s="8" t="str">
        <f>IF(Table1[[#This Row],[Date]]="","",TEXT(Table1[[#This Row],[Date]],"mmm  yy"))</f>
        <v>Feb  26</v>
      </c>
    </row>
    <row r="182" spans="2:11" x14ac:dyDescent="0.3">
      <c r="B182" s="8">
        <f t="shared" si="2"/>
        <v>179</v>
      </c>
      <c r="C182" s="9">
        <v>46068</v>
      </c>
      <c r="D182" s="17">
        <v>6475</v>
      </c>
      <c r="E182" s="1" t="s">
        <v>13</v>
      </c>
      <c r="F182" s="3" t="s">
        <v>36</v>
      </c>
      <c r="G182" s="1" t="s">
        <v>9</v>
      </c>
      <c r="H182" s="16">
        <v>6</v>
      </c>
      <c r="I182" s="1" t="s">
        <v>21</v>
      </c>
      <c r="J182" s="8" t="str">
        <f>IF(Table1[[#This Row],[Location / Chainage]]="Precast",J181,IF(Table1[[#This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82" s="8" t="str">
        <f>IF(Table1[[#This Row],[Date]]="","",TEXT(Table1[[#This Row],[Date]],"mmm  yy"))</f>
        <v>Feb  26</v>
      </c>
    </row>
    <row r="183" spans="2:11" x14ac:dyDescent="0.3">
      <c r="B183" s="8">
        <f t="shared" si="2"/>
        <v>180</v>
      </c>
      <c r="C183" s="9">
        <v>46068</v>
      </c>
      <c r="D183" s="18">
        <v>8078</v>
      </c>
      <c r="E183" s="1" t="s">
        <v>33</v>
      </c>
      <c r="F183" s="3" t="s">
        <v>178</v>
      </c>
      <c r="G183" s="1" t="s">
        <v>62</v>
      </c>
      <c r="H183" s="16">
        <v>17.5</v>
      </c>
      <c r="I183" s="1" t="s">
        <v>21</v>
      </c>
      <c r="J183" s="8" t="str">
        <f>IF(Table1[[#This Row],[Location / Chainage]]="Precast",J182,IF(Table1[[#This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83" s="8" t="str">
        <f>IF(Table1[[#This Row],[Date]]="","",TEXT(Table1[[#This Row],[Date]],"mmm  yy"))</f>
        <v>Feb  26</v>
      </c>
    </row>
    <row r="184" spans="2:11" x14ac:dyDescent="0.3">
      <c r="B184" s="8">
        <f t="shared" si="2"/>
        <v>181</v>
      </c>
      <c r="C184" s="9">
        <v>46069</v>
      </c>
      <c r="D184" s="17">
        <v>110</v>
      </c>
      <c r="E184" s="1" t="s">
        <v>145</v>
      </c>
      <c r="F184" s="3" t="s">
        <v>157</v>
      </c>
      <c r="G184" s="1" t="s">
        <v>9</v>
      </c>
      <c r="H184" s="16">
        <v>7</v>
      </c>
      <c r="I184" s="1" t="s">
        <v>21</v>
      </c>
      <c r="J184" s="8" t="str">
        <f>IF(Table1[[#This Row],[Location / Chainage]]="Precast",J183,IF(Table1[[#This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84" s="8" t="str">
        <f>IF(Table1[[#This Row],[Date]]="","",TEXT(Table1[[#This Row],[Date]],"mmm  yy"))</f>
        <v>Feb  26</v>
      </c>
    </row>
    <row r="185" spans="2:11" x14ac:dyDescent="0.3">
      <c r="B185" s="8">
        <f t="shared" si="2"/>
        <v>182</v>
      </c>
      <c r="C185" s="9">
        <v>46069</v>
      </c>
      <c r="D185" s="17">
        <v>12172</v>
      </c>
      <c r="E185" s="1" t="s">
        <v>13</v>
      </c>
      <c r="F185" s="3" t="s">
        <v>28</v>
      </c>
      <c r="G185" s="1" t="s">
        <v>16</v>
      </c>
      <c r="H185" s="16">
        <v>15</v>
      </c>
      <c r="I185" s="1" t="s">
        <v>21</v>
      </c>
      <c r="J185" s="8" t="str">
        <f>IF(Table1[[#This Row],[Location / Chainage]]="Precast",J184,IF(Table1[[#This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85" s="8" t="str">
        <f>IF(Table1[[#This Row],[Date]]="","",TEXT(Table1[[#This Row],[Date]],"mmm  yy"))</f>
        <v>Feb  26</v>
      </c>
    </row>
    <row r="186" spans="2:11" x14ac:dyDescent="0.3">
      <c r="B186" s="8">
        <f t="shared" si="2"/>
        <v>183</v>
      </c>
      <c r="C186" s="9">
        <v>46069</v>
      </c>
      <c r="D186" s="17">
        <v>13620</v>
      </c>
      <c r="E186" s="1" t="s">
        <v>13</v>
      </c>
      <c r="F186" s="3" t="s">
        <v>49</v>
      </c>
      <c r="G186" s="1" t="s">
        <v>16</v>
      </c>
      <c r="H186" s="16">
        <v>5</v>
      </c>
      <c r="I186" s="1" t="s">
        <v>21</v>
      </c>
      <c r="J186" s="8" t="str">
        <f>IF(Table1[[#This Row],[Location / Chainage]]="Precast",J185,IF(Table1[[#This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86" s="8" t="str">
        <f>IF(Table1[[#This Row],[Date]]="","",TEXT(Table1[[#This Row],[Date]],"mmm  yy"))</f>
        <v>Feb  26</v>
      </c>
    </row>
    <row r="187" spans="2:11" x14ac:dyDescent="0.3">
      <c r="B187" s="8">
        <f t="shared" si="2"/>
        <v>184</v>
      </c>
      <c r="C187" s="9">
        <v>46069</v>
      </c>
      <c r="D187" s="17">
        <v>11997</v>
      </c>
      <c r="E187" s="1" t="s">
        <v>13</v>
      </c>
      <c r="F187" s="3" t="s">
        <v>30</v>
      </c>
      <c r="G187" s="1" t="s">
        <v>16</v>
      </c>
      <c r="H187" s="16">
        <v>31</v>
      </c>
      <c r="I187" s="1" t="s">
        <v>21</v>
      </c>
      <c r="J187" s="8" t="str">
        <f>IF(Table1[[#This Row],[Location / Chainage]]="Precast",J186,IF(Table1[[#This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87" s="8" t="str">
        <f>IF(Table1[[#This Row],[Date]]="","",TEXT(Table1[[#This Row],[Date]],"mmm  yy"))</f>
        <v>Feb  26</v>
      </c>
    </row>
    <row r="188" spans="2:11" x14ac:dyDescent="0.3">
      <c r="B188" s="8">
        <f t="shared" si="2"/>
        <v>185</v>
      </c>
      <c r="C188" s="9">
        <v>46070</v>
      </c>
      <c r="D188" s="17">
        <v>120</v>
      </c>
      <c r="E188" s="1" t="s">
        <v>145</v>
      </c>
      <c r="F188" s="3" t="s">
        <v>158</v>
      </c>
      <c r="G188" s="1" t="s">
        <v>9</v>
      </c>
      <c r="H188" s="16">
        <v>7.5</v>
      </c>
      <c r="I188" s="1" t="s">
        <v>21</v>
      </c>
      <c r="J188" s="8" t="str">
        <f>IF(Table1[[#This Row],[Location / Chainage]]="Precast",J187,IF(Table1[[#This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88" s="8" t="str">
        <f>IF(Table1[[#This Row],[Date]]="","",TEXT(Table1[[#This Row],[Date]],"mmm  yy"))</f>
        <v>Feb  26</v>
      </c>
    </row>
    <row r="189" spans="2:11" x14ac:dyDescent="0.3">
      <c r="B189" s="8">
        <f t="shared" si="2"/>
        <v>186</v>
      </c>
      <c r="C189" s="9">
        <v>46070</v>
      </c>
      <c r="D189" s="17">
        <v>13695</v>
      </c>
      <c r="E189" s="1" t="s">
        <v>70</v>
      </c>
      <c r="F189" s="3" t="s">
        <v>159</v>
      </c>
      <c r="G189" s="1" t="s">
        <v>11</v>
      </c>
      <c r="H189" s="16">
        <v>6</v>
      </c>
      <c r="I189" s="1" t="s">
        <v>21</v>
      </c>
      <c r="J189" s="8" t="str">
        <f>IF(Table1[[#This Row],[Location / Chainage]]="Precast",J188,IF(Table1[[#This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89" s="8" t="str">
        <f>IF(Table1[[#This Row],[Date]]="","",TEXT(Table1[[#This Row],[Date]],"mmm  yy"))</f>
        <v>Feb  26</v>
      </c>
    </row>
    <row r="190" spans="2:11" x14ac:dyDescent="0.3">
      <c r="B190" s="8">
        <f t="shared" si="2"/>
        <v>187</v>
      </c>
      <c r="C190" s="9">
        <v>46070</v>
      </c>
      <c r="D190" s="17">
        <v>8051</v>
      </c>
      <c r="E190" s="1" t="s">
        <v>33</v>
      </c>
      <c r="F190" s="3" t="s">
        <v>160</v>
      </c>
      <c r="G190" s="1" t="s">
        <v>62</v>
      </c>
      <c r="H190" s="16">
        <v>20.5</v>
      </c>
      <c r="I190" s="1" t="s">
        <v>21</v>
      </c>
      <c r="J190" s="8" t="str">
        <f>IF(Table1[[#This Row],[Location / Chainage]]="Precast",J189,IF(Table1[[#This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90" s="8" t="str">
        <f>IF(Table1[[#This Row],[Date]]="","",TEXT(Table1[[#This Row],[Date]],"mmm  yy"))</f>
        <v>Feb  26</v>
      </c>
    </row>
    <row r="191" spans="2:11" x14ac:dyDescent="0.3">
      <c r="B191" s="8">
        <f t="shared" si="2"/>
        <v>188</v>
      </c>
      <c r="C191" s="9">
        <v>46071</v>
      </c>
      <c r="D191" s="17">
        <v>130</v>
      </c>
      <c r="E191" s="1" t="s">
        <v>145</v>
      </c>
      <c r="F191" s="3" t="s">
        <v>161</v>
      </c>
      <c r="G191" s="1" t="s">
        <v>9</v>
      </c>
      <c r="H191" s="16">
        <v>7</v>
      </c>
      <c r="I191" s="1" t="s">
        <v>21</v>
      </c>
      <c r="J191" s="8" t="str">
        <f>IF(Table1[[#This Row],[Location / Chainage]]="Precast",J190,IF(Table1[[#This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91" s="8" t="str">
        <f>IF(Table1[[#This Row],[Date]]="","",TEXT(Table1[[#This Row],[Date]],"mmm  yy"))</f>
        <v>Feb  26</v>
      </c>
    </row>
    <row r="192" spans="2:11" x14ac:dyDescent="0.3">
      <c r="B192" s="8">
        <f t="shared" si="2"/>
        <v>189</v>
      </c>
      <c r="C192" s="9">
        <v>46071</v>
      </c>
      <c r="D192" s="17">
        <v>8274.9</v>
      </c>
      <c r="E192" s="1" t="s">
        <v>33</v>
      </c>
      <c r="F192" s="3" t="s">
        <v>162</v>
      </c>
      <c r="G192" s="1" t="s">
        <v>62</v>
      </c>
      <c r="H192" s="16">
        <v>18.5</v>
      </c>
      <c r="I192" s="1" t="s">
        <v>21</v>
      </c>
      <c r="J192" s="8" t="str">
        <f>IF(Table1[[#This Row],[Location / Chainage]]="Precast",J191,IF(Table1[[#This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92" s="8" t="str">
        <f>IF(Table1[[#This Row],[Date]]="","",TEXT(Table1[[#This Row],[Date]],"mmm  yy"))</f>
        <v>Feb  26</v>
      </c>
    </row>
    <row r="193" spans="2:11" x14ac:dyDescent="0.3">
      <c r="B193" s="8">
        <f t="shared" si="2"/>
        <v>190</v>
      </c>
      <c r="C193" s="9">
        <v>46072</v>
      </c>
      <c r="D193" s="17">
        <v>140</v>
      </c>
      <c r="E193" s="1" t="s">
        <v>145</v>
      </c>
      <c r="F193" s="3" t="s">
        <v>163</v>
      </c>
      <c r="G193" s="1" t="s">
        <v>9</v>
      </c>
      <c r="H193" s="16">
        <v>8</v>
      </c>
      <c r="I193" s="1" t="s">
        <v>21</v>
      </c>
      <c r="J193" s="8" t="str">
        <f>IF(Table1[[#This Row],[Location / Chainage]]="Precast",J192,IF(Table1[[#This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93" s="8" t="str">
        <f>IF(Table1[[#This Row],[Date]]="","",TEXT(Table1[[#This Row],[Date]],"mmm  yy"))</f>
        <v>Feb  26</v>
      </c>
    </row>
    <row r="194" spans="2:11" x14ac:dyDescent="0.3">
      <c r="B194" s="8">
        <f t="shared" si="2"/>
        <v>191</v>
      </c>
      <c r="C194" s="9">
        <v>46072</v>
      </c>
      <c r="D194" s="17">
        <v>11997</v>
      </c>
      <c r="E194" s="1" t="s">
        <v>13</v>
      </c>
      <c r="F194" s="3" t="s">
        <v>49</v>
      </c>
      <c r="G194" s="1" t="s">
        <v>16</v>
      </c>
      <c r="H194" s="16">
        <v>10</v>
      </c>
      <c r="I194" s="1" t="s">
        <v>21</v>
      </c>
      <c r="J194" s="8" t="str">
        <f>IF(Table1[[#This Row],[Location / Chainage]]="Precast",J193,IF(Table1[[#This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94" s="8" t="str">
        <f>IF(Table1[[#This Row],[Date]]="","",TEXT(Table1[[#This Row],[Date]],"mmm  yy"))</f>
        <v>Feb  26</v>
      </c>
    </row>
    <row r="195" spans="2:11" x14ac:dyDescent="0.3">
      <c r="B195" s="8">
        <f t="shared" si="2"/>
        <v>192</v>
      </c>
      <c r="C195" s="9">
        <v>46074</v>
      </c>
      <c r="D195" s="17">
        <v>150</v>
      </c>
      <c r="E195" s="1" t="s">
        <v>145</v>
      </c>
      <c r="F195" s="3" t="s">
        <v>165</v>
      </c>
      <c r="G195" s="1" t="s">
        <v>9</v>
      </c>
      <c r="H195" s="16">
        <v>8</v>
      </c>
      <c r="I195" s="1" t="s">
        <v>21</v>
      </c>
      <c r="J195" s="8" t="str">
        <f>IF(Table1[[#This Row],[Location / Chainage]]="Precast",J194,IF(Table1[[#This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95" s="8" t="str">
        <f>IF(Table1[[#This Row],[Date]]="","",TEXT(Table1[[#This Row],[Date]],"mmm  yy"))</f>
        <v>Feb  26</v>
      </c>
    </row>
    <row r="196" spans="2:11" x14ac:dyDescent="0.3">
      <c r="B196" s="8">
        <f t="shared" si="2"/>
        <v>193</v>
      </c>
      <c r="C196" s="9">
        <v>46074</v>
      </c>
      <c r="D196" s="17">
        <v>8084</v>
      </c>
      <c r="E196" s="1" t="s">
        <v>33</v>
      </c>
      <c r="F196" s="3" t="s">
        <v>166</v>
      </c>
      <c r="G196" s="1" t="s">
        <v>62</v>
      </c>
      <c r="H196" s="16">
        <v>16</v>
      </c>
      <c r="I196" s="1" t="s">
        <v>21</v>
      </c>
      <c r="J196" s="8" t="str">
        <f>IF(Table1[[#This Row],[Location / Chainage]]="Precast",J195,IF(Table1[[#This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96" s="8" t="str">
        <f>IF(Table1[[#This Row],[Date]]="","",TEXT(Table1[[#This Row],[Date]],"mmm  yy"))</f>
        <v>Feb  26</v>
      </c>
    </row>
    <row r="197" spans="2:11" x14ac:dyDescent="0.3">
      <c r="B197" s="8">
        <f t="shared" si="2"/>
        <v>194</v>
      </c>
      <c r="C197" s="9">
        <v>46074</v>
      </c>
      <c r="D197" s="17">
        <v>8263</v>
      </c>
      <c r="E197" s="1" t="s">
        <v>33</v>
      </c>
      <c r="F197" s="3" t="s">
        <v>167</v>
      </c>
      <c r="G197" s="1" t="s">
        <v>62</v>
      </c>
      <c r="H197" s="16">
        <v>18</v>
      </c>
      <c r="I197" s="1" t="s">
        <v>21</v>
      </c>
      <c r="J197" s="8" t="str">
        <f>IF(Table1[[#This Row],[Location / Chainage]]="Precast",J196,IF(Table1[[#This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97" s="8" t="str">
        <f>IF(Table1[[#This Row],[Date]]="","",TEXT(Table1[[#This Row],[Date]],"mmm  yy"))</f>
        <v>Feb  26</v>
      </c>
    </row>
    <row r="198" spans="2:11" x14ac:dyDescent="0.3">
      <c r="B198" s="8">
        <f t="shared" ref="B198:B261" si="3">1+B197</f>
        <v>195</v>
      </c>
      <c r="C198" s="9">
        <v>46074</v>
      </c>
      <c r="D198" s="17">
        <v>11997</v>
      </c>
      <c r="E198" s="1" t="s">
        <v>13</v>
      </c>
      <c r="F198" s="3" t="s">
        <v>164</v>
      </c>
      <c r="G198" s="1" t="s">
        <v>16</v>
      </c>
      <c r="H198" s="16">
        <v>6</v>
      </c>
      <c r="I198" s="1" t="s">
        <v>21</v>
      </c>
      <c r="J198" s="8" t="str">
        <f>IF(Table1[[#This Row],[Location / Chainage]]="Precast",J197,IF(Table1[[#This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98" s="8" t="str">
        <f>IF(Table1[[#This Row],[Date]]="","",TEXT(Table1[[#This Row],[Date]],"mmm  yy"))</f>
        <v>Feb  26</v>
      </c>
    </row>
    <row r="199" spans="2:11" x14ac:dyDescent="0.3">
      <c r="B199" s="8">
        <f t="shared" si="3"/>
        <v>196</v>
      </c>
      <c r="C199" s="9">
        <v>46075</v>
      </c>
      <c r="D199" s="2" t="s">
        <v>12</v>
      </c>
      <c r="E199" s="1" t="s">
        <v>142</v>
      </c>
      <c r="F199" s="3" t="s">
        <v>168</v>
      </c>
      <c r="G199" s="1" t="s">
        <v>16</v>
      </c>
      <c r="H199" s="16">
        <v>3.2</v>
      </c>
      <c r="I199" s="1" t="s">
        <v>21</v>
      </c>
      <c r="J199" s="8" t="str">
        <f>IF(Table1[[#This Row],[Location / Chainage]]="Precast",J198,IF(Table1[[#This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199" s="8" t="str">
        <f>IF(Table1[[#This Row],[Date]]="","",TEXT(Table1[[#This Row],[Date]],"mmm  yy"))</f>
        <v>Feb  26</v>
      </c>
    </row>
    <row r="200" spans="2:11" x14ac:dyDescent="0.3">
      <c r="B200" s="8">
        <f t="shared" si="3"/>
        <v>197</v>
      </c>
      <c r="C200" s="9">
        <v>46075</v>
      </c>
      <c r="D200" s="17">
        <v>160</v>
      </c>
      <c r="E200" s="1" t="s">
        <v>145</v>
      </c>
      <c r="F200" s="3" t="s">
        <v>170</v>
      </c>
      <c r="G200" s="1" t="s">
        <v>9</v>
      </c>
      <c r="H200" s="16">
        <v>5</v>
      </c>
      <c r="I200" s="1" t="s">
        <v>21</v>
      </c>
      <c r="J200" s="8" t="str">
        <f>IF(Table1[[#This Row],[Location / Chainage]]="Precast",J199,IF(Table1[[#This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00" s="8" t="str">
        <f>IF(Table1[[#This Row],[Date]]="","",TEXT(Table1[[#This Row],[Date]],"mmm  yy"))</f>
        <v>Feb  26</v>
      </c>
    </row>
    <row r="201" spans="2:11" x14ac:dyDescent="0.3">
      <c r="B201" s="8">
        <f t="shared" si="3"/>
        <v>198</v>
      </c>
      <c r="C201" s="9">
        <v>46076</v>
      </c>
      <c r="D201" s="17">
        <v>10098</v>
      </c>
      <c r="E201" s="1" t="s">
        <v>14</v>
      </c>
      <c r="F201" s="3" t="s">
        <v>172</v>
      </c>
      <c r="G201" s="1" t="s">
        <v>9</v>
      </c>
      <c r="H201" s="16">
        <v>12</v>
      </c>
      <c r="I201" s="1" t="s">
        <v>21</v>
      </c>
      <c r="J201" s="8" t="str">
        <f>IF(Table1[[#This Row],[Location / Chainage]]="Precast",J200,IF(Table1[[#This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01" s="8" t="str">
        <f>IF(Table1[[#This Row],[Date]]="","",TEXT(Table1[[#This Row],[Date]],"mmm  yy"))</f>
        <v>Feb  26</v>
      </c>
    </row>
    <row r="202" spans="2:11" x14ac:dyDescent="0.3">
      <c r="B202" s="8">
        <f t="shared" si="3"/>
        <v>199</v>
      </c>
      <c r="C202" s="9">
        <v>46076</v>
      </c>
      <c r="D202" s="17">
        <v>12265</v>
      </c>
      <c r="E202" s="1" t="s">
        <v>13</v>
      </c>
      <c r="F202" s="3" t="s">
        <v>28</v>
      </c>
      <c r="G202" s="1" t="s">
        <v>16</v>
      </c>
      <c r="H202" s="16">
        <v>43</v>
      </c>
      <c r="I202" s="1" t="s">
        <v>21</v>
      </c>
      <c r="J202" s="8" t="str">
        <f>IF(Table1[[#This Row],[Location / Chainage]]="Precast",J201,IF(Table1[[#This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02" s="8" t="str">
        <f>IF(Table1[[#This Row],[Date]]="","",TEXT(Table1[[#This Row],[Date]],"mmm  yy"))</f>
        <v>Feb  26</v>
      </c>
    </row>
    <row r="203" spans="2:11" x14ac:dyDescent="0.3">
      <c r="B203" s="8">
        <f t="shared" si="3"/>
        <v>200</v>
      </c>
      <c r="C203" s="9">
        <v>46076</v>
      </c>
      <c r="D203" s="17">
        <v>11440</v>
      </c>
      <c r="E203" s="1" t="s">
        <v>14</v>
      </c>
      <c r="F203" s="3" t="s">
        <v>37</v>
      </c>
      <c r="G203" s="1" t="s">
        <v>9</v>
      </c>
      <c r="H203" s="16">
        <v>9</v>
      </c>
      <c r="I203" s="1" t="s">
        <v>21</v>
      </c>
      <c r="J203" s="8" t="str">
        <f>IF(Table1[[#This Row],[Location / Chainage]]="Precast",J202,IF(Table1[[#This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03" s="8" t="str">
        <f>IF(Table1[[#This Row],[Date]]="","",TEXT(Table1[[#This Row],[Date]],"mmm  yy"))</f>
        <v>Feb  26</v>
      </c>
    </row>
    <row r="204" spans="2:11" x14ac:dyDescent="0.3">
      <c r="B204" s="8">
        <f t="shared" si="3"/>
        <v>201</v>
      </c>
      <c r="C204" s="9">
        <v>46076</v>
      </c>
      <c r="D204" s="17">
        <v>8185</v>
      </c>
      <c r="E204" s="1" t="s">
        <v>33</v>
      </c>
      <c r="F204" s="3" t="s">
        <v>171</v>
      </c>
      <c r="G204" s="1" t="s">
        <v>62</v>
      </c>
      <c r="H204" s="16">
        <v>17</v>
      </c>
      <c r="I204" s="1" t="s">
        <v>21</v>
      </c>
      <c r="J204" s="8" t="str">
        <f>IF(Table1[[#This Row],[Location / Chainage]]="Precast",J203,IF(Table1[[#This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04" s="8" t="str">
        <f>IF(Table1[[#This Row],[Date]]="","",TEXT(Table1[[#This Row],[Date]],"mmm  yy"))</f>
        <v>Feb  26</v>
      </c>
    </row>
    <row r="205" spans="2:11" x14ac:dyDescent="0.3">
      <c r="B205" s="8">
        <f t="shared" si="3"/>
        <v>202</v>
      </c>
      <c r="C205" s="9">
        <v>46077</v>
      </c>
      <c r="D205" s="17">
        <v>10122</v>
      </c>
      <c r="E205" s="1" t="s">
        <v>14</v>
      </c>
      <c r="F205" s="3" t="s">
        <v>173</v>
      </c>
      <c r="G205" s="1" t="s">
        <v>9</v>
      </c>
      <c r="H205" s="16">
        <v>12</v>
      </c>
      <c r="I205" s="1" t="s">
        <v>21</v>
      </c>
      <c r="J205" s="8" t="str">
        <f>IF(Table1[[#This Row],[Location / Chainage]]="Precast",J204,IF(Table1[[#This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05" s="8" t="str">
        <f>IF(Table1[[#This Row],[Date]]="","",TEXT(Table1[[#This Row],[Date]],"mmm  yy"))</f>
        <v>Feb  26</v>
      </c>
    </row>
    <row r="206" spans="2:11" x14ac:dyDescent="0.3">
      <c r="B206" s="8">
        <f t="shared" si="3"/>
        <v>203</v>
      </c>
      <c r="C206" s="9">
        <v>46077</v>
      </c>
      <c r="D206" s="17">
        <v>11500</v>
      </c>
      <c r="E206" s="1" t="s">
        <v>14</v>
      </c>
      <c r="F206" s="3" t="s">
        <v>174</v>
      </c>
      <c r="G206" s="1" t="s">
        <v>9</v>
      </c>
      <c r="H206" s="16">
        <v>6</v>
      </c>
      <c r="I206" s="1" t="s">
        <v>21</v>
      </c>
      <c r="J206" s="8" t="str">
        <f>IF(Table1[[#This Row],[Location / Chainage]]="Precast",J205,IF(Table1[[#This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06" s="8" t="str">
        <f>IF(Table1[[#This Row],[Date]]="","",TEXT(Table1[[#This Row],[Date]],"mmm  yy"))</f>
        <v>Feb  26</v>
      </c>
    </row>
    <row r="207" spans="2:11" x14ac:dyDescent="0.3">
      <c r="B207" s="8">
        <f t="shared" si="3"/>
        <v>204</v>
      </c>
      <c r="C207" s="9">
        <v>46077</v>
      </c>
      <c r="D207" s="17">
        <v>11440</v>
      </c>
      <c r="E207" s="1" t="s">
        <v>14</v>
      </c>
      <c r="F207" s="3" t="s">
        <v>175</v>
      </c>
      <c r="G207" s="1" t="s">
        <v>9</v>
      </c>
      <c r="H207" s="16">
        <v>21.5</v>
      </c>
      <c r="I207" s="1" t="s">
        <v>21</v>
      </c>
      <c r="J207" s="8" t="str">
        <f>IF(Table1[[#This Row],[Location / Chainage]]="Precast",J206,IF(Table1[[#This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07" s="8" t="str">
        <f>IF(Table1[[#This Row],[Date]]="","",TEXT(Table1[[#This Row],[Date]],"mmm  yy"))</f>
        <v>Feb  26</v>
      </c>
    </row>
    <row r="208" spans="2:11" x14ac:dyDescent="0.3">
      <c r="B208" s="8">
        <f t="shared" si="3"/>
        <v>205</v>
      </c>
      <c r="C208" s="9">
        <v>46077</v>
      </c>
      <c r="D208" s="17">
        <v>11326</v>
      </c>
      <c r="E208" s="1" t="s">
        <v>13</v>
      </c>
      <c r="F208" s="3" t="s">
        <v>176</v>
      </c>
      <c r="G208" s="1" t="s">
        <v>16</v>
      </c>
      <c r="H208" s="16">
        <v>35</v>
      </c>
      <c r="I208" s="1" t="s">
        <v>21</v>
      </c>
      <c r="J208" s="8" t="str">
        <f>IF(Table1[[#This Row],[Location / Chainage]]="Precast",J207,IF(Table1[[#This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08" s="8" t="str">
        <f>IF(Table1[[#This Row],[Date]]="","",TEXT(Table1[[#This Row],[Date]],"mmm  yy"))</f>
        <v>Feb  26</v>
      </c>
    </row>
    <row r="209" spans="2:11" x14ac:dyDescent="0.3">
      <c r="B209" s="8">
        <f t="shared" si="3"/>
        <v>206</v>
      </c>
      <c r="C209" s="9">
        <v>46078</v>
      </c>
      <c r="D209" s="17">
        <v>8263.6</v>
      </c>
      <c r="E209" s="1" t="s">
        <v>33</v>
      </c>
      <c r="F209" s="3" t="s">
        <v>177</v>
      </c>
      <c r="G209" s="1" t="s">
        <v>62</v>
      </c>
      <c r="H209" s="16">
        <v>17</v>
      </c>
      <c r="I209" s="1" t="s">
        <v>21</v>
      </c>
      <c r="J209" s="8" t="str">
        <f>IF(Table1[[#This Row],[Location / Chainage]]="Precast",J208,IF(Table1[[#This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09" s="8" t="str">
        <f>IF(Table1[[#This Row],[Date]]="","",TEXT(Table1[[#This Row],[Date]],"mmm  yy"))</f>
        <v>Feb  26</v>
      </c>
    </row>
    <row r="210" spans="2:11" x14ac:dyDescent="0.3">
      <c r="B210" s="8">
        <f t="shared" si="3"/>
        <v>207</v>
      </c>
      <c r="C210" s="9">
        <v>46078</v>
      </c>
      <c r="D210" s="17">
        <v>7731</v>
      </c>
      <c r="E210" s="1" t="s">
        <v>13</v>
      </c>
      <c r="F210" s="3" t="s">
        <v>15</v>
      </c>
      <c r="G210" s="1" t="s">
        <v>16</v>
      </c>
      <c r="H210" s="16">
        <v>15</v>
      </c>
      <c r="I210" s="1" t="s">
        <v>21</v>
      </c>
      <c r="J210" s="8" t="str">
        <f>IF(Table1[[#This Row],[Location / Chainage]]="Precast",J209,IF(Table1[[#This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10" s="8" t="str">
        <f>IF(Table1[[#This Row],[Date]]="","",TEXT(Table1[[#This Row],[Date]],"mmm  yy"))</f>
        <v>Feb  26</v>
      </c>
    </row>
    <row r="211" spans="2:11" x14ac:dyDescent="0.3">
      <c r="B211" s="8">
        <f t="shared" si="3"/>
        <v>208</v>
      </c>
      <c r="C211" s="9">
        <v>46078</v>
      </c>
      <c r="D211" s="17">
        <v>10134</v>
      </c>
      <c r="E211" s="1" t="s">
        <v>14</v>
      </c>
      <c r="F211" s="3" t="s">
        <v>179</v>
      </c>
      <c r="G211" s="1" t="s">
        <v>9</v>
      </c>
      <c r="H211" s="16">
        <v>12</v>
      </c>
      <c r="I211" s="1" t="s">
        <v>21</v>
      </c>
      <c r="J211" s="8" t="str">
        <f>IF(Table1[[#This Row],[Location / Chainage]]="Precast",J210,IF(Table1[[#This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11" s="8" t="str">
        <f>IF(Table1[[#This Row],[Date]]="","",TEXT(Table1[[#This Row],[Date]],"mmm  yy"))</f>
        <v>Feb  26</v>
      </c>
    </row>
    <row r="212" spans="2:11" x14ac:dyDescent="0.3">
      <c r="B212" s="8">
        <f t="shared" si="3"/>
        <v>209</v>
      </c>
      <c r="C212" s="9">
        <v>46079</v>
      </c>
      <c r="D212" s="17">
        <v>165</v>
      </c>
      <c r="E212" s="1" t="s">
        <v>145</v>
      </c>
      <c r="F212" s="3" t="s">
        <v>180</v>
      </c>
      <c r="G212" s="1" t="s">
        <v>9</v>
      </c>
      <c r="H212" s="16">
        <v>8</v>
      </c>
      <c r="I212" s="1" t="s">
        <v>21</v>
      </c>
      <c r="J212" s="16" t="str">
        <f>IF(Table1[[#This Row],[Location / Chainage]]="Precast",J211,IF(Table1[[#This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12" s="16" t="str">
        <f>IF(Table1[[#This Row],[Date]]="","",TEXT(Table1[[#This Row],[Date]],"mmm  yy"))</f>
        <v>Feb  26</v>
      </c>
    </row>
    <row r="213" spans="2:11" x14ac:dyDescent="0.3">
      <c r="B213" s="8">
        <f t="shared" si="3"/>
        <v>210</v>
      </c>
      <c r="C213" s="9">
        <v>46079</v>
      </c>
      <c r="D213" s="17">
        <v>11560</v>
      </c>
      <c r="E213" s="1" t="s">
        <v>14</v>
      </c>
      <c r="F213" s="3" t="s">
        <v>181</v>
      </c>
      <c r="G213" s="1" t="s">
        <v>9</v>
      </c>
      <c r="H213" s="16">
        <v>6</v>
      </c>
      <c r="I213" s="1" t="s">
        <v>21</v>
      </c>
      <c r="J213" s="8" t="str">
        <f>IF(Table1[[#This Row],[Location / Chainage]]="Precast",J212,IF(Table1[[#This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13" s="8" t="str">
        <f>IF(Table1[[#This Row],[Date]]="","",TEXT(Table1[[#This Row],[Date]],"mmm  yy"))</f>
        <v>Feb  26</v>
      </c>
    </row>
    <row r="214" spans="2:11" x14ac:dyDescent="0.3">
      <c r="B214" s="8">
        <f t="shared" si="3"/>
        <v>211</v>
      </c>
      <c r="C214" s="9">
        <v>46079</v>
      </c>
      <c r="D214" s="17">
        <v>11496</v>
      </c>
      <c r="E214" s="1" t="s">
        <v>14</v>
      </c>
      <c r="F214" s="3" t="s">
        <v>184</v>
      </c>
      <c r="G214" s="1" t="s">
        <v>9</v>
      </c>
      <c r="H214" s="16">
        <v>11</v>
      </c>
      <c r="I214" s="1" t="s">
        <v>21</v>
      </c>
      <c r="J214" s="16" t="str">
        <f>IF(Table1[[#This Row],[Location / Chainage]]="Precast",J213,IF(Table1[[#This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14" s="16" t="str">
        <f>IF(Table1[[#This Row],[Date]]="","",TEXT(Table1[[#This Row],[Date]],"mmm  yy"))</f>
        <v>Feb  26</v>
      </c>
    </row>
    <row r="215" spans="2:11" x14ac:dyDescent="0.3">
      <c r="B215" s="8">
        <f t="shared" si="3"/>
        <v>212</v>
      </c>
      <c r="C215" s="9">
        <v>46081</v>
      </c>
      <c r="D215" s="17">
        <v>170</v>
      </c>
      <c r="E215" s="1" t="s">
        <v>145</v>
      </c>
      <c r="F215" s="3" t="s">
        <v>186</v>
      </c>
      <c r="G215" s="1" t="s">
        <v>9</v>
      </c>
      <c r="H215" s="16">
        <v>7.5</v>
      </c>
      <c r="I215" s="1" t="s">
        <v>21</v>
      </c>
      <c r="J215" s="8" t="str">
        <f>IF(Table1[[#This Row],[Location / Chainage]]="Precast",J214,IF(Table1[[#This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15" s="8" t="str">
        <f>IF(Table1[[#This Row],[Date]]="","",TEXT(Table1[[#This Row],[Date]],"mmm  yy"))</f>
        <v>Feb  26</v>
      </c>
    </row>
    <row r="216" spans="2:11" x14ac:dyDescent="0.3">
      <c r="B216" s="8">
        <f t="shared" si="3"/>
        <v>213</v>
      </c>
      <c r="C216" s="9">
        <v>46081</v>
      </c>
      <c r="D216" s="17">
        <v>10146</v>
      </c>
      <c r="E216" s="1" t="s">
        <v>14</v>
      </c>
      <c r="F216" s="3" t="s">
        <v>182</v>
      </c>
      <c r="G216" s="1" t="s">
        <v>9</v>
      </c>
      <c r="H216" s="16">
        <v>14</v>
      </c>
      <c r="I216" s="1" t="s">
        <v>21</v>
      </c>
      <c r="J216" s="16" t="str">
        <f>IF(Table1[[#This Row],[Location / Chainage]]="Precast",J215,IF(Table1[[#This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16" s="16" t="str">
        <f>IF(Table1[[#This Row],[Date]]="","",TEXT(Table1[[#This Row],[Date]],"mmm  yy"))</f>
        <v>Feb  26</v>
      </c>
    </row>
    <row r="217" spans="2:11" x14ac:dyDescent="0.3">
      <c r="B217" s="8">
        <f t="shared" si="3"/>
        <v>214</v>
      </c>
      <c r="C217" s="9">
        <v>46081</v>
      </c>
      <c r="D217" s="17">
        <v>11620</v>
      </c>
      <c r="E217" s="1" t="s">
        <v>14</v>
      </c>
      <c r="F217" s="3" t="s">
        <v>183</v>
      </c>
      <c r="G217" s="1" t="s">
        <v>9</v>
      </c>
      <c r="H217" s="16">
        <v>6</v>
      </c>
      <c r="I217" s="1" t="s">
        <v>21</v>
      </c>
      <c r="J217" s="8" t="str">
        <f>IF(Table1[[#This Row],[Location / Chainage]]="Precast",J216,IF(Table1[[#This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17" s="8" t="str">
        <f>IF(Table1[[#This Row],[Date]]="","",TEXT(Table1[[#This Row],[Date]],"mmm  yy"))</f>
        <v>Feb  26</v>
      </c>
    </row>
    <row r="218" spans="2:11" x14ac:dyDescent="0.3">
      <c r="B218" s="8">
        <f t="shared" si="3"/>
        <v>215</v>
      </c>
      <c r="C218" s="9">
        <v>46081</v>
      </c>
      <c r="D218" s="2">
        <v>11496</v>
      </c>
      <c r="E218" s="1" t="s">
        <v>14</v>
      </c>
      <c r="F218" s="3" t="s">
        <v>184</v>
      </c>
      <c r="G218" s="1" t="s">
        <v>9</v>
      </c>
      <c r="H218" s="16">
        <v>26</v>
      </c>
      <c r="I218" s="1" t="s">
        <v>21</v>
      </c>
      <c r="J218" s="16" t="str">
        <f>IF(Table1[[#This Row],[Location / Chainage]]="Precast",J217,IF(Table1[[#This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18" s="16" t="str">
        <f>IF(Table1[[#This Row],[Date]]="","",TEXT(Table1[[#This Row],[Date]],"mmm  yy"))</f>
        <v>Feb  26</v>
      </c>
    </row>
    <row r="219" spans="2:11" x14ac:dyDescent="0.3">
      <c r="B219" s="8">
        <f t="shared" si="3"/>
        <v>216</v>
      </c>
      <c r="C219" s="9">
        <v>46081</v>
      </c>
      <c r="D219" s="17">
        <v>6475</v>
      </c>
      <c r="E219" s="1" t="s">
        <v>13</v>
      </c>
      <c r="F219" s="3" t="s">
        <v>185</v>
      </c>
      <c r="G219" s="1" t="s">
        <v>16</v>
      </c>
      <c r="H219" s="16">
        <v>21</v>
      </c>
      <c r="I219" s="1" t="s">
        <v>21</v>
      </c>
      <c r="J219" s="8" t="str">
        <f>IF(Table1[[#This Row],[Location / Chainage]]="Precast",J218,IF(Table1[[#This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19" s="8" t="str">
        <f>IF(Table1[[#This Row],[Date]]="","",TEXT(Table1[[#This Row],[Date]],"mmm  yy"))</f>
        <v>Feb  26</v>
      </c>
    </row>
    <row r="220" spans="2:11" x14ac:dyDescent="0.3">
      <c r="B220" s="8">
        <f t="shared" si="3"/>
        <v>217</v>
      </c>
      <c r="C220" s="9">
        <v>46082</v>
      </c>
      <c r="D220" s="17">
        <v>60</v>
      </c>
      <c r="E220" s="1" t="s">
        <v>145</v>
      </c>
      <c r="F220" s="3" t="s">
        <v>187</v>
      </c>
      <c r="G220" s="1" t="s">
        <v>9</v>
      </c>
      <c r="H220" s="16">
        <v>8.5</v>
      </c>
      <c r="I220" s="1" t="s">
        <v>21</v>
      </c>
      <c r="J220" s="16" t="str">
        <f>IF(Table1[[#This Row],[Location / Chainage]]="Precast",J219,IF(Table1[[#This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20" s="16" t="str">
        <f>IF(Table1[[#This Row],[Date]]="","",TEXT(Table1[[#This Row],[Date]],"mmm  yy"))</f>
        <v>Mar  26</v>
      </c>
    </row>
    <row r="221" spans="2:11" x14ac:dyDescent="0.3">
      <c r="B221" s="8">
        <f t="shared" si="3"/>
        <v>218</v>
      </c>
      <c r="C221" s="9">
        <v>46082</v>
      </c>
      <c r="D221" s="17">
        <v>10182</v>
      </c>
      <c r="E221" s="1" t="s">
        <v>14</v>
      </c>
      <c r="F221" s="3" t="s">
        <v>188</v>
      </c>
      <c r="G221" s="1" t="s">
        <v>9</v>
      </c>
      <c r="H221" s="16">
        <v>12</v>
      </c>
      <c r="I221" s="1" t="s">
        <v>21</v>
      </c>
      <c r="J221" s="8" t="str">
        <f>IF(Table1[[#This Row],[Location / Chainage]]="Precast",J220,IF(Table1[[#This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21" s="8" t="str">
        <f>IF(Table1[[#This Row],[Date]]="","",TEXT(Table1[[#This Row],[Date]],"mmm  yy"))</f>
        <v>Mar  26</v>
      </c>
    </row>
    <row r="222" spans="2:11" x14ac:dyDescent="0.3">
      <c r="B222" s="8">
        <f t="shared" si="3"/>
        <v>219</v>
      </c>
      <c r="C222" s="9">
        <v>46082</v>
      </c>
      <c r="D222" s="17">
        <v>8241</v>
      </c>
      <c r="E222" s="1" t="s">
        <v>33</v>
      </c>
      <c r="F222" s="3" t="s">
        <v>189</v>
      </c>
      <c r="G222" s="1" t="s">
        <v>62</v>
      </c>
      <c r="H222" s="16">
        <v>10</v>
      </c>
      <c r="I222" s="1" t="s">
        <v>21</v>
      </c>
      <c r="J222" s="16" t="str">
        <f>IF(Table1[[#This Row],[Location / Chainage]]="Precast",J221,IF(Table1[[#This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22" s="16" t="str">
        <f>IF(Table1[[#This Row],[Date]]="","",TEXT(Table1[[#This Row],[Date]],"mmm  yy"))</f>
        <v>Mar  26</v>
      </c>
    </row>
    <row r="223" spans="2:11" x14ac:dyDescent="0.3">
      <c r="B223" s="8">
        <f t="shared" si="3"/>
        <v>220</v>
      </c>
      <c r="C223" s="9">
        <v>46082</v>
      </c>
      <c r="D223" s="17">
        <v>8252.2999999999993</v>
      </c>
      <c r="E223" s="1" t="s">
        <v>33</v>
      </c>
      <c r="F223" s="3" t="s">
        <v>190</v>
      </c>
      <c r="G223" s="1" t="s">
        <v>62</v>
      </c>
      <c r="H223" s="16">
        <v>18.5</v>
      </c>
      <c r="I223" s="1" t="s">
        <v>21</v>
      </c>
      <c r="J223" s="8" t="str">
        <f>IF(Table1[[#This Row],[Location / Chainage]]="Precast",J222,IF(Table1[[#This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23" s="8" t="str">
        <f>IF(Table1[[#This Row],[Date]]="","",TEXT(Table1[[#This Row],[Date]],"mmm  yy"))</f>
        <v>Mar  26</v>
      </c>
    </row>
    <row r="224" spans="2:11" x14ac:dyDescent="0.3">
      <c r="B224" s="8">
        <f t="shared" si="3"/>
        <v>221</v>
      </c>
      <c r="C224" s="9">
        <v>46083</v>
      </c>
      <c r="D224" s="17">
        <v>70</v>
      </c>
      <c r="E224" s="1" t="s">
        <v>145</v>
      </c>
      <c r="F224" s="3" t="s">
        <v>191</v>
      </c>
      <c r="G224" s="1" t="s">
        <v>9</v>
      </c>
      <c r="H224" s="16">
        <v>4.5</v>
      </c>
      <c r="I224" s="1" t="s">
        <v>21</v>
      </c>
      <c r="J224" s="16" t="str">
        <f>IF(Table1[[#This Row],[Location / Chainage]]="Precast",J223,IF(Table1[[#This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24" s="16" t="str">
        <f>IF(Table1[[#This Row],[Date]]="","",TEXT(Table1[[#This Row],[Date]],"mmm  yy"))</f>
        <v>Mar  26</v>
      </c>
    </row>
    <row r="225" spans="2:11" x14ac:dyDescent="0.3">
      <c r="B225" s="8">
        <f t="shared" si="3"/>
        <v>222</v>
      </c>
      <c r="C225" s="9">
        <v>46083</v>
      </c>
      <c r="D225" s="17">
        <v>10194</v>
      </c>
      <c r="E225" s="1" t="s">
        <v>14</v>
      </c>
      <c r="F225" s="3" t="s">
        <v>192</v>
      </c>
      <c r="G225" s="1" t="s">
        <v>9</v>
      </c>
      <c r="H225" s="16">
        <v>12</v>
      </c>
      <c r="I225" s="1" t="s">
        <v>21</v>
      </c>
      <c r="J225" s="8" t="str">
        <f>IF(Table1[[#This Row],[Location / Chainage]]="Precast",J224,IF(Table1[[#This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25" s="8" t="str">
        <f>IF(Table1[[#This Row],[Date]]="","",TEXT(Table1[[#This Row],[Date]],"mmm  yy"))</f>
        <v>Mar  26</v>
      </c>
    </row>
    <row r="226" spans="2:11" x14ac:dyDescent="0.3">
      <c r="B226" s="8">
        <f t="shared" si="3"/>
        <v>223</v>
      </c>
      <c r="C226" s="9">
        <v>46083</v>
      </c>
      <c r="D226" s="17">
        <v>11670</v>
      </c>
      <c r="E226" s="1" t="s">
        <v>14</v>
      </c>
      <c r="F226" s="3" t="s">
        <v>196</v>
      </c>
      <c r="G226" s="1" t="s">
        <v>9</v>
      </c>
      <c r="H226" s="16">
        <v>7</v>
      </c>
      <c r="I226" s="1" t="s">
        <v>21</v>
      </c>
      <c r="J226" s="16" t="str">
        <f>IF(Table1[[#This Row],[Location / Chainage]]="Precast",J225,IF(Table1[[#This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26" s="16" t="str">
        <f>IF(Table1[[#This Row],[Date]]="","",TEXT(Table1[[#This Row],[Date]],"mmm  yy"))</f>
        <v>Mar  26</v>
      </c>
    </row>
    <row r="227" spans="2:11" x14ac:dyDescent="0.3">
      <c r="B227" s="8">
        <f t="shared" si="3"/>
        <v>224</v>
      </c>
      <c r="C227" s="9">
        <v>46083</v>
      </c>
      <c r="D227" s="17">
        <v>11584</v>
      </c>
      <c r="E227" s="1" t="s">
        <v>14</v>
      </c>
      <c r="F227" s="3" t="s">
        <v>193</v>
      </c>
      <c r="G227" s="1" t="s">
        <v>9</v>
      </c>
      <c r="H227" s="16">
        <v>10</v>
      </c>
      <c r="I227" s="1" t="s">
        <v>21</v>
      </c>
      <c r="J227" s="8" t="str">
        <f>IF(Table1[[#This Row],[Location / Chainage]]="Precast",J226,IF(Table1[[#This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27" s="8" t="str">
        <f>IF(Table1[[#This Row],[Date]]="","",TEXT(Table1[[#This Row],[Date]],"mmm  yy"))</f>
        <v>Mar  26</v>
      </c>
    </row>
    <row r="228" spans="2:11" x14ac:dyDescent="0.3">
      <c r="B228" s="8">
        <f t="shared" si="3"/>
        <v>225</v>
      </c>
      <c r="C228" s="9">
        <v>46084</v>
      </c>
      <c r="D228" s="17">
        <v>80</v>
      </c>
      <c r="E228" s="1" t="s">
        <v>145</v>
      </c>
      <c r="F228" s="3" t="s">
        <v>194</v>
      </c>
      <c r="G228" s="1" t="s">
        <v>9</v>
      </c>
      <c r="H228" s="16">
        <v>9</v>
      </c>
      <c r="I228" s="1" t="s">
        <v>21</v>
      </c>
      <c r="J228" s="16" t="str">
        <f>IF(Table1[[#This Row],[Location / Chainage]]="Precast",J227,IF(Table1[[#This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28" s="16" t="str">
        <f>IF(Table1[[#This Row],[Date]]="","",TEXT(Table1[[#This Row],[Date]],"mmm  yy"))</f>
        <v>Mar  26</v>
      </c>
    </row>
    <row r="229" spans="2:11" x14ac:dyDescent="0.3">
      <c r="B229" s="8">
        <f t="shared" si="3"/>
        <v>226</v>
      </c>
      <c r="C229" s="9">
        <v>46084</v>
      </c>
      <c r="D229" s="17">
        <v>11608</v>
      </c>
      <c r="E229" s="1" t="s">
        <v>14</v>
      </c>
      <c r="F229" s="3" t="s">
        <v>195</v>
      </c>
      <c r="G229" s="1" t="s">
        <v>9</v>
      </c>
      <c r="H229" s="16">
        <v>20</v>
      </c>
      <c r="I229" s="1" t="s">
        <v>21</v>
      </c>
      <c r="J229" s="8" t="str">
        <f>IF(Table1[[#This Row],[Location / Chainage]]="Precast",J228,IF(Table1[[#This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29" s="8" t="str">
        <f>IF(Table1[[#This Row],[Date]]="","",TEXT(Table1[[#This Row],[Date]],"mmm  yy"))</f>
        <v>Mar  26</v>
      </c>
    </row>
    <row r="230" spans="2:11" x14ac:dyDescent="0.3">
      <c r="B230" s="8">
        <f t="shared" si="3"/>
        <v>227</v>
      </c>
      <c r="C230" s="9">
        <v>46085</v>
      </c>
      <c r="D230" s="17">
        <v>11700</v>
      </c>
      <c r="E230" s="1" t="s">
        <v>14</v>
      </c>
      <c r="F230" s="3" t="s">
        <v>197</v>
      </c>
      <c r="G230" s="1" t="s">
        <v>9</v>
      </c>
      <c r="H230" s="16">
        <v>13.5</v>
      </c>
      <c r="I230" s="1" t="s">
        <v>21</v>
      </c>
      <c r="J230" s="16" t="str">
        <f>IF(Table1[[#This Row],[Location / Chainage]]="Precast",J229,IF(Table1[[#This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30" s="16" t="str">
        <f>IF(Table1[[#This Row],[Date]]="","",TEXT(Table1[[#This Row],[Date]],"mmm  yy"))</f>
        <v>Mar  26</v>
      </c>
    </row>
    <row r="231" spans="2:11" x14ac:dyDescent="0.3">
      <c r="B231" s="8">
        <f t="shared" si="3"/>
        <v>228</v>
      </c>
      <c r="C231" s="9">
        <v>46086</v>
      </c>
      <c r="D231" s="17">
        <v>8221</v>
      </c>
      <c r="E231" s="1" t="s">
        <v>33</v>
      </c>
      <c r="F231" s="3" t="s">
        <v>198</v>
      </c>
      <c r="G231" s="1" t="s">
        <v>62</v>
      </c>
      <c r="H231" s="16">
        <v>21</v>
      </c>
      <c r="I231" s="1" t="s">
        <v>21</v>
      </c>
      <c r="J231" s="8" t="str">
        <f>IF(Table1[[#This Row],[Location / Chainage]]="Precast",J230,IF(Table1[[#This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31" s="8" t="str">
        <f>IF(Table1[[#This Row],[Date]]="","",TEXT(Table1[[#This Row],[Date]],"mmm  yy"))</f>
        <v>Mar  26</v>
      </c>
    </row>
    <row r="232" spans="2:11" x14ac:dyDescent="0.3">
      <c r="B232" s="8">
        <f t="shared" si="3"/>
        <v>229</v>
      </c>
      <c r="C232" s="9">
        <v>46086</v>
      </c>
      <c r="D232" s="17">
        <v>8185</v>
      </c>
      <c r="E232" s="1" t="s">
        <v>33</v>
      </c>
      <c r="F232" s="3" t="s">
        <v>199</v>
      </c>
      <c r="G232" s="1" t="s">
        <v>62</v>
      </c>
      <c r="H232" s="16">
        <v>33.5</v>
      </c>
      <c r="I232" s="1" t="s">
        <v>21</v>
      </c>
      <c r="J232" s="16" t="str">
        <f>IF(Table1[[#This Row],[Location / Chainage]]="Precast",J231,IF(Table1[[#This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32" s="16" t="str">
        <f>IF(Table1[[#This Row],[Date]]="","",TEXT(Table1[[#This Row],[Date]],"mmm  yy"))</f>
        <v>Mar  26</v>
      </c>
    </row>
    <row r="233" spans="2:11" x14ac:dyDescent="0.3">
      <c r="B233" s="8">
        <f t="shared" si="3"/>
        <v>230</v>
      </c>
      <c r="C233" s="9">
        <v>46086</v>
      </c>
      <c r="D233" s="17">
        <v>10206</v>
      </c>
      <c r="E233" s="1" t="s">
        <v>14</v>
      </c>
      <c r="F233" s="3" t="s">
        <v>200</v>
      </c>
      <c r="G233" s="1" t="s">
        <v>9</v>
      </c>
      <c r="H233" s="16">
        <v>11</v>
      </c>
      <c r="I233" s="1" t="s">
        <v>21</v>
      </c>
      <c r="J233" s="8" t="str">
        <f>IF(Table1[[#This Row],[Location / Chainage]]="Precast",J232,IF(Table1[[#This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33" s="8" t="str">
        <f>IF(Table1[[#This Row],[Date]]="","",TEXT(Table1[[#This Row],[Date]],"mmm  yy"))</f>
        <v>Mar  26</v>
      </c>
    </row>
    <row r="234" spans="2:11" x14ac:dyDescent="0.3">
      <c r="B234" s="8">
        <f t="shared" si="3"/>
        <v>231</v>
      </c>
      <c r="C234" s="9">
        <v>46086</v>
      </c>
      <c r="D234" s="17">
        <v>11830</v>
      </c>
      <c r="E234" s="1" t="s">
        <v>14</v>
      </c>
      <c r="F234" s="3" t="s">
        <v>201</v>
      </c>
      <c r="G234" s="1" t="s">
        <v>11</v>
      </c>
      <c r="H234" s="16">
        <v>7</v>
      </c>
      <c r="I234" s="1" t="s">
        <v>21</v>
      </c>
      <c r="J234" s="16" t="str">
        <f>IF(Table1[[#This Row],[Location / Chainage]]="Precast",J233,IF(Table1[[#This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34" s="16" t="str">
        <f>IF(Table1[[#This Row],[Date]]="","",TEXT(Table1[[#This Row],[Date]],"mmm  yy"))</f>
        <v>Mar  26</v>
      </c>
    </row>
    <row r="235" spans="2:11" x14ac:dyDescent="0.3">
      <c r="B235" s="8">
        <f t="shared" si="3"/>
        <v>232</v>
      </c>
      <c r="C235" s="9">
        <v>46088</v>
      </c>
      <c r="D235" s="17">
        <v>11440</v>
      </c>
      <c r="E235" s="1" t="s">
        <v>14</v>
      </c>
      <c r="F235" s="3" t="s">
        <v>202</v>
      </c>
      <c r="G235" s="1" t="s">
        <v>9</v>
      </c>
      <c r="H235" s="16">
        <v>13</v>
      </c>
      <c r="I235" s="1" t="s">
        <v>21</v>
      </c>
      <c r="J235" s="8" t="str">
        <f>IF(Table1[[#This Row],[Location / Chainage]]="Precast",J234,IF(Table1[[#This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35" s="8" t="str">
        <f>IF(Table1[[#This Row],[Date]]="","",TEXT(Table1[[#This Row],[Date]],"mmm  yy"))</f>
        <v>Mar  26</v>
      </c>
    </row>
    <row r="236" spans="2:11" x14ac:dyDescent="0.3">
      <c r="B236" s="8">
        <f t="shared" si="3"/>
        <v>233</v>
      </c>
      <c r="C236" s="9">
        <v>46088</v>
      </c>
      <c r="D236" s="17">
        <v>11644</v>
      </c>
      <c r="E236" s="1" t="s">
        <v>14</v>
      </c>
      <c r="F236" s="3" t="s">
        <v>203</v>
      </c>
      <c r="G236" s="1" t="s">
        <v>9</v>
      </c>
      <c r="H236" s="16">
        <v>11</v>
      </c>
      <c r="I236" s="1" t="s">
        <v>21</v>
      </c>
      <c r="J236" s="16" t="str">
        <f>IF(Table1[[#This Row],[Location / Chainage]]="Precast",J235,IF(Table1[[#This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36" s="16" t="str">
        <f>IF(Table1[[#This Row],[Date]]="","",TEXT(Table1[[#This Row],[Date]],"mmm  yy"))</f>
        <v>Mar  26</v>
      </c>
    </row>
    <row r="237" spans="2:11" x14ac:dyDescent="0.3">
      <c r="B237" s="8">
        <f t="shared" si="3"/>
        <v>234</v>
      </c>
      <c r="C237" s="9">
        <v>46088</v>
      </c>
      <c r="D237" s="17">
        <v>11870</v>
      </c>
      <c r="E237" s="1" t="s">
        <v>14</v>
      </c>
      <c r="F237" s="3" t="s">
        <v>204</v>
      </c>
      <c r="G237" s="1" t="s">
        <v>11</v>
      </c>
      <c r="H237" s="16">
        <v>4.5</v>
      </c>
      <c r="I237" s="1" t="s">
        <v>21</v>
      </c>
      <c r="J237" s="8" t="str">
        <f>IF(Table1[[#This Row],[Location / Chainage]]="Precast",J236,IF(Table1[[#This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37" s="8" t="str">
        <f>IF(Table1[[#This Row],[Date]]="","",TEXT(Table1[[#This Row],[Date]],"mmm  yy"))</f>
        <v>Mar  26</v>
      </c>
    </row>
    <row r="238" spans="2:11" x14ac:dyDescent="0.3">
      <c r="B238" s="8">
        <f t="shared" si="3"/>
        <v>235</v>
      </c>
      <c r="C238" s="9">
        <v>46088</v>
      </c>
      <c r="D238" s="17">
        <v>7731</v>
      </c>
      <c r="E238" s="1" t="s">
        <v>13</v>
      </c>
      <c r="F238" s="3" t="s">
        <v>205</v>
      </c>
      <c r="G238" s="1" t="s">
        <v>16</v>
      </c>
      <c r="H238" s="16">
        <v>22</v>
      </c>
      <c r="I238" s="1" t="s">
        <v>21</v>
      </c>
      <c r="J238" s="16" t="str">
        <f>IF(Table1[[#This Row],[Location / Chainage]]="Precast",J237,IF(Table1[[#This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38" s="16" t="str">
        <f>IF(Table1[[#This Row],[Date]]="","",TEXT(Table1[[#This Row],[Date]],"mmm  yy"))</f>
        <v>Mar  26</v>
      </c>
    </row>
    <row r="239" spans="2:11" x14ac:dyDescent="0.3">
      <c r="B239" s="8">
        <f t="shared" si="3"/>
        <v>236</v>
      </c>
      <c r="C239" s="9">
        <v>46089</v>
      </c>
      <c r="D239" s="17">
        <v>90</v>
      </c>
      <c r="E239" s="1" t="s">
        <v>145</v>
      </c>
      <c r="F239" s="3" t="s">
        <v>206</v>
      </c>
      <c r="G239" s="1" t="s">
        <v>9</v>
      </c>
      <c r="H239" s="16">
        <v>9</v>
      </c>
      <c r="I239" s="1" t="s">
        <v>21</v>
      </c>
      <c r="J239" s="8" t="str">
        <f>IF(Table1[[#This Row],[Location / Chainage]]="Precast",J238,IF(Table1[[#This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39" s="8" t="str">
        <f>IF(Table1[[#This Row],[Date]]="","",TEXT(Table1[[#This Row],[Date]],"mmm  yy"))</f>
        <v>Mar  26</v>
      </c>
    </row>
    <row r="240" spans="2:11" x14ac:dyDescent="0.3">
      <c r="B240" s="8">
        <f t="shared" si="3"/>
        <v>237</v>
      </c>
      <c r="C240" s="9">
        <v>46089</v>
      </c>
      <c r="D240" s="17">
        <v>11452</v>
      </c>
      <c r="E240" s="1" t="s">
        <v>14</v>
      </c>
      <c r="F240" s="3" t="s">
        <v>207</v>
      </c>
      <c r="G240" s="1" t="s">
        <v>9</v>
      </c>
      <c r="H240" s="16">
        <v>13</v>
      </c>
      <c r="I240" s="1" t="s">
        <v>21</v>
      </c>
      <c r="J240" s="16" t="str">
        <f>IF(Table1[[#This Row],[Location / Chainage]]="Precast",J239,IF(Table1[[#This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40" s="16" t="str">
        <f>IF(Table1[[#This Row],[Date]]="","",TEXT(Table1[[#This Row],[Date]],"mmm  yy"))</f>
        <v>Mar  26</v>
      </c>
    </row>
    <row r="241" spans="2:11" x14ac:dyDescent="0.3">
      <c r="B241" s="8">
        <f t="shared" si="3"/>
        <v>238</v>
      </c>
      <c r="C241" s="9">
        <v>46089</v>
      </c>
      <c r="D241" s="17">
        <v>8213</v>
      </c>
      <c r="E241" s="1" t="s">
        <v>33</v>
      </c>
      <c r="F241" s="3" t="s">
        <v>208</v>
      </c>
      <c r="G241" s="1" t="s">
        <v>62</v>
      </c>
      <c r="H241" s="16">
        <v>12</v>
      </c>
      <c r="I241" s="1" t="s">
        <v>21</v>
      </c>
      <c r="J241" s="8" t="str">
        <f>IF(Table1[[#This Row],[Location / Chainage]]="Precast",J240,IF(Table1[[#This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41" s="8" t="str">
        <f>IF(Table1[[#This Row],[Date]]="","",TEXT(Table1[[#This Row],[Date]],"mmm  yy"))</f>
        <v>Mar  26</v>
      </c>
    </row>
    <row r="242" spans="2:11" x14ac:dyDescent="0.3">
      <c r="B242" s="8">
        <f t="shared" si="3"/>
        <v>239</v>
      </c>
      <c r="C242" s="9">
        <v>46089</v>
      </c>
      <c r="D242" s="17">
        <v>12172</v>
      </c>
      <c r="E242" s="1" t="s">
        <v>13</v>
      </c>
      <c r="F242" s="3" t="s">
        <v>209</v>
      </c>
      <c r="G242" s="1" t="s">
        <v>16</v>
      </c>
      <c r="H242" s="16">
        <v>4.5</v>
      </c>
      <c r="I242" s="1" t="s">
        <v>21</v>
      </c>
      <c r="J242" s="16" t="str">
        <f>IF(Table1[[#This Row],[Location / Chainage]]="Precast",J241,IF(Table1[[#This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42" s="16" t="str">
        <f>IF(Table1[[#This Row],[Date]]="","",TEXT(Table1[[#This Row],[Date]],"mmm  yy"))</f>
        <v>Mar  26</v>
      </c>
    </row>
    <row r="243" spans="2:11" x14ac:dyDescent="0.3">
      <c r="B243" s="8">
        <f t="shared" si="3"/>
        <v>240</v>
      </c>
      <c r="C243" s="9">
        <v>46089</v>
      </c>
      <c r="D243" s="17">
        <v>12265</v>
      </c>
      <c r="E243" s="1" t="s">
        <v>13</v>
      </c>
      <c r="F243" s="3" t="s">
        <v>126</v>
      </c>
      <c r="G243" s="1" t="s">
        <v>16</v>
      </c>
      <c r="H243" s="16">
        <v>7.5</v>
      </c>
      <c r="I243" s="1" t="s">
        <v>21</v>
      </c>
      <c r="J243" s="8" t="str">
        <f>IF(Table1[[#This Row],[Location / Chainage]]="Precast",J242,IF(Table1[[#This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43" s="8" t="str">
        <f>IF(Table1[[#This Row],[Date]]="","",TEXT(Table1[[#This Row],[Date]],"mmm  yy"))</f>
        <v>Mar  26</v>
      </c>
    </row>
    <row r="244" spans="2:11" x14ac:dyDescent="0.3">
      <c r="B244" s="8">
        <f t="shared" si="3"/>
        <v>241</v>
      </c>
      <c r="C244" s="9">
        <v>46090</v>
      </c>
      <c r="D244" s="17">
        <v>11488</v>
      </c>
      <c r="E244" s="1" t="s">
        <v>14</v>
      </c>
      <c r="F244" s="3" t="s">
        <v>210</v>
      </c>
      <c r="G244" s="1" t="s">
        <v>9</v>
      </c>
      <c r="H244" s="16">
        <v>13</v>
      </c>
      <c r="I244" s="1" t="s">
        <v>21</v>
      </c>
      <c r="J244" s="16" t="str">
        <f>IF(Table1[[#This Row],[Location / Chainage]]="Precast",J243,IF(Table1[[#This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44" s="16" t="str">
        <f>IF(Table1[[#This Row],[Date]]="","",TEXT(Table1[[#This Row],[Date]],"mmm  yy"))</f>
        <v>Mar  26</v>
      </c>
    </row>
    <row r="245" spans="2:11" x14ac:dyDescent="0.3">
      <c r="B245" s="8">
        <f t="shared" si="3"/>
        <v>242</v>
      </c>
      <c r="C245" s="9">
        <v>46090</v>
      </c>
      <c r="D245" s="17">
        <v>10248</v>
      </c>
      <c r="E245" s="1" t="s">
        <v>14</v>
      </c>
      <c r="F245" s="3" t="s">
        <v>211</v>
      </c>
      <c r="G245" s="1" t="s">
        <v>11</v>
      </c>
      <c r="H245" s="16">
        <v>5</v>
      </c>
      <c r="I245" s="1" t="s">
        <v>21</v>
      </c>
      <c r="J245" s="8" t="str">
        <f>IF(Table1[[#This Row],[Location / Chainage]]="Precast",J244,IF(Table1[[#This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45" s="8" t="str">
        <f>IF(Table1[[#This Row],[Date]]="","",TEXT(Table1[[#This Row],[Date]],"mmm  yy"))</f>
        <v>Mar  26</v>
      </c>
    </row>
    <row r="246" spans="2:11" x14ac:dyDescent="0.3">
      <c r="B246" s="8">
        <f t="shared" si="3"/>
        <v>243</v>
      </c>
      <c r="C246" s="9">
        <v>46090</v>
      </c>
      <c r="D246" s="17">
        <v>8229</v>
      </c>
      <c r="E246" s="1" t="s">
        <v>33</v>
      </c>
      <c r="F246" s="3" t="s">
        <v>212</v>
      </c>
      <c r="G246" s="1" t="s">
        <v>62</v>
      </c>
      <c r="H246" s="16">
        <v>16</v>
      </c>
      <c r="I246" s="1" t="s">
        <v>21</v>
      </c>
      <c r="J246" s="16" t="str">
        <f>IF(Table1[[#This Row],[Location / Chainage]]="Precast",J245,IF(Table1[[#This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46" s="16" t="str">
        <f>IF(Table1[[#This Row],[Date]]="","",TEXT(Table1[[#This Row],[Date]],"mmm  yy"))</f>
        <v>Mar  26</v>
      </c>
    </row>
    <row r="247" spans="2:11" x14ac:dyDescent="0.3">
      <c r="B247" s="8">
        <f t="shared" si="3"/>
        <v>244</v>
      </c>
      <c r="C247" s="9">
        <v>46091</v>
      </c>
      <c r="D247" s="17">
        <v>11500</v>
      </c>
      <c r="E247" s="1" t="s">
        <v>14</v>
      </c>
      <c r="F247" s="3" t="s">
        <v>213</v>
      </c>
      <c r="G247" s="1" t="s">
        <v>9</v>
      </c>
      <c r="H247" s="16">
        <v>13</v>
      </c>
      <c r="I247" s="1" t="s">
        <v>21</v>
      </c>
      <c r="J247" s="8" t="str">
        <f>IF(Table1[[#This Row],[Location / Chainage]]="Precast",J246,IF(Table1[[#This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47" s="8" t="str">
        <f>IF(Table1[[#This Row],[Date]]="","",TEXT(Table1[[#This Row],[Date]],"mmm  yy"))</f>
        <v>Mar  26</v>
      </c>
    </row>
    <row r="248" spans="2:11" x14ac:dyDescent="0.3">
      <c r="B248" s="8">
        <f t="shared" si="3"/>
        <v>245</v>
      </c>
      <c r="C248" s="9">
        <v>46091</v>
      </c>
      <c r="D248" s="17">
        <v>8203.1</v>
      </c>
      <c r="E248" s="1" t="s">
        <v>33</v>
      </c>
      <c r="F248" s="3" t="s">
        <v>214</v>
      </c>
      <c r="G248" s="1" t="s">
        <v>62</v>
      </c>
      <c r="H248" s="16">
        <v>17</v>
      </c>
      <c r="I248" s="1" t="s">
        <v>21</v>
      </c>
      <c r="J248" s="16" t="str">
        <f>IF(Table1[[#This Row],[Location / Chainage]]="Precast",J247,IF(Table1[[#This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48" s="16" t="str">
        <f>IF(Table1[[#This Row],[Date]]="","",TEXT(Table1[[#This Row],[Date]],"mmm  yy"))</f>
        <v>Mar  26</v>
      </c>
    </row>
    <row r="249" spans="2:11" x14ac:dyDescent="0.3">
      <c r="B249" s="8">
        <f t="shared" si="3"/>
        <v>246</v>
      </c>
      <c r="C249" s="9">
        <v>46092</v>
      </c>
      <c r="D249" s="17">
        <v>100</v>
      </c>
      <c r="E249" s="1" t="s">
        <v>145</v>
      </c>
      <c r="F249" s="3" t="s">
        <v>215</v>
      </c>
      <c r="G249" s="1" t="s">
        <v>9</v>
      </c>
      <c r="H249" s="16">
        <v>9</v>
      </c>
      <c r="I249" s="1" t="s">
        <v>21</v>
      </c>
      <c r="J249" s="8" t="str">
        <f>IF(Table1[[#This Row],[Location / Chainage]]="Precast",J248,IF(Table1[[#This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49" s="8" t="str">
        <f>IF(Table1[[#This Row],[Date]]="","",TEXT(Table1[[#This Row],[Date]],"mmm  yy"))</f>
        <v>Mar  26</v>
      </c>
    </row>
    <row r="250" spans="2:11" x14ac:dyDescent="0.3">
      <c r="B250" s="8">
        <f t="shared" si="3"/>
        <v>247</v>
      </c>
      <c r="C250" s="9">
        <v>46092</v>
      </c>
      <c r="D250" s="17">
        <v>8195</v>
      </c>
      <c r="E250" s="1" t="s">
        <v>33</v>
      </c>
      <c r="F250" s="3" t="s">
        <v>216</v>
      </c>
      <c r="G250" s="1" t="s">
        <v>62</v>
      </c>
      <c r="H250" s="16">
        <v>13</v>
      </c>
      <c r="I250" s="1" t="s">
        <v>21</v>
      </c>
      <c r="J250" s="16" t="str">
        <f>IF(Table1[[#This Row],[Location / Chainage]]="Precast",J249,IF(Table1[[#This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50" s="16" t="str">
        <f>IF(Table1[[#This Row],[Date]]="","",TEXT(Table1[[#This Row],[Date]],"mmm  yy"))</f>
        <v>Mar  26</v>
      </c>
    </row>
    <row r="251" spans="2:11" x14ac:dyDescent="0.3">
      <c r="B251" s="8">
        <f t="shared" si="3"/>
        <v>248</v>
      </c>
      <c r="C251" s="9">
        <v>46093</v>
      </c>
      <c r="D251" s="17">
        <v>11694</v>
      </c>
      <c r="E251" s="1" t="s">
        <v>14</v>
      </c>
      <c r="F251" s="3" t="s">
        <v>217</v>
      </c>
      <c r="G251" s="1" t="s">
        <v>9</v>
      </c>
      <c r="H251" s="16">
        <v>11</v>
      </c>
      <c r="I251" s="1" t="s">
        <v>21</v>
      </c>
      <c r="J251" s="8" t="str">
        <f>IF(Table1[[#This Row],[Location / Chainage]]="Precast",J250,IF(Table1[[#This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51" s="8" t="str">
        <f>IF(Table1[[#This Row],[Date]]="","",TEXT(Table1[[#This Row],[Date]],"mmm  yy"))</f>
        <v>Mar  26</v>
      </c>
    </row>
    <row r="252" spans="2:11" x14ac:dyDescent="0.3">
      <c r="B252" s="8">
        <f t="shared" si="3"/>
        <v>249</v>
      </c>
      <c r="C252" s="9">
        <v>46093</v>
      </c>
      <c r="D252" s="17">
        <v>11536</v>
      </c>
      <c r="E252" s="1" t="s">
        <v>14</v>
      </c>
      <c r="F252" s="3" t="s">
        <v>218</v>
      </c>
      <c r="G252" s="1" t="s">
        <v>9</v>
      </c>
      <c r="H252" s="16">
        <v>13</v>
      </c>
      <c r="I252" s="1" t="s">
        <v>21</v>
      </c>
      <c r="J252" s="16" t="str">
        <f>IF(Table1[[#This Row],[Location / Chainage]]="Precast",J251,IF(Table1[[#This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52" s="16" t="str">
        <f>IF(Table1[[#This Row],[Date]]="","",TEXT(Table1[[#This Row],[Date]],"mmm  yy"))</f>
        <v>Mar  26</v>
      </c>
    </row>
    <row r="253" spans="2:11" x14ac:dyDescent="0.3">
      <c r="B253" s="8">
        <f t="shared" si="3"/>
        <v>250</v>
      </c>
      <c r="C253" s="9">
        <v>46093</v>
      </c>
      <c r="D253" s="17">
        <v>8221</v>
      </c>
      <c r="E253" s="1" t="s">
        <v>33</v>
      </c>
      <c r="F253" s="3" t="s">
        <v>219</v>
      </c>
      <c r="G253" s="1" t="s">
        <v>62</v>
      </c>
      <c r="H253" s="16">
        <v>12</v>
      </c>
      <c r="I253" s="1" t="s">
        <v>21</v>
      </c>
      <c r="J253" s="8" t="str">
        <f>IF(Table1[[#This Row],[Location / Chainage]]="Precast",J252,IF(Table1[[#This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53" s="8" t="str">
        <f>IF(Table1[[#This Row],[Date]]="","",TEXT(Table1[[#This Row],[Date]],"mmm  yy"))</f>
        <v>Mar  26</v>
      </c>
    </row>
    <row r="254" spans="2:11" x14ac:dyDescent="0.3">
      <c r="B254" s="8">
        <f t="shared" si="3"/>
        <v>251</v>
      </c>
      <c r="C254" s="9">
        <v>46093</v>
      </c>
      <c r="D254" s="17">
        <v>8051</v>
      </c>
      <c r="E254" s="1" t="s">
        <v>33</v>
      </c>
      <c r="F254" s="3" t="s">
        <v>220</v>
      </c>
      <c r="G254" s="1" t="s">
        <v>62</v>
      </c>
      <c r="H254" s="16">
        <v>2.5</v>
      </c>
      <c r="I254" s="1" t="s">
        <v>21</v>
      </c>
      <c r="J254" s="16" t="str">
        <f>IF(Table1[[#This Row],[Location / Chainage]]="Precast",J253,IF(Table1[[#This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54" s="16" t="str">
        <f>IF(Table1[[#This Row],[Date]]="","",TEXT(Table1[[#This Row],[Date]],"mmm  yy"))</f>
        <v>Mar  26</v>
      </c>
    </row>
    <row r="255" spans="2:11" x14ac:dyDescent="0.3">
      <c r="B255" s="8">
        <f t="shared" si="3"/>
        <v>252</v>
      </c>
      <c r="C255" s="9">
        <v>46093</v>
      </c>
      <c r="D255" s="17">
        <v>6475</v>
      </c>
      <c r="E255" s="1" t="s">
        <v>13</v>
      </c>
      <c r="F255" s="3" t="s">
        <v>27</v>
      </c>
      <c r="G255" s="1" t="s">
        <v>16</v>
      </c>
      <c r="H255" s="16">
        <v>5</v>
      </c>
      <c r="I255" s="1" t="s">
        <v>21</v>
      </c>
      <c r="J255" s="8" t="str">
        <f>IF(Table1[[#This Row],[Location / Chainage]]="Precast",J254,IF(Table1[[#This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55" s="8" t="str">
        <f>IF(Table1[[#This Row],[Date]]="","",TEXT(Table1[[#This Row],[Date]],"mmm  yy"))</f>
        <v>Mar  26</v>
      </c>
    </row>
    <row r="256" spans="2:11" x14ac:dyDescent="0.3">
      <c r="B256" s="8">
        <f t="shared" si="3"/>
        <v>253</v>
      </c>
      <c r="C256" s="9">
        <v>46093</v>
      </c>
      <c r="D256" s="2">
        <v>110</v>
      </c>
      <c r="E256" s="1" t="s">
        <v>145</v>
      </c>
      <c r="F256" s="3" t="s">
        <v>221</v>
      </c>
      <c r="G256" s="1" t="s">
        <v>9</v>
      </c>
      <c r="H256" s="16">
        <v>13</v>
      </c>
      <c r="I256" s="1" t="s">
        <v>21</v>
      </c>
      <c r="J256" s="16" t="str">
        <f>IF(Table1[[#This Row],[Location / Chainage]]="Precast",J255,IF(Table1[[#This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56" s="16" t="str">
        <f>IF(Table1[[#This Row],[Date]]="","",TEXT(Table1[[#This Row],[Date]],"mmm  yy"))</f>
        <v>Mar  26</v>
      </c>
    </row>
    <row r="257" spans="2:11" x14ac:dyDescent="0.3">
      <c r="B257" s="8">
        <f t="shared" si="3"/>
        <v>254</v>
      </c>
      <c r="C257" s="9">
        <v>46095</v>
      </c>
      <c r="D257" s="17">
        <v>13930</v>
      </c>
      <c r="E257" s="1" t="s">
        <v>13</v>
      </c>
      <c r="F257" s="3" t="s">
        <v>222</v>
      </c>
      <c r="G257" s="1" t="s">
        <v>9</v>
      </c>
      <c r="H257" s="16">
        <v>10.5</v>
      </c>
      <c r="I257" s="1" t="s">
        <v>21</v>
      </c>
      <c r="J257" s="8" t="str">
        <f>IF(Table1[[#This Row],[Location / Chainage]]="Precast",J256,IF(Table1[[#This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57" s="8" t="str">
        <f>IF(Table1[[#This Row],[Date]]="","",TEXT(Table1[[#This Row],[Date]],"mmm  yy"))</f>
        <v>Mar  26</v>
      </c>
    </row>
    <row r="258" spans="2:11" x14ac:dyDescent="0.3">
      <c r="B258" s="8">
        <f t="shared" si="3"/>
        <v>255</v>
      </c>
      <c r="C258" s="9">
        <v>46095</v>
      </c>
      <c r="D258" s="17">
        <v>11694</v>
      </c>
      <c r="E258" s="1" t="s">
        <v>14</v>
      </c>
      <c r="F258" s="3" t="s">
        <v>223</v>
      </c>
      <c r="G258" s="1" t="s">
        <v>9</v>
      </c>
      <c r="H258" s="16">
        <v>16</v>
      </c>
      <c r="I258" s="1" t="s">
        <v>21</v>
      </c>
      <c r="J258" s="16" t="str">
        <f>IF(Table1[[#This Row],[Location / Chainage]]="Precast",J257,IF(Table1[[#This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58" s="16" t="str">
        <f>IF(Table1[[#This Row],[Date]]="","",TEXT(Table1[[#This Row],[Date]],"mmm  yy"))</f>
        <v>Mar  26</v>
      </c>
    </row>
    <row r="259" spans="2:11" x14ac:dyDescent="0.3">
      <c r="B259" s="8">
        <f t="shared" si="3"/>
        <v>256</v>
      </c>
      <c r="C259" s="9">
        <v>46095</v>
      </c>
      <c r="D259" s="17">
        <v>11548</v>
      </c>
      <c r="E259" s="1" t="s">
        <v>14</v>
      </c>
      <c r="F259" s="3" t="s">
        <v>224</v>
      </c>
      <c r="G259" s="1" t="s">
        <v>9</v>
      </c>
      <c r="H259" s="16">
        <v>7</v>
      </c>
      <c r="I259" s="1" t="s">
        <v>21</v>
      </c>
      <c r="J259" s="8" t="str">
        <f>IF(Table1[[#This Row],[Location / Chainage]]="Precast",J258,IF(Table1[[#This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59" s="8" t="str">
        <f>IF(Table1[[#This Row],[Date]]="","",TEXT(Table1[[#This Row],[Date]],"mmm  yy"))</f>
        <v>Mar  26</v>
      </c>
    </row>
    <row r="260" spans="2:11" x14ac:dyDescent="0.3">
      <c r="B260" s="8">
        <f t="shared" si="3"/>
        <v>257</v>
      </c>
      <c r="C260" s="9">
        <v>46095</v>
      </c>
      <c r="D260" s="17">
        <v>8290</v>
      </c>
      <c r="E260" s="1" t="s">
        <v>13</v>
      </c>
      <c r="F260" s="3" t="s">
        <v>225</v>
      </c>
      <c r="G260" s="1" t="s">
        <v>9</v>
      </c>
      <c r="H260" s="16">
        <v>1.5</v>
      </c>
      <c r="I260" s="1" t="s">
        <v>21</v>
      </c>
      <c r="J260" s="16" t="str">
        <f>IF(Table1[[#This Row],[Location / Chainage]]="Precast",J259,IF(Table1[[#This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60" s="16" t="str">
        <f>IF(Table1[[#This Row],[Date]]="","",TEXT(Table1[[#This Row],[Date]],"mmm  yy"))</f>
        <v>Mar  26</v>
      </c>
    </row>
    <row r="261" spans="2:11" x14ac:dyDescent="0.3">
      <c r="B261" s="8">
        <f t="shared" si="3"/>
        <v>258</v>
      </c>
      <c r="C261" s="9">
        <v>46095</v>
      </c>
      <c r="D261" s="17">
        <v>120</v>
      </c>
      <c r="E261" s="1" t="s">
        <v>145</v>
      </c>
      <c r="F261" s="3" t="s">
        <v>226</v>
      </c>
      <c r="G261" s="1" t="s">
        <v>9</v>
      </c>
      <c r="H261" s="16">
        <v>8</v>
      </c>
      <c r="I261" s="1" t="s">
        <v>21</v>
      </c>
      <c r="J261" s="8" t="str">
        <f>IF(Table1[[#This Row],[Location / Chainage]]="Precast",J260,IF(Table1[[#This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61" s="8" t="str">
        <f>IF(Table1[[#This Row],[Date]]="","",TEXT(Table1[[#This Row],[Date]],"mmm  yy"))</f>
        <v>Mar  26</v>
      </c>
    </row>
    <row r="262" spans="2:11" x14ac:dyDescent="0.3">
      <c r="B262" s="8">
        <f t="shared" ref="B262:B325" si="4">1+B261</f>
        <v>259</v>
      </c>
      <c r="C262" s="9">
        <v>46096</v>
      </c>
      <c r="D262" s="17">
        <v>130</v>
      </c>
      <c r="E262" s="1" t="s">
        <v>145</v>
      </c>
      <c r="F262" s="3" t="s">
        <v>227</v>
      </c>
      <c r="G262" s="1" t="s">
        <v>9</v>
      </c>
      <c r="H262" s="16">
        <v>4</v>
      </c>
      <c r="I262" s="1" t="s">
        <v>21</v>
      </c>
      <c r="J262" s="16" t="str">
        <f>IF(Table1[[#This Row],[Location / Chainage]]="Precast",J261,IF(Table1[[#This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62" s="16" t="str">
        <f>IF(Table1[[#This Row],[Date]]="","",TEXT(Table1[[#This Row],[Date]],"mmm  yy"))</f>
        <v>Mar  26</v>
      </c>
    </row>
    <row r="263" spans="2:11" x14ac:dyDescent="0.3">
      <c r="B263" s="8">
        <f t="shared" si="4"/>
        <v>260</v>
      </c>
      <c r="C263" s="9">
        <v>46096</v>
      </c>
      <c r="D263" s="17">
        <v>11572</v>
      </c>
      <c r="E263" s="1" t="s">
        <v>14</v>
      </c>
      <c r="F263" s="3" t="s">
        <v>228</v>
      </c>
      <c r="G263" s="1" t="s">
        <v>9</v>
      </c>
      <c r="H263" s="16">
        <v>13</v>
      </c>
      <c r="I263" s="1" t="s">
        <v>21</v>
      </c>
      <c r="J263" s="8" t="str">
        <f>IF(Table1[[#This Row],[Location / Chainage]]="Precast",J262,IF(Table1[[#This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63" s="8" t="str">
        <f>IF(Table1[[#This Row],[Date]]="","",TEXT(Table1[[#This Row],[Date]],"mmm  yy"))</f>
        <v>Mar  26</v>
      </c>
    </row>
    <row r="264" spans="2:11" x14ac:dyDescent="0.3">
      <c r="B264" s="8">
        <f t="shared" si="4"/>
        <v>261</v>
      </c>
      <c r="C264" s="9">
        <v>46096</v>
      </c>
      <c r="D264" s="17">
        <v>12172</v>
      </c>
      <c r="E264" s="1" t="s">
        <v>13</v>
      </c>
      <c r="F264" s="3" t="s">
        <v>111</v>
      </c>
      <c r="G264" s="1" t="s">
        <v>16</v>
      </c>
      <c r="H264" s="16">
        <v>11</v>
      </c>
      <c r="I264" s="1" t="s">
        <v>21</v>
      </c>
      <c r="J264" s="16" t="str">
        <f>IF(Table1[[#This Row],[Location / Chainage]]="Precast",J263,IF(Table1[[#This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64" s="16" t="str">
        <f>IF(Table1[[#This Row],[Date]]="","",TEXT(Table1[[#This Row],[Date]],"mmm  yy"))</f>
        <v>Mar  26</v>
      </c>
    </row>
    <row r="265" spans="2:11" x14ac:dyDescent="0.3">
      <c r="B265" s="8">
        <f t="shared" si="4"/>
        <v>262</v>
      </c>
      <c r="C265" s="9">
        <v>46096</v>
      </c>
      <c r="D265" s="17">
        <v>8195</v>
      </c>
      <c r="E265" s="1" t="s">
        <v>33</v>
      </c>
      <c r="F265" s="3" t="s">
        <v>229</v>
      </c>
      <c r="G265" s="1" t="s">
        <v>62</v>
      </c>
      <c r="H265" s="16">
        <v>16</v>
      </c>
      <c r="I265" s="1" t="s">
        <v>21</v>
      </c>
      <c r="J265" s="8" t="str">
        <f>IF(Table1[[#This Row],[Location / Chainage]]="Precast",J264,IF(Table1[[#This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65" s="8" t="str">
        <f>IF(Table1[[#This Row],[Date]]="","",TEXT(Table1[[#This Row],[Date]],"mmm  yy"))</f>
        <v>Mar  26</v>
      </c>
    </row>
    <row r="266" spans="2:11" x14ac:dyDescent="0.3">
      <c r="B266" s="8">
        <f t="shared" si="4"/>
        <v>263</v>
      </c>
      <c r="C266" s="9">
        <v>46096</v>
      </c>
      <c r="D266" s="17">
        <v>8485</v>
      </c>
      <c r="E266" s="1" t="s">
        <v>33</v>
      </c>
      <c r="F266" s="3" t="s">
        <v>230</v>
      </c>
      <c r="G266" s="1" t="s">
        <v>62</v>
      </c>
      <c r="H266" s="16">
        <v>17</v>
      </c>
      <c r="I266" s="1" t="s">
        <v>21</v>
      </c>
      <c r="J266" s="16" t="str">
        <f>IF(Table1[[#This Row],[Location / Chainage]]="Precast",J265,IF(Table1[[#This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66" s="16" t="str">
        <f>IF(Table1[[#This Row],[Date]]="","",TEXT(Table1[[#This Row],[Date]],"mmm  yy"))</f>
        <v>Mar  26</v>
      </c>
    </row>
    <row r="267" spans="2:11" x14ac:dyDescent="0.3">
      <c r="B267" s="8">
        <f t="shared" si="4"/>
        <v>264</v>
      </c>
      <c r="C267" s="9">
        <v>46097</v>
      </c>
      <c r="D267" s="17">
        <v>135</v>
      </c>
      <c r="E267" s="1" t="s">
        <v>145</v>
      </c>
      <c r="F267" s="3" t="s">
        <v>231</v>
      </c>
      <c r="G267" s="1" t="s">
        <v>9</v>
      </c>
      <c r="H267" s="16">
        <v>13</v>
      </c>
      <c r="I267" s="1" t="s">
        <v>21</v>
      </c>
      <c r="J267" s="8" t="str">
        <f>IF(Table1[[#This Row],[Location / Chainage]]="Precast",J266,IF(Table1[[#This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67" s="8" t="str">
        <f>IF(Table1[[#This Row],[Date]]="","",TEXT(Table1[[#This Row],[Date]],"mmm  yy"))</f>
        <v>Mar  26</v>
      </c>
    </row>
    <row r="268" spans="2:11" x14ac:dyDescent="0.3">
      <c r="B268" s="8">
        <f t="shared" si="4"/>
        <v>265</v>
      </c>
      <c r="C268" s="9">
        <v>46097</v>
      </c>
      <c r="D268" s="17">
        <v>11584</v>
      </c>
      <c r="E268" s="1" t="s">
        <v>14</v>
      </c>
      <c r="F268" s="3" t="s">
        <v>232</v>
      </c>
      <c r="G268" s="1" t="s">
        <v>9</v>
      </c>
      <c r="H268" s="16">
        <v>13</v>
      </c>
      <c r="I268" s="1" t="s">
        <v>21</v>
      </c>
      <c r="J268" s="16" t="str">
        <f>IF(Table1[[#This Row],[Location / Chainage]]="Precast",J267,IF(Table1[[#This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68" s="16" t="str">
        <f>IF(Table1[[#This Row],[Date]]="","",TEXT(Table1[[#This Row],[Date]],"mmm  yy"))</f>
        <v>Mar  26</v>
      </c>
    </row>
    <row r="269" spans="2:11" x14ac:dyDescent="0.3">
      <c r="B269" s="8">
        <f t="shared" si="4"/>
        <v>266</v>
      </c>
      <c r="C269" s="9">
        <v>46097</v>
      </c>
      <c r="D269" s="17">
        <v>8494</v>
      </c>
      <c r="E269" s="1" t="s">
        <v>33</v>
      </c>
      <c r="F269" s="3" t="s">
        <v>233</v>
      </c>
      <c r="G269" s="1" t="s">
        <v>62</v>
      </c>
      <c r="H269" s="16">
        <v>10</v>
      </c>
      <c r="I269" s="1" t="s">
        <v>21</v>
      </c>
      <c r="J269" s="8" t="str">
        <f>IF(Table1[[#This Row],[Location / Chainage]]="Precast",J268,IF(Table1[[#This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69" s="8" t="str">
        <f>IF(Table1[[#This Row],[Date]]="","",TEXT(Table1[[#This Row],[Date]],"mmm  yy"))</f>
        <v>Mar  26</v>
      </c>
    </row>
    <row r="270" spans="2:11" x14ac:dyDescent="0.3">
      <c r="B270" s="8">
        <f t="shared" si="4"/>
        <v>267</v>
      </c>
      <c r="C270" s="9">
        <v>46097</v>
      </c>
      <c r="D270" s="17">
        <v>13276</v>
      </c>
      <c r="E270" s="1" t="s">
        <v>13</v>
      </c>
      <c r="F270" s="3" t="s">
        <v>205</v>
      </c>
      <c r="G270" s="1" t="s">
        <v>16</v>
      </c>
      <c r="H270" s="16">
        <v>84</v>
      </c>
      <c r="I270" s="1" t="s">
        <v>21</v>
      </c>
      <c r="J270" s="16" t="str">
        <f>IF(Table1[[#This Row],[Location / Chainage]]="Precast",J269,IF(Table1[[#This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70" s="16" t="str">
        <f>IF(Table1[[#This Row],[Date]]="","",TEXT(Table1[[#This Row],[Date]],"mmm  yy"))</f>
        <v>Mar  26</v>
      </c>
    </row>
    <row r="271" spans="2:11" x14ac:dyDescent="0.3">
      <c r="B271" s="8">
        <f t="shared" si="4"/>
        <v>268</v>
      </c>
      <c r="C271" s="9">
        <v>46098</v>
      </c>
      <c r="D271" s="17">
        <v>150</v>
      </c>
      <c r="E271" s="1" t="s">
        <v>145</v>
      </c>
      <c r="F271" s="3" t="s">
        <v>234</v>
      </c>
      <c r="G271" s="1" t="s">
        <v>9</v>
      </c>
      <c r="H271" s="16">
        <v>4</v>
      </c>
      <c r="I271" s="1" t="s">
        <v>21</v>
      </c>
      <c r="J271" s="8" t="str">
        <f>IF(Table1[[#This Row],[Location / Chainage]]="Precast",J270,IF(Table1[[#This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71" s="8" t="str">
        <f>IF(Table1[[#This Row],[Date]]="","",TEXT(Table1[[#This Row],[Date]],"mmm  yy"))</f>
        <v>Mar  26</v>
      </c>
    </row>
    <row r="272" spans="2:11" x14ac:dyDescent="0.3">
      <c r="B272" s="8">
        <f t="shared" si="4"/>
        <v>269</v>
      </c>
      <c r="C272" s="9">
        <v>46098</v>
      </c>
      <c r="D272" s="17">
        <v>11830</v>
      </c>
      <c r="E272" s="1" t="s">
        <v>14</v>
      </c>
      <c r="F272" s="3" t="s">
        <v>235</v>
      </c>
      <c r="G272" s="1" t="s">
        <v>9</v>
      </c>
      <c r="H272" s="16">
        <v>13</v>
      </c>
      <c r="I272" s="1" t="s">
        <v>21</v>
      </c>
      <c r="J272" s="16" t="str">
        <f>IF(Table1[[#This Row],[Location / Chainage]]="Precast",J271,IF(Table1[[#This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72" s="16" t="str">
        <f>IF(Table1[[#This Row],[Date]]="","",TEXT(Table1[[#This Row],[Date]],"mmm  yy"))</f>
        <v>Mar  26</v>
      </c>
    </row>
    <row r="273" spans="2:11" x14ac:dyDescent="0.3">
      <c r="B273" s="8">
        <f t="shared" si="4"/>
        <v>270</v>
      </c>
      <c r="C273" s="9">
        <v>46099</v>
      </c>
      <c r="D273" s="17">
        <v>8213</v>
      </c>
      <c r="E273" s="1" t="s">
        <v>33</v>
      </c>
      <c r="F273" s="3" t="s">
        <v>236</v>
      </c>
      <c r="G273" s="1" t="s">
        <v>62</v>
      </c>
      <c r="H273" s="16">
        <v>13</v>
      </c>
      <c r="I273" s="1" t="s">
        <v>21</v>
      </c>
      <c r="J273" s="8" t="str">
        <f>IF(Table1[[#This Row],[Location / Chainage]]="Precast",J272,IF(Table1[[#This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73" s="8" t="str">
        <f>IF(Table1[[#This Row],[Date]]="","",TEXT(Table1[[#This Row],[Date]],"mmm  yy"))</f>
        <v>Mar  26</v>
      </c>
    </row>
    <row r="274" spans="2:11" x14ac:dyDescent="0.3">
      <c r="B274" s="8">
        <f t="shared" si="4"/>
        <v>271</v>
      </c>
      <c r="C274" s="9">
        <v>46099</v>
      </c>
      <c r="D274" s="17">
        <v>12265</v>
      </c>
      <c r="E274" s="1" t="s">
        <v>13</v>
      </c>
      <c r="F274" s="3" t="s">
        <v>237</v>
      </c>
      <c r="G274" s="1" t="s">
        <v>16</v>
      </c>
      <c r="H274" s="16">
        <v>12</v>
      </c>
      <c r="I274" s="1" t="s">
        <v>21</v>
      </c>
      <c r="J274" s="16" t="str">
        <f>IF(Table1[[#This Row],[Location / Chainage]]="Precast",J273,IF(Table1[[#This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74" s="16" t="str">
        <f>IF(Table1[[#This Row],[Date]]="","",TEXT(Table1[[#This Row],[Date]],"mmm  yy"))</f>
        <v>Mar  26</v>
      </c>
    </row>
    <row r="275" spans="2:11" x14ac:dyDescent="0.3">
      <c r="B275" s="8">
        <f t="shared" si="4"/>
        <v>272</v>
      </c>
      <c r="C275" s="9">
        <v>46099</v>
      </c>
      <c r="D275" s="17">
        <v>155</v>
      </c>
      <c r="E275" s="1" t="s">
        <v>145</v>
      </c>
      <c r="F275" s="3" t="s">
        <v>238</v>
      </c>
      <c r="G275" s="1" t="s">
        <v>9</v>
      </c>
      <c r="H275" s="16">
        <v>9</v>
      </c>
      <c r="I275" s="1" t="s">
        <v>21</v>
      </c>
      <c r="J275" s="8" t="str">
        <f>IF(Table1[[#This Row],[Location / Chainage]]="Precast",J274,IF(Table1[[#This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75" s="8" t="str">
        <f>IF(Table1[[#This Row],[Date]]="","",TEXT(Table1[[#This Row],[Date]],"mmm  yy"))</f>
        <v>Mar  26</v>
      </c>
    </row>
    <row r="276" spans="2:11" x14ac:dyDescent="0.3">
      <c r="B276" s="8">
        <f t="shared" si="4"/>
        <v>273</v>
      </c>
      <c r="C276" s="9">
        <v>46099</v>
      </c>
      <c r="D276" s="17">
        <v>11620</v>
      </c>
      <c r="E276" s="1" t="s">
        <v>14</v>
      </c>
      <c r="F276" s="3" t="s">
        <v>242</v>
      </c>
      <c r="G276" s="1" t="s">
        <v>9</v>
      </c>
      <c r="H276" s="16">
        <v>13</v>
      </c>
      <c r="I276" s="1" t="s">
        <v>21</v>
      </c>
      <c r="J276" s="16" t="str">
        <f>IF(Table1[[#This Row],[Location / Chainage]]="Precast",J275,IF(Table1[[#This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76" s="16" t="str">
        <f>IF(Table1[[#This Row],[Date]]="","",TEXT(Table1[[#This Row],[Date]],"mmm  yy"))</f>
        <v>Mar  26</v>
      </c>
    </row>
    <row r="277" spans="2:11" x14ac:dyDescent="0.3">
      <c r="B277" s="8">
        <f t="shared" si="4"/>
        <v>274</v>
      </c>
      <c r="C277" s="9">
        <v>46099</v>
      </c>
      <c r="D277" s="17">
        <v>11130</v>
      </c>
      <c r="E277" s="1" t="s">
        <v>70</v>
      </c>
      <c r="F277" s="3" t="s">
        <v>240</v>
      </c>
      <c r="G277" s="1" t="s">
        <v>9</v>
      </c>
      <c r="H277" s="16">
        <v>5.5</v>
      </c>
      <c r="I277" s="1" t="s">
        <v>21</v>
      </c>
      <c r="J277" s="8" t="str">
        <f>IF(Table1[[#This Row],[Location / Chainage]]="Precast",J276,IF(Table1[[#This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77" s="8" t="str">
        <f>IF(Table1[[#This Row],[Date]]="","",TEXT(Table1[[#This Row],[Date]],"mmm  yy"))</f>
        <v>Mar  26</v>
      </c>
    </row>
    <row r="278" spans="2:11" x14ac:dyDescent="0.3">
      <c r="B278" s="8">
        <f t="shared" si="4"/>
        <v>275</v>
      </c>
      <c r="C278" s="9">
        <v>46099</v>
      </c>
      <c r="D278" s="17">
        <v>8290</v>
      </c>
      <c r="E278" s="1" t="s">
        <v>13</v>
      </c>
      <c r="F278" s="3" t="s">
        <v>15</v>
      </c>
      <c r="G278" s="1" t="s">
        <v>16</v>
      </c>
      <c r="H278" s="16">
        <v>4</v>
      </c>
      <c r="I278" s="1" t="s">
        <v>21</v>
      </c>
      <c r="J278" s="16" t="str">
        <f>IF(Table1[[#This Row],[Location / Chainage]]="Precast",J277,IF(Table1[[#This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78" s="16" t="str">
        <f>IF(Table1[[#This Row],[Date]]="","",TEXT(Table1[[#This Row],[Date]],"mmm  yy"))</f>
        <v>Mar  26</v>
      </c>
    </row>
    <row r="279" spans="2:11" x14ac:dyDescent="0.3">
      <c r="B279" s="8">
        <f t="shared" si="4"/>
        <v>276</v>
      </c>
      <c r="C279" s="9">
        <v>46100</v>
      </c>
      <c r="D279" s="17">
        <v>6475</v>
      </c>
      <c r="E279" s="1" t="s">
        <v>13</v>
      </c>
      <c r="F279" s="3" t="s">
        <v>164</v>
      </c>
      <c r="G279" s="1" t="s">
        <v>16</v>
      </c>
      <c r="H279" s="16">
        <v>4.5</v>
      </c>
      <c r="I279" s="1" t="s">
        <v>21</v>
      </c>
      <c r="J279" s="8" t="str">
        <f>IF(Table1[[#This Row],[Location / Chainage]]="Precast",J278,IF(Table1[[#This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79" s="8" t="str">
        <f>IF(Table1[[#This Row],[Date]]="","",TEXT(Table1[[#This Row],[Date]],"mmm  yy"))</f>
        <v>Mar  26</v>
      </c>
    </row>
    <row r="280" spans="2:11" x14ac:dyDescent="0.3">
      <c r="B280" s="8">
        <f t="shared" si="4"/>
        <v>277</v>
      </c>
      <c r="C280" s="9">
        <v>46100</v>
      </c>
      <c r="D280" s="17">
        <v>3407</v>
      </c>
      <c r="E280" s="1" t="s">
        <v>13</v>
      </c>
      <c r="F280" s="3" t="s">
        <v>241</v>
      </c>
      <c r="G280" s="1" t="s">
        <v>9</v>
      </c>
      <c r="H280" s="16">
        <v>31</v>
      </c>
      <c r="I280" s="1" t="s">
        <v>21</v>
      </c>
      <c r="J280" s="16" t="str">
        <f>IF(Table1[[#This Row],[Location / Chainage]]="Precast",J279,IF(Table1[[#This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80" s="16" t="str">
        <f>IF(Table1[[#This Row],[Date]]="","",TEXT(Table1[[#This Row],[Date]],"mmm  yy"))</f>
        <v>Mar  26</v>
      </c>
    </row>
    <row r="281" spans="2:11" x14ac:dyDescent="0.3">
      <c r="B281" s="8">
        <f t="shared" si="4"/>
        <v>278</v>
      </c>
      <c r="C281" s="9">
        <v>46102</v>
      </c>
      <c r="D281" s="17">
        <v>3407</v>
      </c>
      <c r="E281" s="1" t="s">
        <v>13</v>
      </c>
      <c r="F281" s="3" t="s">
        <v>241</v>
      </c>
      <c r="G281" s="1" t="s">
        <v>9</v>
      </c>
      <c r="H281" s="16">
        <v>10</v>
      </c>
      <c r="I281" s="1" t="s">
        <v>21</v>
      </c>
      <c r="J281" s="8" t="str">
        <f>IF(Table1[[#This Row],[Location / Chainage]]="Precast",J280,IF(Table1[[#This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81" s="8" t="str">
        <f>IF(Table1[[#This Row],[Date]]="","",TEXT(Table1[[#This Row],[Date]],"mmm  yy"))</f>
        <v>Mar  26</v>
      </c>
    </row>
    <row r="282" spans="2:11" x14ac:dyDescent="0.3">
      <c r="B282" s="8">
        <f t="shared" si="4"/>
        <v>279</v>
      </c>
      <c r="C282" s="9">
        <v>46104</v>
      </c>
      <c r="D282" s="17">
        <v>11632</v>
      </c>
      <c r="E282" s="1" t="s">
        <v>14</v>
      </c>
      <c r="F282" s="3" t="s">
        <v>239</v>
      </c>
      <c r="G282" s="1" t="s">
        <v>9</v>
      </c>
      <c r="H282" s="16">
        <v>13</v>
      </c>
      <c r="I282" s="1" t="s">
        <v>21</v>
      </c>
      <c r="J282" s="16" t="str">
        <f>IF(Table1[[#This Row],[Location / Chainage]]="Precast",J281,IF(Table1[[#This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82" s="16" t="str">
        <f>IF(Table1[[#This Row],[Date]]="","",TEXT(Table1[[#This Row],[Date]],"mmm  yy"))</f>
        <v>Mar  26</v>
      </c>
    </row>
    <row r="283" spans="2:11" x14ac:dyDescent="0.3">
      <c r="B283" s="8">
        <f t="shared" si="4"/>
        <v>280</v>
      </c>
      <c r="C283" s="9">
        <v>46104</v>
      </c>
      <c r="D283" s="17">
        <v>11854</v>
      </c>
      <c r="E283" s="1" t="s">
        <v>14</v>
      </c>
      <c r="F283" s="3" t="s">
        <v>243</v>
      </c>
      <c r="G283" s="1" t="s">
        <v>9</v>
      </c>
      <c r="H283" s="16">
        <v>17</v>
      </c>
      <c r="I283" s="1" t="s">
        <v>21</v>
      </c>
      <c r="J283" s="8" t="str">
        <f>IF(Table1[[#This Row],[Location / Chainage]]="Precast",J282,IF(Table1[[#This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83" s="8" t="str">
        <f>IF(Table1[[#This Row],[Date]]="","",TEXT(Table1[[#This Row],[Date]],"mmm  yy"))</f>
        <v>Mar  26</v>
      </c>
    </row>
    <row r="284" spans="2:11" x14ac:dyDescent="0.3">
      <c r="B284" s="8">
        <f t="shared" si="4"/>
        <v>281</v>
      </c>
      <c r="C284" s="9">
        <v>46104</v>
      </c>
      <c r="D284" s="17">
        <v>7731</v>
      </c>
      <c r="E284" s="1" t="s">
        <v>13</v>
      </c>
      <c r="F284" s="3" t="s">
        <v>244</v>
      </c>
      <c r="G284" s="1" t="s">
        <v>9</v>
      </c>
      <c r="H284" s="16">
        <v>3</v>
      </c>
      <c r="I284" s="1" t="s">
        <v>21</v>
      </c>
      <c r="J284" s="16" t="str">
        <f>IF(Table1[[#This Row],[Location / Chainage]]="Precast",J283,IF(Table1[[#This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84" s="16" t="str">
        <f>IF(Table1[[#This Row],[Date]]="","",TEXT(Table1[[#This Row],[Date]],"mmm  yy"))</f>
        <v>Mar  26</v>
      </c>
    </row>
    <row r="285" spans="2:11" x14ac:dyDescent="0.3">
      <c r="B285" s="8">
        <f t="shared" si="4"/>
        <v>282</v>
      </c>
      <c r="C285" s="9">
        <v>46105</v>
      </c>
      <c r="D285" s="17">
        <v>165</v>
      </c>
      <c r="E285" s="1" t="s">
        <v>145</v>
      </c>
      <c r="F285" s="3" t="s">
        <v>245</v>
      </c>
      <c r="G285" s="1" t="s">
        <v>9</v>
      </c>
      <c r="H285" s="16">
        <v>5</v>
      </c>
      <c r="I285" s="1" t="s">
        <v>21</v>
      </c>
      <c r="J285" s="8" t="str">
        <f>IF(Table1[[#This Row],[Location / Chainage]]="Precast",J284,IF(Table1[[#This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85" s="8" t="str">
        <f>IF(Table1[[#This Row],[Date]]="","",TEXT(Table1[[#This Row],[Date]],"mmm  yy"))</f>
        <v>Mar  26</v>
      </c>
    </row>
    <row r="286" spans="2:11" x14ac:dyDescent="0.3">
      <c r="B286" s="8">
        <f t="shared" si="4"/>
        <v>283</v>
      </c>
      <c r="C286" s="9">
        <v>46106</v>
      </c>
      <c r="D286" s="17">
        <v>170</v>
      </c>
      <c r="E286" s="1" t="s">
        <v>145</v>
      </c>
      <c r="F286" s="3" t="s">
        <v>246</v>
      </c>
      <c r="G286" s="1" t="s">
        <v>9</v>
      </c>
      <c r="H286" s="16">
        <v>12</v>
      </c>
      <c r="I286" s="1" t="s">
        <v>21</v>
      </c>
      <c r="J286" s="16" t="str">
        <f>IF(Table1[[#This Row],[Location / Chainage]]="Precast",J285,IF(Table1[[#This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86" s="16" t="str">
        <f>IF(Table1[[#This Row],[Date]]="","",TEXT(Table1[[#This Row],[Date]],"mmm  yy"))</f>
        <v>Mar  26</v>
      </c>
    </row>
    <row r="287" spans="2:11" x14ac:dyDescent="0.3">
      <c r="B287" s="8">
        <f t="shared" si="4"/>
        <v>284</v>
      </c>
      <c r="C287" s="9">
        <v>46109</v>
      </c>
      <c r="D287" s="17">
        <v>7300</v>
      </c>
      <c r="E287" s="1" t="s">
        <v>13</v>
      </c>
      <c r="F287" s="3" t="s">
        <v>15</v>
      </c>
      <c r="G287" s="1" t="s">
        <v>16</v>
      </c>
      <c r="H287" s="16">
        <v>88</v>
      </c>
      <c r="I287" s="1" t="s">
        <v>21</v>
      </c>
      <c r="J287" s="8" t="str">
        <f>IF(Table1[[#This Row],[Location / Chainage]]="Precast",J286,IF(Table1[[#This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87" s="8" t="str">
        <f>IF(Table1[[#This Row],[Date]]="","",TEXT(Table1[[#This Row],[Date]],"mmm  yy"))</f>
        <v>Mar  26</v>
      </c>
    </row>
    <row r="288" spans="2:11" x14ac:dyDescent="0.3">
      <c r="B288" s="8">
        <f t="shared" si="4"/>
        <v>285</v>
      </c>
      <c r="C288" s="9">
        <v>46109</v>
      </c>
      <c r="D288" s="17">
        <v>11668</v>
      </c>
      <c r="E288" s="1" t="s">
        <v>14</v>
      </c>
      <c r="F288" s="3" t="s">
        <v>247</v>
      </c>
      <c r="G288" s="1" t="s">
        <v>9</v>
      </c>
      <c r="H288" s="16">
        <v>6</v>
      </c>
      <c r="I288" s="1" t="s">
        <v>21</v>
      </c>
      <c r="J288" s="16" t="str">
        <f>IF(Table1[[#This Row],[Location / Chainage]]="Precast",J287,IF(Table1[[#This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88" s="16" t="str">
        <f>IF(Table1[[#This Row],[Date]]="","",TEXT(Table1[[#This Row],[Date]],"mmm  yy"))</f>
        <v>Mar  26</v>
      </c>
    </row>
    <row r="289" spans="2:11" x14ac:dyDescent="0.3">
      <c r="B289" s="8">
        <f t="shared" si="4"/>
        <v>286</v>
      </c>
      <c r="C289" s="9">
        <v>46109</v>
      </c>
      <c r="D289" s="2" t="s">
        <v>12</v>
      </c>
      <c r="E289" s="1" t="s">
        <v>13</v>
      </c>
      <c r="F289" s="3" t="s">
        <v>248</v>
      </c>
      <c r="G289" s="1" t="s">
        <v>16</v>
      </c>
      <c r="H289" s="16">
        <v>9</v>
      </c>
      <c r="I289" s="1" t="s">
        <v>21</v>
      </c>
      <c r="J289" s="8" t="str">
        <f>IF(Table1[[#This Row],[Location / Chainage]]="Precast",J288,IF(Table1[[#This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89" s="8" t="str">
        <f>IF(Table1[[#This Row],[Date]]="","",TEXT(Table1[[#This Row],[Date]],"mmm  yy"))</f>
        <v>Mar  26</v>
      </c>
    </row>
    <row r="290" spans="2:11" x14ac:dyDescent="0.3">
      <c r="B290" s="8">
        <f t="shared" si="4"/>
        <v>287</v>
      </c>
      <c r="C290" s="9">
        <v>46111</v>
      </c>
      <c r="D290" s="2">
        <v>8203</v>
      </c>
      <c r="E290" s="1" t="s">
        <v>33</v>
      </c>
      <c r="F290" s="3" t="s">
        <v>249</v>
      </c>
      <c r="G290" s="1" t="s">
        <v>62</v>
      </c>
      <c r="H290" s="16">
        <v>18</v>
      </c>
      <c r="I290" s="1" t="s">
        <v>21</v>
      </c>
      <c r="J290" s="16" t="str">
        <f>IF(Table1[[#This Row],[Location / Chainage]]="Precast",J289,IF(Table1[[#This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90" s="16" t="str">
        <f>IF(Table1[[#This Row],[Date]]="","",TEXT(Table1[[#This Row],[Date]],"mmm  yy"))</f>
        <v>Mar  26</v>
      </c>
    </row>
    <row r="291" spans="2:11" x14ac:dyDescent="0.3">
      <c r="B291" s="8">
        <f t="shared" si="4"/>
        <v>288</v>
      </c>
      <c r="C291" s="9">
        <v>46111</v>
      </c>
      <c r="D291" s="17">
        <v>11326</v>
      </c>
      <c r="E291" s="1" t="s">
        <v>13</v>
      </c>
      <c r="F291" s="3" t="s">
        <v>26</v>
      </c>
      <c r="G291" s="1" t="s">
        <v>16</v>
      </c>
      <c r="H291" s="16">
        <v>167</v>
      </c>
      <c r="I291" s="1" t="s">
        <v>21</v>
      </c>
      <c r="J291" s="8" t="str">
        <f>IF(Table1[[#This Row],[Location / Chainage]]="Precast",J290,IF(Table1[[#This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91" s="8" t="str">
        <f>IF(Table1[[#This Row],[Date]]="","",TEXT(Table1[[#This Row],[Date]],"mmm  yy"))</f>
        <v>Mar  26</v>
      </c>
    </row>
    <row r="292" spans="2:11" x14ac:dyDescent="0.3">
      <c r="B292" s="8">
        <f t="shared" si="4"/>
        <v>289</v>
      </c>
      <c r="C292" s="9">
        <v>46112</v>
      </c>
      <c r="D292" s="17">
        <v>7731</v>
      </c>
      <c r="E292" s="1" t="s">
        <v>13</v>
      </c>
      <c r="F292" s="3" t="s">
        <v>126</v>
      </c>
      <c r="G292" s="1" t="s">
        <v>16</v>
      </c>
      <c r="H292" s="16">
        <v>4.5</v>
      </c>
      <c r="I292" s="1" t="s">
        <v>21</v>
      </c>
      <c r="J292" s="16" t="str">
        <f>IF(Table1[[#This Row],[Location / Chainage]]="Precast",J291,IF(Table1[[#This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92" s="16" t="str">
        <f>IF(Table1[[#This Row],[Date]]="","",TEXT(Table1[[#This Row],[Date]],"mmm  yy"))</f>
        <v>Mar  26</v>
      </c>
    </row>
    <row r="293" spans="2:11" x14ac:dyDescent="0.3">
      <c r="B293" s="8">
        <f t="shared" si="4"/>
        <v>290</v>
      </c>
      <c r="C293" s="9">
        <v>46112</v>
      </c>
      <c r="D293" s="17">
        <v>8290</v>
      </c>
      <c r="E293" s="1" t="s">
        <v>13</v>
      </c>
      <c r="F293" s="3" t="s">
        <v>26</v>
      </c>
      <c r="G293" s="1" t="s">
        <v>16</v>
      </c>
      <c r="H293" s="16">
        <v>7.5</v>
      </c>
      <c r="I293" s="1" t="s">
        <v>21</v>
      </c>
      <c r="J293" s="8" t="str">
        <f>IF(Table1[[#This Row],[Location / Chainage]]="Precast",J292,IF(Table1[[#This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93" s="8" t="str">
        <f>IF(Table1[[#This Row],[Date]]="","",TEXT(Table1[[#This Row],[Date]],"mmm  yy"))</f>
        <v>Mar  26</v>
      </c>
    </row>
    <row r="294" spans="2:11" x14ac:dyDescent="0.3">
      <c r="B294" s="8">
        <f t="shared" si="4"/>
        <v>291</v>
      </c>
      <c r="C294" s="9">
        <v>46112</v>
      </c>
      <c r="D294" s="17">
        <v>11694</v>
      </c>
      <c r="E294" s="1" t="s">
        <v>14</v>
      </c>
      <c r="F294" s="3" t="s">
        <v>250</v>
      </c>
      <c r="G294" s="1" t="s">
        <v>9</v>
      </c>
      <c r="H294" s="16">
        <v>12</v>
      </c>
      <c r="I294" s="1" t="s">
        <v>21</v>
      </c>
      <c r="J294" s="16" t="str">
        <f>IF(Table1[[#This Row],[Location / Chainage]]="Precast",J293,IF(Table1[[#This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94" s="16" t="str">
        <f>IF(Table1[[#This Row],[Date]]="","",TEXT(Table1[[#This Row],[Date]],"mmm  yy"))</f>
        <v>Mar  26</v>
      </c>
    </row>
    <row r="295" spans="2:11" x14ac:dyDescent="0.3">
      <c r="B295" s="8">
        <f t="shared" si="4"/>
        <v>292</v>
      </c>
      <c r="C295" s="9">
        <v>46112</v>
      </c>
      <c r="D295" s="17">
        <v>6700</v>
      </c>
      <c r="E295" s="1" t="s">
        <v>13</v>
      </c>
      <c r="F295" s="3" t="s">
        <v>10</v>
      </c>
      <c r="G295" s="1" t="s">
        <v>9</v>
      </c>
      <c r="H295" s="16">
        <v>6.5</v>
      </c>
      <c r="I295" s="1" t="s">
        <v>21</v>
      </c>
      <c r="J295" s="8" t="str">
        <f>IF(Table1[[#This Row],[Location / Chainage]]="Precast",J294,IF(Table1[[#This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95" s="8" t="str">
        <f>IF(Table1[[#This Row],[Date]]="","",TEXT(Table1[[#This Row],[Date]],"mmm  yy"))</f>
        <v>Mar  26</v>
      </c>
    </row>
    <row r="296" spans="2:11" x14ac:dyDescent="0.3">
      <c r="B296" s="8">
        <f t="shared" si="4"/>
        <v>293</v>
      </c>
      <c r="C296" s="9">
        <v>46113</v>
      </c>
      <c r="D296" s="17">
        <v>11706</v>
      </c>
      <c r="E296" s="1" t="s">
        <v>14</v>
      </c>
      <c r="F296" s="3" t="s">
        <v>251</v>
      </c>
      <c r="G296" s="1" t="s">
        <v>9</v>
      </c>
      <c r="H296" s="16">
        <v>10</v>
      </c>
      <c r="I296" s="1" t="s">
        <v>21</v>
      </c>
      <c r="J296" s="16" t="str">
        <f>IF(Table1[[#This Row],[Location / Chainage]]="Precast",J295,IF(Table1[[#This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96" s="16" t="str">
        <f>IF(Table1[[#This Row],[Date]]="","",TEXT(Table1[[#This Row],[Date]],"mmm  yy"))</f>
        <v>Apr  26</v>
      </c>
    </row>
    <row r="297" spans="2:11" x14ac:dyDescent="0.3">
      <c r="B297" s="8">
        <f t="shared" si="4"/>
        <v>294</v>
      </c>
      <c r="C297" s="9">
        <v>46114</v>
      </c>
      <c r="D297" s="17">
        <v>3407</v>
      </c>
      <c r="E297" s="1" t="s">
        <v>13</v>
      </c>
      <c r="F297" s="3" t="s">
        <v>252</v>
      </c>
      <c r="G297" s="1" t="s">
        <v>9</v>
      </c>
      <c r="H297" s="16">
        <v>13</v>
      </c>
      <c r="I297" s="1" t="s">
        <v>21</v>
      </c>
      <c r="J297" s="8" t="str">
        <f>IF(Table1[[#This Row],[Location / Chainage]]="Precast",J296,IF(Table1[[#This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97" s="8" t="str">
        <f>IF(Table1[[#This Row],[Date]]="","",TEXT(Table1[[#This Row],[Date]],"mmm  yy"))</f>
        <v>Apr  26</v>
      </c>
    </row>
    <row r="298" spans="2:11" x14ac:dyDescent="0.3">
      <c r="B298" s="8">
        <f t="shared" si="4"/>
        <v>295</v>
      </c>
      <c r="C298" s="9">
        <v>46114</v>
      </c>
      <c r="D298" s="17">
        <v>9798</v>
      </c>
      <c r="E298" s="1" t="s">
        <v>33</v>
      </c>
      <c r="F298" s="3" t="s">
        <v>253</v>
      </c>
      <c r="G298" s="1" t="s">
        <v>62</v>
      </c>
      <c r="H298" s="16">
        <v>17</v>
      </c>
      <c r="I298" s="1" t="s">
        <v>21</v>
      </c>
      <c r="J298" s="16" t="str">
        <f>IF(Table1[[#This Row],[Location / Chainage]]="Precast",J297,IF(Table1[[#This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98" s="16" t="str">
        <f>IF(Table1[[#This Row],[Date]]="","",TEXT(Table1[[#This Row],[Date]],"mmm  yy"))</f>
        <v>Apr  26</v>
      </c>
    </row>
    <row r="299" spans="2:11" x14ac:dyDescent="0.3">
      <c r="B299" s="8">
        <f t="shared" si="4"/>
        <v>296</v>
      </c>
      <c r="C299" s="9">
        <v>46114</v>
      </c>
      <c r="D299" s="17">
        <v>8495</v>
      </c>
      <c r="E299" s="1" t="s">
        <v>33</v>
      </c>
      <c r="F299" s="3" t="s">
        <v>254</v>
      </c>
      <c r="G299" s="1" t="s">
        <v>62</v>
      </c>
      <c r="H299" s="16">
        <v>12</v>
      </c>
      <c r="I299" s="1" t="s">
        <v>21</v>
      </c>
      <c r="J299" s="8" t="str">
        <f>IF(Table1[[#This Row],[Location / Chainage]]="Precast",J298,IF(Table1[[#This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299" s="8" t="str">
        <f>IF(Table1[[#This Row],[Date]]="","",TEXT(Table1[[#This Row],[Date]],"mmm  yy"))</f>
        <v>Apr  26</v>
      </c>
    </row>
    <row r="300" spans="2:11" x14ac:dyDescent="0.3">
      <c r="B300" s="8">
        <f t="shared" si="4"/>
        <v>297</v>
      </c>
      <c r="C300" s="9">
        <v>46114</v>
      </c>
      <c r="D300" s="17">
        <v>11830</v>
      </c>
      <c r="E300" s="1" t="s">
        <v>14</v>
      </c>
      <c r="F300" s="3" t="s">
        <v>255</v>
      </c>
      <c r="G300" s="1" t="s">
        <v>9</v>
      </c>
      <c r="H300" s="16">
        <v>12</v>
      </c>
      <c r="I300" s="1" t="s">
        <v>21</v>
      </c>
      <c r="J300" s="16" t="str">
        <f>IF(Table1[[#This Row],[Location / Chainage]]="Precast",J299,IF(Table1[[#This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00" s="16" t="str">
        <f>IF(Table1[[#This Row],[Date]]="","",TEXT(Table1[[#This Row],[Date]],"mmm  yy"))</f>
        <v>Apr  26</v>
      </c>
    </row>
    <row r="301" spans="2:11" x14ac:dyDescent="0.3">
      <c r="B301" s="8">
        <f t="shared" si="4"/>
        <v>298</v>
      </c>
      <c r="C301" s="9">
        <v>46114</v>
      </c>
      <c r="D301" s="17">
        <v>13930</v>
      </c>
      <c r="E301" s="1" t="s">
        <v>13</v>
      </c>
      <c r="F301" s="3" t="s">
        <v>15</v>
      </c>
      <c r="G301" s="1" t="s">
        <v>16</v>
      </c>
      <c r="H301" s="16">
        <v>29</v>
      </c>
      <c r="I301" s="1" t="s">
        <v>21</v>
      </c>
      <c r="J301" s="8" t="str">
        <f>IF(Table1[[#This Row],[Location / Chainage]]="Precast",J300,IF(Table1[[#This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01" s="8" t="str">
        <f>IF(Table1[[#This Row],[Date]]="","",TEXT(Table1[[#This Row],[Date]],"mmm  yy"))</f>
        <v>Apr  26</v>
      </c>
    </row>
    <row r="302" spans="2:11" x14ac:dyDescent="0.3">
      <c r="B302" s="8">
        <f t="shared" si="4"/>
        <v>299</v>
      </c>
      <c r="C302" s="9">
        <v>46115</v>
      </c>
      <c r="D302" s="2">
        <v>12341</v>
      </c>
      <c r="E302" s="1" t="s">
        <v>33</v>
      </c>
      <c r="F302" s="3" t="s">
        <v>256</v>
      </c>
      <c r="G302" s="1" t="s">
        <v>9</v>
      </c>
      <c r="H302" s="16">
        <v>13</v>
      </c>
      <c r="I302" s="1" t="s">
        <v>21</v>
      </c>
      <c r="J302" s="16" t="str">
        <f>IF(Table1[[#This Row],[Location / Chainage]]="Precast",J301,IF(Table1[[#This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02" s="16" t="str">
        <f>IF(Table1[[#This Row],[Date]]="","",TEXT(Table1[[#This Row],[Date]],"mmm  yy"))</f>
        <v>Apr  26</v>
      </c>
    </row>
    <row r="303" spans="2:11" x14ac:dyDescent="0.3">
      <c r="B303" s="8">
        <f t="shared" si="4"/>
        <v>300</v>
      </c>
      <c r="C303" s="9">
        <v>46116</v>
      </c>
      <c r="D303" s="17">
        <v>11842</v>
      </c>
      <c r="E303" s="1" t="s">
        <v>14</v>
      </c>
      <c r="F303" s="3" t="s">
        <v>257</v>
      </c>
      <c r="G303" s="1" t="s">
        <v>9</v>
      </c>
      <c r="H303" s="16">
        <v>13</v>
      </c>
      <c r="I303" s="1" t="s">
        <v>21</v>
      </c>
      <c r="J303" s="8" t="str">
        <f>IF(Table1[[#This Row],[Location / Chainage]]="Precast",J302,IF(Table1[[#This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03" s="8" t="str">
        <f>IF(Table1[[#This Row],[Date]]="","",TEXT(Table1[[#This Row],[Date]],"mmm  yy"))</f>
        <v>Apr  26</v>
      </c>
    </row>
    <row r="304" spans="2:11" x14ac:dyDescent="0.3">
      <c r="B304" s="8">
        <f t="shared" si="4"/>
        <v>301</v>
      </c>
      <c r="C304" s="9">
        <v>46116</v>
      </c>
      <c r="D304" s="17">
        <v>10248</v>
      </c>
      <c r="E304" s="1" t="s">
        <v>14</v>
      </c>
      <c r="F304" s="3" t="s">
        <v>258</v>
      </c>
      <c r="G304" s="1" t="s">
        <v>9</v>
      </c>
      <c r="H304" s="16">
        <v>11</v>
      </c>
      <c r="I304" s="1" t="s">
        <v>21</v>
      </c>
      <c r="J304" s="16" t="str">
        <f>IF(Table1[[#This Row],[Location / Chainage]]="Precast",J303,IF(Table1[[#This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04" s="16" t="str">
        <f>IF(Table1[[#This Row],[Date]]="","",TEXT(Table1[[#This Row],[Date]],"mmm  yy"))</f>
        <v>Apr  26</v>
      </c>
    </row>
    <row r="305" spans="2:11" x14ac:dyDescent="0.3">
      <c r="B305" s="8">
        <f t="shared" si="4"/>
        <v>302</v>
      </c>
      <c r="C305" s="9">
        <v>46116</v>
      </c>
      <c r="D305" s="17">
        <v>7731</v>
      </c>
      <c r="E305" s="1" t="s">
        <v>13</v>
      </c>
      <c r="F305" s="3" t="s">
        <v>30</v>
      </c>
      <c r="G305" s="1" t="s">
        <v>16</v>
      </c>
      <c r="H305" s="16">
        <v>5</v>
      </c>
      <c r="I305" s="1" t="s">
        <v>21</v>
      </c>
      <c r="J305" s="8" t="str">
        <f>IF(Table1[[#This Row],[Location / Chainage]]="Precast",J304,IF(Table1[[#This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05" s="8" t="str">
        <f>IF(Table1[[#This Row],[Date]]="","",TEXT(Table1[[#This Row],[Date]],"mmm  yy"))</f>
        <v>Apr  26</v>
      </c>
    </row>
    <row r="306" spans="2:11" x14ac:dyDescent="0.3">
      <c r="B306" s="8">
        <f t="shared" si="4"/>
        <v>303</v>
      </c>
      <c r="C306" s="9">
        <v>46116</v>
      </c>
      <c r="D306" s="17">
        <v>9809</v>
      </c>
      <c r="E306" s="1" t="s">
        <v>33</v>
      </c>
      <c r="F306" s="3" t="s">
        <v>259</v>
      </c>
      <c r="G306" s="1" t="s">
        <v>62</v>
      </c>
      <c r="H306" s="16">
        <v>16</v>
      </c>
      <c r="I306" s="1" t="s">
        <v>21</v>
      </c>
      <c r="J306" s="16" t="str">
        <f>IF(Table1[[#This Row],[Location / Chainage]]="Precast",J305,IF(Table1[[#This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06" s="16" t="str">
        <f>IF(Table1[[#This Row],[Date]]="","",TEXT(Table1[[#This Row],[Date]],"mmm  yy"))</f>
        <v>Apr  26</v>
      </c>
    </row>
    <row r="307" spans="2:11" x14ac:dyDescent="0.3">
      <c r="B307" s="8">
        <f t="shared" si="4"/>
        <v>304</v>
      </c>
      <c r="C307" s="9">
        <v>46117</v>
      </c>
      <c r="D307" s="17">
        <v>3407</v>
      </c>
      <c r="E307" s="1" t="s">
        <v>13</v>
      </c>
      <c r="F307" s="3" t="s">
        <v>260</v>
      </c>
      <c r="G307" s="1" t="s">
        <v>9</v>
      </c>
      <c r="H307" s="16">
        <v>25</v>
      </c>
      <c r="I307" s="1" t="s">
        <v>21</v>
      </c>
      <c r="J307" s="8" t="str">
        <f>IF(Table1[[#This Row],[Location / Chainage]]="Precast",J306,IF(Table1[[#This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07" s="8" t="str">
        <f>IF(Table1[[#This Row],[Date]]="","",TEXT(Table1[[#This Row],[Date]],"mmm  yy"))</f>
        <v>Apr  26</v>
      </c>
    </row>
    <row r="308" spans="2:11" x14ac:dyDescent="0.3">
      <c r="B308" s="8">
        <f t="shared" si="4"/>
        <v>305</v>
      </c>
      <c r="C308" s="9">
        <v>46117</v>
      </c>
      <c r="D308" s="17">
        <v>7731</v>
      </c>
      <c r="E308" s="1" t="s">
        <v>13</v>
      </c>
      <c r="F308" s="3" t="s">
        <v>261</v>
      </c>
      <c r="G308" s="1" t="s">
        <v>16</v>
      </c>
      <c r="H308" s="16">
        <v>8</v>
      </c>
      <c r="I308" s="1" t="s">
        <v>21</v>
      </c>
      <c r="J308" s="16" t="str">
        <f>IF(Table1[[#This Row],[Location / Chainage]]="Precast",J307,IF(Table1[[#This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08" s="16" t="str">
        <f>IF(Table1[[#This Row],[Date]]="","",TEXT(Table1[[#This Row],[Date]],"mmm  yy"))</f>
        <v>Apr  26</v>
      </c>
    </row>
    <row r="309" spans="2:11" x14ac:dyDescent="0.3">
      <c r="B309" s="8">
        <f t="shared" si="4"/>
        <v>306</v>
      </c>
      <c r="C309" s="9">
        <v>46117</v>
      </c>
      <c r="D309" s="17">
        <v>11326</v>
      </c>
      <c r="E309" s="1" t="s">
        <v>13</v>
      </c>
      <c r="F309" s="3" t="s">
        <v>262</v>
      </c>
      <c r="G309" s="1" t="s">
        <v>16</v>
      </c>
      <c r="H309" s="16">
        <v>5</v>
      </c>
      <c r="I309" s="1" t="s">
        <v>21</v>
      </c>
      <c r="J309" s="8" t="str">
        <f>IF(Table1[[#This Row],[Location / Chainage]]="Precast",J308,IF(Table1[[#This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09" s="8" t="str">
        <f>IF(Table1[[#This Row],[Date]]="","",TEXT(Table1[[#This Row],[Date]],"mmm  yy"))</f>
        <v>Apr  26</v>
      </c>
    </row>
    <row r="310" spans="2:11" x14ac:dyDescent="0.3">
      <c r="B310" s="8">
        <f t="shared" si="4"/>
        <v>307</v>
      </c>
      <c r="C310" s="9">
        <v>46117</v>
      </c>
      <c r="D310" s="17">
        <v>11878</v>
      </c>
      <c r="E310" s="1" t="s">
        <v>14</v>
      </c>
      <c r="F310" s="3" t="s">
        <v>263</v>
      </c>
      <c r="G310" s="1" t="s">
        <v>9</v>
      </c>
      <c r="H310" s="16">
        <v>5.2</v>
      </c>
      <c r="I310" s="1" t="s">
        <v>21</v>
      </c>
      <c r="J310" s="16" t="str">
        <f>IF(Table1[[#This Row],[Location / Chainage]]="Precast",J309,IF(Table1[[#This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10" s="16" t="str">
        <f>IF(Table1[[#This Row],[Date]]="","",TEXT(Table1[[#This Row],[Date]],"mmm  yy"))</f>
        <v>Apr  26</v>
      </c>
    </row>
    <row r="311" spans="2:11" x14ac:dyDescent="0.3">
      <c r="B311" s="8">
        <f t="shared" si="4"/>
        <v>308</v>
      </c>
      <c r="C311" s="9">
        <v>46117</v>
      </c>
      <c r="D311" s="17">
        <v>12331</v>
      </c>
      <c r="E311" s="1" t="s">
        <v>33</v>
      </c>
      <c r="F311" s="3" t="s">
        <v>264</v>
      </c>
      <c r="G311" s="1" t="s">
        <v>9</v>
      </c>
      <c r="H311" s="16">
        <v>8</v>
      </c>
      <c r="I311" s="1" t="s">
        <v>21</v>
      </c>
      <c r="J311" s="8" t="str">
        <f>IF(Table1[[#This Row],[Location / Chainage]]="Precast",J310,IF(Table1[[#This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11" s="8" t="str">
        <f>IF(Table1[[#This Row],[Date]]="","",TEXT(Table1[[#This Row],[Date]],"mmm  yy"))</f>
        <v>Apr  26</v>
      </c>
    </row>
    <row r="312" spans="2:11" x14ac:dyDescent="0.3">
      <c r="B312" s="8">
        <f t="shared" si="4"/>
        <v>309</v>
      </c>
      <c r="C312" s="9">
        <v>46117</v>
      </c>
      <c r="D312" s="17">
        <v>8484</v>
      </c>
      <c r="E312" s="1" t="s">
        <v>33</v>
      </c>
      <c r="F312" s="3" t="s">
        <v>265</v>
      </c>
      <c r="G312" s="1" t="s">
        <v>62</v>
      </c>
      <c r="H312" s="16">
        <v>16</v>
      </c>
      <c r="I312" s="1" t="s">
        <v>21</v>
      </c>
      <c r="J312" s="16" t="str">
        <f>IF(Table1[[#This Row],[Location / Chainage]]="Precast",J311,IF(Table1[[#This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12" s="16" t="str">
        <f>IF(Table1[[#This Row],[Date]]="","",TEXT(Table1[[#This Row],[Date]],"mmm  yy"))</f>
        <v>Apr  26</v>
      </c>
    </row>
    <row r="313" spans="2:11" x14ac:dyDescent="0.3">
      <c r="B313" s="8">
        <f t="shared" si="4"/>
        <v>310</v>
      </c>
      <c r="C313" s="9">
        <v>46118</v>
      </c>
      <c r="D313" s="17">
        <v>10248</v>
      </c>
      <c r="E313" s="1" t="s">
        <v>14</v>
      </c>
      <c r="F313" s="3" t="s">
        <v>266</v>
      </c>
      <c r="G313" s="1" t="s">
        <v>9</v>
      </c>
      <c r="H313" s="16">
        <v>6</v>
      </c>
      <c r="I313" s="1" t="s">
        <v>21</v>
      </c>
      <c r="J313" s="8" t="str">
        <f>IF(Table1[[#This Row],[Location / Chainage]]="Precast",J312,IF(Table1[[#This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13" s="8" t="str">
        <f>IF(Table1[[#This Row],[Date]]="","",TEXT(Table1[[#This Row],[Date]],"mmm  yy"))</f>
        <v>Apr  26</v>
      </c>
    </row>
    <row r="314" spans="2:11" x14ac:dyDescent="0.3">
      <c r="B314" s="8">
        <f t="shared" si="4"/>
        <v>311</v>
      </c>
      <c r="C314" s="9">
        <v>46118</v>
      </c>
      <c r="D314" s="17">
        <v>12341</v>
      </c>
      <c r="E314" s="1" t="s">
        <v>33</v>
      </c>
      <c r="F314" s="3" t="s">
        <v>284</v>
      </c>
      <c r="G314" s="1" t="s">
        <v>9</v>
      </c>
      <c r="H314" s="16">
        <v>4</v>
      </c>
      <c r="I314" s="1" t="s">
        <v>21</v>
      </c>
      <c r="J314" s="16" t="str">
        <f>IF(Table1[[#This Row],[Location / Chainage]]="Precast",J313,IF(Table1[[#This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14" s="16" t="str">
        <f>IF(Table1[[#This Row],[Date]]="","",TEXT(Table1[[#This Row],[Date]],"mmm  yy"))</f>
        <v>Apr  26</v>
      </c>
    </row>
    <row r="315" spans="2:11" x14ac:dyDescent="0.3">
      <c r="B315" s="8">
        <f t="shared" si="4"/>
        <v>312</v>
      </c>
      <c r="C315" s="9">
        <v>46118</v>
      </c>
      <c r="D315" s="17">
        <v>12445</v>
      </c>
      <c r="E315" s="1" t="s">
        <v>14</v>
      </c>
      <c r="F315" s="3" t="s">
        <v>273</v>
      </c>
      <c r="G315" s="1" t="s">
        <v>9</v>
      </c>
      <c r="H315" s="16">
        <v>7</v>
      </c>
      <c r="I315" s="1" t="s">
        <v>21</v>
      </c>
      <c r="J315" s="8" t="str">
        <f>IF(Table1[[#This Row],[Location / Chainage]]="Precast",J314,IF(Table1[[#This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15" s="8" t="str">
        <f>IF(Table1[[#This Row],[Date]]="","",TEXT(Table1[[#This Row],[Date]],"mmm  yy"))</f>
        <v>Apr  26</v>
      </c>
    </row>
    <row r="316" spans="2:11" x14ac:dyDescent="0.3">
      <c r="B316" s="8">
        <f t="shared" si="4"/>
        <v>313</v>
      </c>
      <c r="C316" s="9">
        <v>46119</v>
      </c>
      <c r="D316" s="17">
        <v>3407</v>
      </c>
      <c r="E316" s="1" t="s">
        <v>13</v>
      </c>
      <c r="F316" s="3" t="s">
        <v>260</v>
      </c>
      <c r="G316" s="1" t="s">
        <v>9</v>
      </c>
      <c r="H316" s="16">
        <v>19</v>
      </c>
      <c r="I316" s="1" t="s">
        <v>21</v>
      </c>
      <c r="J316" s="8" t="str">
        <f>IF(Table1[[#This Row],[Location / Chainage]]="Precast",J315,IF(Table1[[#This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16" s="8" t="str">
        <f>IF(Table1[[#This Row],[Date]]="","",TEXT(Table1[[#This Row],[Date]],"mmm  yy"))</f>
        <v>Apr  26</v>
      </c>
    </row>
    <row r="317" spans="2:11" x14ac:dyDescent="0.3">
      <c r="B317" s="8">
        <f t="shared" si="4"/>
        <v>314</v>
      </c>
      <c r="C317" s="9">
        <v>46119</v>
      </c>
      <c r="D317" s="17">
        <v>10260</v>
      </c>
      <c r="E317" s="1" t="s">
        <v>14</v>
      </c>
      <c r="F317" s="3" t="s">
        <v>267</v>
      </c>
      <c r="G317" s="1" t="s">
        <v>9</v>
      </c>
      <c r="H317" s="16">
        <v>6</v>
      </c>
      <c r="I317" s="1" t="s">
        <v>21</v>
      </c>
      <c r="J317" s="16" t="str">
        <f>IF(Table1[[#This Row],[Location / Chainage]]="Precast",J316,IF(Table1[[#This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17" s="16" t="str">
        <f>IF(Table1[[#This Row],[Date]]="","",TEXT(Table1[[#This Row],[Date]],"mmm  yy"))</f>
        <v>Apr  26</v>
      </c>
    </row>
    <row r="318" spans="2:11" x14ac:dyDescent="0.3">
      <c r="B318" s="8">
        <f t="shared" si="4"/>
        <v>315</v>
      </c>
      <c r="C318" s="9">
        <v>46119</v>
      </c>
      <c r="D318" s="17">
        <v>12325</v>
      </c>
      <c r="E318" s="1" t="s">
        <v>33</v>
      </c>
      <c r="F318" s="3" t="s">
        <v>268</v>
      </c>
      <c r="G318" s="1" t="s">
        <v>9</v>
      </c>
      <c r="H318" s="16">
        <v>10</v>
      </c>
      <c r="I318" s="1" t="s">
        <v>21</v>
      </c>
      <c r="J318" s="8" t="str">
        <f>IF(Table1[[#This Row],[Location / Chainage]]="Precast",J317,IF(Table1[[#This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18" s="8" t="str">
        <f>IF(Table1[[#This Row],[Date]]="","",TEXT(Table1[[#This Row],[Date]],"mmm  yy"))</f>
        <v>Apr  26</v>
      </c>
    </row>
    <row r="319" spans="2:11" x14ac:dyDescent="0.3">
      <c r="B319" s="8">
        <f t="shared" si="4"/>
        <v>316</v>
      </c>
      <c r="C319" s="9">
        <v>46119</v>
      </c>
      <c r="D319" s="17">
        <v>12445</v>
      </c>
      <c r="E319" s="1" t="s">
        <v>14</v>
      </c>
      <c r="F319" s="3" t="s">
        <v>269</v>
      </c>
      <c r="G319" s="1" t="s">
        <v>9</v>
      </c>
      <c r="H319" s="16">
        <v>7</v>
      </c>
      <c r="I319" s="1" t="s">
        <v>21</v>
      </c>
      <c r="J319" s="16" t="str">
        <f>IF(Table1[[#This Row],[Location / Chainage]]="Precast",J318,IF(Table1[[#This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19" s="16" t="str">
        <f>IF(Table1[[#This Row],[Date]]="","",TEXT(Table1[[#This Row],[Date]],"mmm  yy"))</f>
        <v>Apr  26</v>
      </c>
    </row>
    <row r="320" spans="2:11" x14ac:dyDescent="0.3">
      <c r="B320" s="8">
        <f t="shared" si="4"/>
        <v>317</v>
      </c>
      <c r="C320" s="9">
        <v>46120</v>
      </c>
      <c r="D320" s="17">
        <v>6700</v>
      </c>
      <c r="E320" s="1" t="s">
        <v>13</v>
      </c>
      <c r="F320" s="3" t="s">
        <v>15</v>
      </c>
      <c r="G320" s="1" t="s">
        <v>16</v>
      </c>
      <c r="H320" s="16">
        <v>14</v>
      </c>
      <c r="I320" s="1" t="s">
        <v>21</v>
      </c>
      <c r="J320" s="8" t="str">
        <f>IF(Table1[[#This Row],[Location / Chainage]]="Precast",J319,IF(Table1[[#This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20" s="8" t="str">
        <f>IF(Table1[[#This Row],[Date]]="","",TEXT(Table1[[#This Row],[Date]],"mmm  yy"))</f>
        <v>Apr  26</v>
      </c>
    </row>
    <row r="321" spans="2:11" x14ac:dyDescent="0.3">
      <c r="B321" s="8">
        <f t="shared" si="4"/>
        <v>318</v>
      </c>
      <c r="C321" s="9">
        <v>46120</v>
      </c>
      <c r="D321" s="17">
        <v>12445</v>
      </c>
      <c r="E321" s="1" t="s">
        <v>14</v>
      </c>
      <c r="F321" s="3" t="s">
        <v>270</v>
      </c>
      <c r="G321" s="1" t="s">
        <v>9</v>
      </c>
      <c r="H321" s="16">
        <v>7</v>
      </c>
      <c r="I321" s="1" t="s">
        <v>21</v>
      </c>
      <c r="J321" s="16" t="str">
        <f>IF(Table1[[#This Row],[Location / Chainage]]="Precast",J320,IF(Table1[[#This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21" s="16" t="str">
        <f>IF(Table1[[#This Row],[Date]]="","",TEXT(Table1[[#This Row],[Date]],"mmm  yy"))</f>
        <v>Apr  26</v>
      </c>
    </row>
    <row r="322" spans="2:11" x14ac:dyDescent="0.3">
      <c r="B322" s="8">
        <f t="shared" si="4"/>
        <v>319</v>
      </c>
      <c r="C322" s="9">
        <v>46120</v>
      </c>
      <c r="D322" s="17">
        <v>9780</v>
      </c>
      <c r="E322" s="1" t="s">
        <v>33</v>
      </c>
      <c r="F322" s="3" t="s">
        <v>271</v>
      </c>
      <c r="G322" s="1" t="s">
        <v>62</v>
      </c>
      <c r="H322" s="16">
        <v>18.5</v>
      </c>
      <c r="I322" s="1" t="s">
        <v>21</v>
      </c>
      <c r="J322" s="8" t="str">
        <f>IF(Table1[[#This Row],[Location / Chainage]]="Precast",J321,IF(Table1[[#This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22" s="8" t="str">
        <f>IF(Table1[[#This Row],[Date]]="","",TEXT(Table1[[#This Row],[Date]],"mmm  yy"))</f>
        <v>Apr  26</v>
      </c>
    </row>
    <row r="323" spans="2:11" x14ac:dyDescent="0.3">
      <c r="B323" s="8">
        <f t="shared" si="4"/>
        <v>320</v>
      </c>
      <c r="C323" s="9">
        <v>46120</v>
      </c>
      <c r="D323" s="17">
        <v>12469</v>
      </c>
      <c r="E323" s="1" t="s">
        <v>14</v>
      </c>
      <c r="F323" s="3" t="s">
        <v>272</v>
      </c>
      <c r="G323" s="1" t="s">
        <v>9</v>
      </c>
      <c r="H323" s="16">
        <v>11</v>
      </c>
      <c r="I323" s="1" t="s">
        <v>21</v>
      </c>
      <c r="J323" s="16" t="str">
        <f>IF(Table1[[#This Row],[Location / Chainage]]="Precast",J322,IF(Table1[[#This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23" s="16" t="str">
        <f>IF(Table1[[#This Row],[Date]]="","",TEXT(Table1[[#This Row],[Date]],"mmm  yy"))</f>
        <v>Apr  26</v>
      </c>
    </row>
    <row r="324" spans="2:11" x14ac:dyDescent="0.3">
      <c r="B324" s="8">
        <f t="shared" si="4"/>
        <v>321</v>
      </c>
      <c r="C324" s="9">
        <v>46120</v>
      </c>
      <c r="D324" s="17">
        <v>12481</v>
      </c>
      <c r="E324" s="1" t="s">
        <v>14</v>
      </c>
      <c r="F324" s="3" t="s">
        <v>274</v>
      </c>
      <c r="G324" s="1" t="s">
        <v>9</v>
      </c>
      <c r="H324" s="16">
        <v>4</v>
      </c>
      <c r="I324" s="1" t="s">
        <v>21</v>
      </c>
      <c r="J324" s="8" t="str">
        <f>IF(Table1[[#This Row],[Location / Chainage]]="Precast",J323,IF(Table1[[#This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24" s="8" t="str">
        <f>IF(Table1[[#This Row],[Date]]="","",TEXT(Table1[[#This Row],[Date]],"mmm  yy"))</f>
        <v>Apr  26</v>
      </c>
    </row>
    <row r="325" spans="2:11" x14ac:dyDescent="0.3">
      <c r="B325" s="8">
        <f t="shared" si="4"/>
        <v>322</v>
      </c>
      <c r="C325" s="9">
        <v>46121</v>
      </c>
      <c r="D325" s="17">
        <v>3407</v>
      </c>
      <c r="E325" s="1" t="s">
        <v>13</v>
      </c>
      <c r="F325" s="3" t="s">
        <v>260</v>
      </c>
      <c r="G325" s="1" t="s">
        <v>9</v>
      </c>
      <c r="H325" s="16">
        <v>12</v>
      </c>
      <c r="I325" s="1" t="s">
        <v>21</v>
      </c>
      <c r="J325" s="16" t="str">
        <f>IF(Table1[[#This Row],[Location / Chainage]]="Precast",J324,IF(Table1[[#This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25" s="16" t="str">
        <f>IF(Table1[[#This Row],[Date]]="","",TEXT(Table1[[#This Row],[Date]],"mmm  yy"))</f>
        <v>Apr  26</v>
      </c>
    </row>
    <row r="326" spans="2:11" x14ac:dyDescent="0.3">
      <c r="B326" s="8">
        <f t="shared" ref="B326:B389" si="5">1+B325</f>
        <v>323</v>
      </c>
      <c r="C326" s="9">
        <v>46121</v>
      </c>
      <c r="D326" s="17">
        <v>12305</v>
      </c>
      <c r="E326" s="1" t="s">
        <v>33</v>
      </c>
      <c r="F326" s="3" t="s">
        <v>275</v>
      </c>
      <c r="G326" s="1" t="s">
        <v>9</v>
      </c>
      <c r="H326" s="16">
        <v>7.5</v>
      </c>
      <c r="I326" s="1" t="s">
        <v>21</v>
      </c>
      <c r="J326" s="8" t="str">
        <f>IF(Table1[[#This Row],[Location / Chainage]]="Precast",J325,IF(Table1[[#This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26" s="8" t="str">
        <f>IF(Table1[[#This Row],[Date]]="","",TEXT(Table1[[#This Row],[Date]],"mmm  yy"))</f>
        <v>Apr  26</v>
      </c>
    </row>
    <row r="327" spans="2:11" x14ac:dyDescent="0.3">
      <c r="B327" s="8">
        <f t="shared" si="5"/>
        <v>324</v>
      </c>
      <c r="C327" s="9">
        <v>46121</v>
      </c>
      <c r="D327" s="17">
        <v>12469</v>
      </c>
      <c r="E327" s="1" t="s">
        <v>14</v>
      </c>
      <c r="F327" s="3" t="s">
        <v>276</v>
      </c>
      <c r="G327" s="1" t="s">
        <v>9</v>
      </c>
      <c r="H327" s="16">
        <v>7</v>
      </c>
      <c r="I327" s="1" t="s">
        <v>21</v>
      </c>
      <c r="J327" s="16" t="str">
        <f>IF(Table1[[#This Row],[Location / Chainage]]="Precast",J326,IF(Table1[[#This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27" s="16" t="str">
        <f>IF(Table1[[#This Row],[Date]]="","",TEXT(Table1[[#This Row],[Date]],"mmm  yy"))</f>
        <v>Apr  26</v>
      </c>
    </row>
    <row r="328" spans="2:11" x14ac:dyDescent="0.3">
      <c r="B328" s="8">
        <f t="shared" si="5"/>
        <v>325</v>
      </c>
      <c r="C328" s="9">
        <v>46121</v>
      </c>
      <c r="D328" s="17">
        <v>11326</v>
      </c>
      <c r="E328" s="1" t="s">
        <v>13</v>
      </c>
      <c r="F328" s="3" t="s">
        <v>277</v>
      </c>
      <c r="G328" s="1" t="s">
        <v>9</v>
      </c>
      <c r="H328" s="16">
        <v>30</v>
      </c>
      <c r="I328" s="1" t="s">
        <v>21</v>
      </c>
      <c r="J328" s="8" t="str">
        <f>IF(Table1[[#This Row],[Location / Chainage]]="Precast",J327,IF(Table1[[#This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28" s="8" t="str">
        <f>IF(Table1[[#This Row],[Date]]="","",TEXT(Table1[[#This Row],[Date]],"mmm  yy"))</f>
        <v>Apr  26</v>
      </c>
    </row>
    <row r="329" spans="2:11" x14ac:dyDescent="0.3">
      <c r="B329" s="8">
        <f t="shared" si="5"/>
        <v>326</v>
      </c>
      <c r="C329" s="9">
        <v>46121</v>
      </c>
      <c r="D329" s="17">
        <v>7301</v>
      </c>
      <c r="E329" s="1" t="s">
        <v>13</v>
      </c>
      <c r="F329" s="3" t="s">
        <v>28</v>
      </c>
      <c r="G329" s="1" t="s">
        <v>16</v>
      </c>
      <c r="H329" s="16">
        <v>102</v>
      </c>
      <c r="I329" s="1" t="s">
        <v>21</v>
      </c>
      <c r="J329" s="16" t="str">
        <f>IF(Table1[[#This Row],[Location / Chainage]]="Precast",J328,IF(Table1[[#This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29" s="16" t="str">
        <f>IF(Table1[[#This Row],[Date]]="","",TEXT(Table1[[#This Row],[Date]],"mmm  yy"))</f>
        <v>Apr  26</v>
      </c>
    </row>
    <row r="330" spans="2:11" x14ac:dyDescent="0.3">
      <c r="B330" s="8">
        <f t="shared" si="5"/>
        <v>327</v>
      </c>
      <c r="C330" s="9">
        <v>46121</v>
      </c>
      <c r="D330" s="17">
        <v>12341</v>
      </c>
      <c r="E330" s="1" t="s">
        <v>33</v>
      </c>
      <c r="F330" s="3" t="s">
        <v>296</v>
      </c>
      <c r="G330" s="1" t="s">
        <v>62</v>
      </c>
      <c r="H330" s="16">
        <v>14</v>
      </c>
      <c r="I330" s="1" t="s">
        <v>21</v>
      </c>
      <c r="J330" s="16" t="str">
        <f>IF(Table1[[#This Row],[Location / Chainage]]="Precast",J329,IF(Table1[[#This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30" s="16" t="str">
        <f>IF(Table1[[#This Row],[Date]]="","",TEXT(Table1[[#This Row],[Date]],"mmm  yy"))</f>
        <v>Apr  26</v>
      </c>
    </row>
    <row r="331" spans="2:11" x14ac:dyDescent="0.3">
      <c r="B331" s="8">
        <f t="shared" si="5"/>
        <v>328</v>
      </c>
      <c r="C331" s="9">
        <v>46122</v>
      </c>
      <c r="D331" s="17">
        <v>12325</v>
      </c>
      <c r="E331" s="1" t="s">
        <v>33</v>
      </c>
      <c r="F331" s="3" t="s">
        <v>283</v>
      </c>
      <c r="G331" s="1" t="s">
        <v>11</v>
      </c>
      <c r="H331" s="16">
        <v>4</v>
      </c>
      <c r="I331" s="1" t="s">
        <v>21</v>
      </c>
      <c r="J331" s="8" t="str">
        <f>IF(Table1[[#This Row],[Location / Chainage]]="Precast",J329,IF(Table1[[#This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31" s="8" t="str">
        <f>IF(Table1[[#This Row],[Date]]="","",TEXT(Table1[[#This Row],[Date]],"mmm  yy"))</f>
        <v>Apr  26</v>
      </c>
    </row>
    <row r="332" spans="2:11" x14ac:dyDescent="0.3">
      <c r="B332" s="8">
        <f t="shared" si="5"/>
        <v>329</v>
      </c>
      <c r="C332" s="9">
        <v>46123</v>
      </c>
      <c r="D332" s="17">
        <v>3407</v>
      </c>
      <c r="E332" s="1" t="s">
        <v>13</v>
      </c>
      <c r="F332" s="3" t="s">
        <v>278</v>
      </c>
      <c r="G332" s="1" t="s">
        <v>9</v>
      </c>
      <c r="H332" s="16">
        <v>13</v>
      </c>
      <c r="I332" s="1" t="s">
        <v>21</v>
      </c>
      <c r="J332" s="16" t="str">
        <f>IF(Table1[[#This Row],[Location / Chainage]]="Precast",J331,IF(Table1[[#This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32" s="16" t="str">
        <f>IF(Table1[[#This Row],[Date]]="","",TEXT(Table1[[#This Row],[Date]],"mmm  yy"))</f>
        <v>Apr  26</v>
      </c>
    </row>
    <row r="333" spans="2:11" x14ac:dyDescent="0.3">
      <c r="B333" s="8">
        <f t="shared" si="5"/>
        <v>330</v>
      </c>
      <c r="C333" s="9">
        <v>46123</v>
      </c>
      <c r="D333" s="17">
        <v>7731</v>
      </c>
      <c r="E333" s="1" t="s">
        <v>13</v>
      </c>
      <c r="F333" s="3" t="s">
        <v>164</v>
      </c>
      <c r="G333" s="1" t="s">
        <v>16</v>
      </c>
      <c r="H333" s="16">
        <v>4.5</v>
      </c>
      <c r="I333" s="1" t="s">
        <v>21</v>
      </c>
      <c r="J333" s="8" t="str">
        <f>IF(Table1[[#This Row],[Location / Chainage]]="Precast",J332,IF(Table1[[#This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33" s="8" t="str">
        <f>IF(Table1[[#This Row],[Date]]="","",TEXT(Table1[[#This Row],[Date]],"mmm  yy"))</f>
        <v>Apr  26</v>
      </c>
    </row>
    <row r="334" spans="2:11" x14ac:dyDescent="0.3">
      <c r="B334" s="8">
        <f t="shared" si="5"/>
        <v>331</v>
      </c>
      <c r="C334" s="9">
        <v>46123</v>
      </c>
      <c r="D334" s="17">
        <v>12331</v>
      </c>
      <c r="E334" s="1" t="s">
        <v>33</v>
      </c>
      <c r="F334" s="3" t="s">
        <v>285</v>
      </c>
      <c r="G334" s="1" t="s">
        <v>11</v>
      </c>
      <c r="H334" s="16">
        <v>2.5</v>
      </c>
      <c r="I334" s="1" t="s">
        <v>21</v>
      </c>
      <c r="J334" s="8" t="str">
        <f>IF(Table1[[#This Row],[Location / Chainage]]="Precast",J333,IF(Table1[[#This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34" s="8" t="str">
        <f>IF(Table1[[#This Row],[Date]]="","",TEXT(Table1[[#This Row],[Date]],"mmm  yy"))</f>
        <v>Apr  26</v>
      </c>
    </row>
    <row r="335" spans="2:11" x14ac:dyDescent="0.3">
      <c r="B335" s="8">
        <f t="shared" si="5"/>
        <v>332</v>
      </c>
      <c r="C335" s="9">
        <v>46123</v>
      </c>
      <c r="D335" s="17">
        <v>12505</v>
      </c>
      <c r="E335" s="1" t="s">
        <v>14</v>
      </c>
      <c r="F335" s="3" t="s">
        <v>279</v>
      </c>
      <c r="G335" s="1" t="s">
        <v>9</v>
      </c>
      <c r="H335" s="16">
        <v>11</v>
      </c>
      <c r="I335" s="1" t="s">
        <v>21</v>
      </c>
      <c r="J335" s="16" t="str">
        <f>IF(Table1[[#This Row],[Location / Chainage]]="Precast",J334,IF(Table1[[#This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35" s="16" t="str">
        <f>IF(Table1[[#This Row],[Date]]="","",TEXT(Table1[[#This Row],[Date]],"mmm  yy"))</f>
        <v>Apr  26</v>
      </c>
    </row>
    <row r="336" spans="2:11" x14ac:dyDescent="0.3">
      <c r="B336" s="8">
        <f t="shared" si="5"/>
        <v>333</v>
      </c>
      <c r="C336" s="9">
        <v>46123</v>
      </c>
      <c r="D336" s="17">
        <v>10361</v>
      </c>
      <c r="E336" s="1" t="s">
        <v>14</v>
      </c>
      <c r="F336" s="3" t="s">
        <v>280</v>
      </c>
      <c r="G336" s="1" t="s">
        <v>9</v>
      </c>
      <c r="H336" s="16">
        <v>8</v>
      </c>
      <c r="I336" s="1" t="s">
        <v>21</v>
      </c>
      <c r="J336" s="8" t="str">
        <f>IF(Table1[[#This Row],[Location / Chainage]]="Precast",J335,IF(Table1[[#This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36" s="8" t="str">
        <f>IF(Table1[[#This Row],[Date]]="","",TEXT(Table1[[#This Row],[Date]],"mmm  yy"))</f>
        <v>Apr  26</v>
      </c>
    </row>
    <row r="337" spans="2:11" x14ac:dyDescent="0.3">
      <c r="B337" s="8">
        <f t="shared" si="5"/>
        <v>334</v>
      </c>
      <c r="C337" s="9">
        <v>46123</v>
      </c>
      <c r="D337" s="17">
        <v>12140</v>
      </c>
      <c r="E337" s="1" t="s">
        <v>70</v>
      </c>
      <c r="F337" s="3" t="s">
        <v>98</v>
      </c>
      <c r="G337" s="1" t="s">
        <v>9</v>
      </c>
      <c r="H337" s="16">
        <v>4</v>
      </c>
      <c r="I337" s="1" t="s">
        <v>21</v>
      </c>
      <c r="J337" s="16" t="str">
        <f>IF(Table1[[#This Row],[Location / Chainage]]="Precast",J336,IF(Table1[[#This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37" s="16" t="str">
        <f>IF(Table1[[#This Row],[Date]]="","",TEXT(Table1[[#This Row],[Date]],"mmm  yy"))</f>
        <v>Apr  26</v>
      </c>
    </row>
    <row r="338" spans="2:11" x14ac:dyDescent="0.3">
      <c r="B338" s="8">
        <f t="shared" si="5"/>
        <v>335</v>
      </c>
      <c r="C338" s="9">
        <v>46123</v>
      </c>
      <c r="D338" s="17">
        <v>12172</v>
      </c>
      <c r="E338" s="1" t="s">
        <v>13</v>
      </c>
      <c r="F338" s="3" t="s">
        <v>30</v>
      </c>
      <c r="G338" s="1" t="s">
        <v>9</v>
      </c>
      <c r="H338" s="16">
        <v>3</v>
      </c>
      <c r="I338" s="1" t="s">
        <v>21</v>
      </c>
      <c r="J338" s="8" t="str">
        <f>IF(Table1[[#This Row],[Location / Chainage]]="Precast",J337,IF(Table1[[#This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38" s="8" t="str">
        <f>IF(Table1[[#This Row],[Date]]="","",TEXT(Table1[[#This Row],[Date]],"mmm  yy"))</f>
        <v>Apr  26</v>
      </c>
    </row>
    <row r="339" spans="2:11" x14ac:dyDescent="0.3">
      <c r="B339" s="8">
        <f t="shared" si="5"/>
        <v>336</v>
      </c>
      <c r="C339" s="9">
        <v>46124</v>
      </c>
      <c r="D339" s="17">
        <v>13379</v>
      </c>
      <c r="E339" s="1" t="s">
        <v>13</v>
      </c>
      <c r="F339" s="3" t="s">
        <v>15</v>
      </c>
      <c r="G339" s="1" t="s">
        <v>16</v>
      </c>
      <c r="H339" s="16">
        <v>13</v>
      </c>
      <c r="I339" s="1" t="s">
        <v>21</v>
      </c>
      <c r="J339" s="16" t="str">
        <f>IF(Table1[[#This Row],[Location / Chainage]]="Precast",J338,IF(Table1[[#This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39" s="16" t="str">
        <f>IF(Table1[[#This Row],[Date]]="","",TEXT(Table1[[#This Row],[Date]],"mmm  yy"))</f>
        <v>Apr  26</v>
      </c>
    </row>
    <row r="340" spans="2:11" x14ac:dyDescent="0.3">
      <c r="B340" s="8">
        <f t="shared" si="5"/>
        <v>337</v>
      </c>
      <c r="C340" s="9">
        <v>46124</v>
      </c>
      <c r="D340" s="17">
        <v>8185</v>
      </c>
      <c r="E340" s="1" t="s">
        <v>33</v>
      </c>
      <c r="F340" s="3" t="s">
        <v>281</v>
      </c>
      <c r="G340" s="1" t="s">
        <v>9</v>
      </c>
      <c r="H340" s="16">
        <v>2</v>
      </c>
      <c r="I340" s="1" t="s">
        <v>21</v>
      </c>
      <c r="J340" s="8" t="str">
        <f>IF(Table1[[#This Row],[Location / Chainage]]="Precast",J339,IF(Table1[[#This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40" s="8" t="str">
        <f>IF(Table1[[#This Row],[Date]]="","",TEXT(Table1[[#This Row],[Date]],"mmm  yy"))</f>
        <v>Apr  26</v>
      </c>
    </row>
    <row r="341" spans="2:11" x14ac:dyDescent="0.3">
      <c r="B341" s="8">
        <f t="shared" si="5"/>
        <v>338</v>
      </c>
      <c r="C341" s="9">
        <v>46124</v>
      </c>
      <c r="D341" s="17">
        <v>12493</v>
      </c>
      <c r="E341" s="1" t="s">
        <v>14</v>
      </c>
      <c r="F341" s="3" t="s">
        <v>282</v>
      </c>
      <c r="G341" s="1" t="s">
        <v>9</v>
      </c>
      <c r="H341" s="16">
        <v>12</v>
      </c>
      <c r="I341" s="1" t="s">
        <v>21</v>
      </c>
      <c r="J341" s="8" t="str">
        <f>IF(Table1[[#This Row],[Location / Chainage]]="Precast",J340,IF(Table1[[#This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41" s="8" t="str">
        <f>IF(Table1[[#This Row],[Date]]="","",TEXT(Table1[[#This Row],[Date]],"mmm  yy"))</f>
        <v>Apr  26</v>
      </c>
    </row>
    <row r="342" spans="2:11" x14ac:dyDescent="0.3">
      <c r="B342" s="8">
        <f t="shared" si="5"/>
        <v>339</v>
      </c>
      <c r="C342" s="9">
        <v>46124</v>
      </c>
      <c r="D342" s="17">
        <v>13276</v>
      </c>
      <c r="E342" s="1" t="s">
        <v>13</v>
      </c>
      <c r="F342" s="3" t="s">
        <v>297</v>
      </c>
      <c r="G342" s="1" t="s">
        <v>9</v>
      </c>
      <c r="H342" s="16">
        <v>10</v>
      </c>
      <c r="I342" s="1" t="s">
        <v>21</v>
      </c>
      <c r="J342" s="8" t="str">
        <f>IF(Table1[[#This Row],[Location / Chainage]]="Precast",J341,IF(Table1[[#This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42" s="8" t="str">
        <f>IF(Table1[[#This Row],[Date]]="","",TEXT(Table1[[#This Row],[Date]],"mmm  yy"))</f>
        <v>Apr  26</v>
      </c>
    </row>
    <row r="343" spans="2:11" x14ac:dyDescent="0.3">
      <c r="B343" s="8">
        <f t="shared" si="5"/>
        <v>340</v>
      </c>
      <c r="C343" s="9">
        <v>46124</v>
      </c>
      <c r="D343" s="17">
        <v>10401</v>
      </c>
      <c r="E343" s="1" t="s">
        <v>14</v>
      </c>
      <c r="F343" s="3" t="s">
        <v>298</v>
      </c>
      <c r="G343" s="1" t="s">
        <v>9</v>
      </c>
      <c r="H343" s="16">
        <v>10</v>
      </c>
      <c r="I343" s="1" t="s">
        <v>21</v>
      </c>
      <c r="J343" s="8" t="str">
        <f>IF(Table1[[#This Row],[Location / Chainage]]="Precast",J342,IF(Table1[[#This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43" s="8" t="str">
        <f>IF(Table1[[#This Row],[Date]]="","",TEXT(Table1[[#This Row],[Date]],"mmm  yy"))</f>
        <v>Apr  26</v>
      </c>
    </row>
    <row r="344" spans="2:11" x14ac:dyDescent="0.3">
      <c r="B344" s="8">
        <f t="shared" si="5"/>
        <v>341</v>
      </c>
      <c r="C344" s="9">
        <v>46124</v>
      </c>
      <c r="D344" s="17">
        <v>12305</v>
      </c>
      <c r="E344" s="1" t="s">
        <v>14</v>
      </c>
      <c r="F344" s="3" t="s">
        <v>299</v>
      </c>
      <c r="G344" s="1" t="s">
        <v>9</v>
      </c>
      <c r="H344" s="16">
        <v>18</v>
      </c>
      <c r="I344" s="1" t="s">
        <v>21</v>
      </c>
      <c r="J344" s="8" t="str">
        <f>IF(Table1[[#This Row],[Location / Chainage]]="Precast",J343,IF(Table1[[#This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44" s="8" t="str">
        <f>IF(Table1[[#This Row],[Date]]="","",TEXT(Table1[[#This Row],[Date]],"mmm  yy"))</f>
        <v>Apr  26</v>
      </c>
    </row>
    <row r="345" spans="2:11" x14ac:dyDescent="0.3">
      <c r="B345" s="8">
        <f t="shared" si="5"/>
        <v>342</v>
      </c>
      <c r="C345" s="9">
        <v>46125</v>
      </c>
      <c r="D345" s="17">
        <v>12300</v>
      </c>
      <c r="E345" s="1" t="s">
        <v>33</v>
      </c>
      <c r="F345" s="3" t="s">
        <v>300</v>
      </c>
      <c r="G345" s="1" t="s">
        <v>11</v>
      </c>
      <c r="H345" s="16">
        <v>5</v>
      </c>
      <c r="I345" s="1" t="s">
        <v>21</v>
      </c>
      <c r="J345" s="8" t="str">
        <f>IF(Table1[[#This Row],[Location / Chainage]]="Precast",J344,IF(Table1[[#This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45" s="8" t="str">
        <f>IF(Table1[[#This Row],[Date]]="","",TEXT(Table1[[#This Row],[Date]],"mmm  yy"))</f>
        <v>Apr  26</v>
      </c>
    </row>
    <row r="346" spans="2:11" x14ac:dyDescent="0.3">
      <c r="B346" s="8">
        <f t="shared" si="5"/>
        <v>343</v>
      </c>
      <c r="C346" s="9">
        <v>46125</v>
      </c>
      <c r="D346" s="17">
        <v>9809</v>
      </c>
      <c r="E346" s="1" t="s">
        <v>33</v>
      </c>
      <c r="F346" s="3" t="s">
        <v>286</v>
      </c>
      <c r="G346" s="1" t="s">
        <v>62</v>
      </c>
      <c r="H346" s="16">
        <v>15</v>
      </c>
      <c r="I346" s="1" t="s">
        <v>21</v>
      </c>
      <c r="J346" s="8" t="str">
        <f>IF(Table1[[#This Row],[Location / Chainage]]="Precast",J345,IF(Table1[[#This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46" s="8" t="str">
        <f>IF(Table1[[#This Row],[Date]]="","",TEXT(Table1[[#This Row],[Date]],"mmm  yy"))</f>
        <v>Apr  26</v>
      </c>
    </row>
    <row r="347" spans="2:11" x14ac:dyDescent="0.3">
      <c r="B347" s="8">
        <f t="shared" si="5"/>
        <v>344</v>
      </c>
      <c r="C347" s="9">
        <v>46125</v>
      </c>
      <c r="D347" s="17">
        <v>8097</v>
      </c>
      <c r="E347" s="1" t="s">
        <v>33</v>
      </c>
      <c r="F347" s="3" t="s">
        <v>287</v>
      </c>
      <c r="G347" s="1" t="s">
        <v>62</v>
      </c>
      <c r="H347" s="16">
        <v>5</v>
      </c>
      <c r="I347" s="1" t="s">
        <v>21</v>
      </c>
      <c r="J347" s="8" t="str">
        <f>IF(Table1[[#This Row],[Location / Chainage]]="Precast",J346,IF(Table1[[#This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47" s="8" t="str">
        <f>IF(Table1[[#This Row],[Date]]="","",TEXT(Table1[[#This Row],[Date]],"mmm  yy"))</f>
        <v>Apr  26</v>
      </c>
    </row>
    <row r="348" spans="2:11" x14ac:dyDescent="0.3">
      <c r="B348" s="8">
        <f t="shared" si="5"/>
        <v>345</v>
      </c>
      <c r="C348" s="9">
        <v>46125</v>
      </c>
      <c r="D348" s="17">
        <v>12505</v>
      </c>
      <c r="E348" s="1" t="s">
        <v>14</v>
      </c>
      <c r="F348" s="3" t="s">
        <v>288</v>
      </c>
      <c r="G348" s="1" t="s">
        <v>9</v>
      </c>
      <c r="H348" s="16">
        <v>8</v>
      </c>
      <c r="I348" s="1" t="s">
        <v>21</v>
      </c>
      <c r="J348" s="8" t="str">
        <f>IF(Table1[[#This Row],[Location / Chainage]]="Precast",J347,IF(Table1[[#This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48" s="8" t="str">
        <f>IF(Table1[[#This Row],[Date]]="","",TEXT(Table1[[#This Row],[Date]],"mmm  yy"))</f>
        <v>Apr  26</v>
      </c>
    </row>
    <row r="349" spans="2:11" x14ac:dyDescent="0.3">
      <c r="B349" s="8">
        <f t="shared" si="5"/>
        <v>346</v>
      </c>
      <c r="C349" s="9">
        <v>46125</v>
      </c>
      <c r="D349" s="17">
        <v>10361</v>
      </c>
      <c r="E349" s="1" t="s">
        <v>14</v>
      </c>
      <c r="F349" s="3" t="s">
        <v>289</v>
      </c>
      <c r="G349" s="1" t="s">
        <v>9</v>
      </c>
      <c r="H349" s="16">
        <v>22</v>
      </c>
      <c r="I349" s="1" t="s">
        <v>21</v>
      </c>
      <c r="J349" s="8" t="str">
        <f>IF(Table1[[#This Row],[Location / Chainage]]="Precast",J348,IF(Table1[[#This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49" s="8" t="str">
        <f>IF(Table1[[#This Row],[Date]]="","",TEXT(Table1[[#This Row],[Date]],"mmm  yy"))</f>
        <v>Apr  26</v>
      </c>
    </row>
    <row r="350" spans="2:11" x14ac:dyDescent="0.3">
      <c r="B350" s="8">
        <f t="shared" si="5"/>
        <v>347</v>
      </c>
      <c r="C350" s="9">
        <v>46125</v>
      </c>
      <c r="D350" s="17">
        <v>10462</v>
      </c>
      <c r="E350" s="1" t="s">
        <v>14</v>
      </c>
      <c r="F350" s="3" t="s">
        <v>290</v>
      </c>
      <c r="G350" s="1" t="s">
        <v>9</v>
      </c>
      <c r="H350" s="16">
        <v>6</v>
      </c>
      <c r="I350" s="1" t="s">
        <v>21</v>
      </c>
      <c r="J350" s="8" t="str">
        <f>IF(Table1[[#This Row],[Location / Chainage]]="Precast",J349,IF(Table1[[#This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50" s="8" t="str">
        <f>IF(Table1[[#This Row],[Date]]="","",TEXT(Table1[[#This Row],[Date]],"mmm  yy"))</f>
        <v>Apr  26</v>
      </c>
    </row>
    <row r="351" spans="2:11" x14ac:dyDescent="0.3">
      <c r="B351" s="8">
        <f t="shared" si="5"/>
        <v>348</v>
      </c>
      <c r="C351" s="9">
        <v>46125</v>
      </c>
      <c r="D351" s="17">
        <v>3407</v>
      </c>
      <c r="E351" s="1" t="s">
        <v>13</v>
      </c>
      <c r="F351" s="3" t="s">
        <v>278</v>
      </c>
      <c r="G351" s="1" t="s">
        <v>9</v>
      </c>
      <c r="H351" s="16">
        <v>10</v>
      </c>
      <c r="I351" s="1" t="s">
        <v>21</v>
      </c>
      <c r="J351" s="8" t="str">
        <f>IF(Table1[[#This Row],[Location / Chainage]]="Precast",J350,IF(Table1[[#This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51" s="8" t="str">
        <f>IF(Table1[[#This Row],[Date]]="","",TEXT(Table1[[#This Row],[Date]],"mmm  yy"))</f>
        <v>Apr  26</v>
      </c>
    </row>
    <row r="352" spans="2:11" x14ac:dyDescent="0.3">
      <c r="B352" s="8">
        <f t="shared" si="5"/>
        <v>349</v>
      </c>
      <c r="C352" s="9">
        <v>46126</v>
      </c>
      <c r="D352" s="17">
        <v>50</v>
      </c>
      <c r="E352" s="1" t="s">
        <v>145</v>
      </c>
      <c r="F352" s="3" t="s">
        <v>301</v>
      </c>
      <c r="G352" s="1" t="s">
        <v>9</v>
      </c>
      <c r="H352" s="16">
        <v>7.5</v>
      </c>
      <c r="I352" s="1" t="s">
        <v>21</v>
      </c>
      <c r="J352" s="8" t="str">
        <f>IF(Table1[[#This Row],[Location / Chainage]]="Precast",J351,IF(Table1[[#This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52" s="8" t="str">
        <f>IF(Table1[[#This Row],[Date]]="","",TEXT(Table1[[#This Row],[Date]],"mmm  yy"))</f>
        <v>Apr  26</v>
      </c>
    </row>
    <row r="353" spans="2:11" x14ac:dyDescent="0.3">
      <c r="B353" s="8">
        <f t="shared" si="5"/>
        <v>350</v>
      </c>
      <c r="C353" s="9">
        <v>46126</v>
      </c>
      <c r="D353" s="17">
        <v>12354</v>
      </c>
      <c r="E353" s="1" t="s">
        <v>33</v>
      </c>
      <c r="F353" s="3" t="s">
        <v>291</v>
      </c>
      <c r="G353" s="1" t="s">
        <v>62</v>
      </c>
      <c r="H353" s="16">
        <v>6</v>
      </c>
      <c r="I353" s="1" t="s">
        <v>21</v>
      </c>
      <c r="J353" s="8" t="str">
        <f>IF(Table1[[#This Row],[Location / Chainage]]="Precast",J352,IF(Table1[[#This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53" s="8" t="str">
        <f>IF(Table1[[#This Row],[Date]]="","",TEXT(Table1[[#This Row],[Date]],"mmm  yy"))</f>
        <v>Apr  26</v>
      </c>
    </row>
    <row r="354" spans="2:11" x14ac:dyDescent="0.3">
      <c r="B354" s="8">
        <f t="shared" si="5"/>
        <v>351</v>
      </c>
      <c r="C354" s="9">
        <v>46126</v>
      </c>
      <c r="D354" s="17">
        <v>12360</v>
      </c>
      <c r="E354" s="1" t="s">
        <v>33</v>
      </c>
      <c r="F354" s="3" t="s">
        <v>292</v>
      </c>
      <c r="G354" s="1" t="s">
        <v>9</v>
      </c>
      <c r="H354" s="16">
        <v>3</v>
      </c>
      <c r="I354" s="1" t="s">
        <v>21</v>
      </c>
      <c r="J354" s="8" t="str">
        <f>IF(Table1[[#This Row],[Location / Chainage]]="Precast",J353,IF(Table1[[#This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54" s="8" t="str">
        <f>IF(Table1[[#This Row],[Date]]="","",TEXT(Table1[[#This Row],[Date]],"mmm  yy"))</f>
        <v>Apr  26</v>
      </c>
    </row>
    <row r="355" spans="2:11" x14ac:dyDescent="0.3">
      <c r="B355" s="8">
        <f t="shared" si="5"/>
        <v>352</v>
      </c>
      <c r="C355" s="9">
        <v>46126</v>
      </c>
      <c r="D355" s="17">
        <v>10361</v>
      </c>
      <c r="E355" s="1" t="s">
        <v>14</v>
      </c>
      <c r="F355" s="3" t="s">
        <v>293</v>
      </c>
      <c r="G355" s="1" t="s">
        <v>9</v>
      </c>
      <c r="H355" s="16">
        <v>7</v>
      </c>
      <c r="I355" s="1" t="s">
        <v>21</v>
      </c>
      <c r="J355" s="8" t="str">
        <f>IF(Table1[[#This Row],[Location / Chainage]]="Precast",J354,IF(Table1[[#This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55" s="8" t="str">
        <f>IF(Table1[[#This Row],[Date]]="","",TEXT(Table1[[#This Row],[Date]],"mmm  yy"))</f>
        <v>Apr  26</v>
      </c>
    </row>
    <row r="356" spans="2:11" x14ac:dyDescent="0.3">
      <c r="B356" s="8">
        <f t="shared" si="5"/>
        <v>353</v>
      </c>
      <c r="C356" s="9">
        <v>46126</v>
      </c>
      <c r="D356" s="17">
        <v>7303</v>
      </c>
      <c r="E356" s="1" t="s">
        <v>13</v>
      </c>
      <c r="F356" s="3" t="s">
        <v>244</v>
      </c>
      <c r="G356" s="1" t="s">
        <v>9</v>
      </c>
      <c r="H356" s="16">
        <v>6</v>
      </c>
      <c r="I356" s="1" t="s">
        <v>21</v>
      </c>
      <c r="J356" s="8" t="str">
        <f>IF(Table1[[#This Row],[Location / Chainage]]="Precast",J355,IF(Table1[[#This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56" s="8" t="str">
        <f>IF(Table1[[#This Row],[Date]]="","",TEXT(Table1[[#This Row],[Date]],"mmm  yy"))</f>
        <v>Apr  26</v>
      </c>
    </row>
    <row r="357" spans="2:11" x14ac:dyDescent="0.3">
      <c r="B357" s="8">
        <f t="shared" si="5"/>
        <v>354</v>
      </c>
      <c r="C357" s="9">
        <v>46126</v>
      </c>
      <c r="D357" s="17">
        <v>10421</v>
      </c>
      <c r="E357" s="1" t="s">
        <v>14</v>
      </c>
      <c r="F357" s="3" t="s">
        <v>294</v>
      </c>
      <c r="G357" s="1" t="s">
        <v>9</v>
      </c>
      <c r="H357" s="16">
        <v>14</v>
      </c>
      <c r="I357" s="1" t="s">
        <v>21</v>
      </c>
      <c r="J357" s="8" t="str">
        <f>IF(Table1[[#This Row],[Location / Chainage]]="Precast",J356,IF(Table1[[#This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57" s="8" t="str">
        <f>IF(Table1[[#This Row],[Date]]="","",TEXT(Table1[[#This Row],[Date]],"mmm  yy"))</f>
        <v>Apr  26</v>
      </c>
    </row>
    <row r="358" spans="2:11" x14ac:dyDescent="0.3">
      <c r="B358" s="8">
        <f t="shared" si="5"/>
        <v>355</v>
      </c>
      <c r="C358" s="9">
        <v>46126</v>
      </c>
      <c r="D358" s="17">
        <v>10287</v>
      </c>
      <c r="E358" s="1" t="s">
        <v>33</v>
      </c>
      <c r="F358" s="3" t="s">
        <v>295</v>
      </c>
      <c r="G358" s="1" t="s">
        <v>9</v>
      </c>
      <c r="H358" s="16">
        <v>8</v>
      </c>
      <c r="I358" s="1" t="s">
        <v>21</v>
      </c>
      <c r="J358" s="8" t="str">
        <f>IF(Table1[[#This Row],[Location / Chainage]]="Precast",J357,IF(Table1[[#This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58" s="8" t="str">
        <f>IF(Table1[[#This Row],[Date]]="","",TEXT(Table1[[#This Row],[Date]],"mmm  yy"))</f>
        <v>Apr  26</v>
      </c>
    </row>
    <row r="359" spans="2:11" x14ac:dyDescent="0.3">
      <c r="B359" s="8">
        <f t="shared" si="5"/>
        <v>356</v>
      </c>
      <c r="C359" s="9">
        <v>46127</v>
      </c>
      <c r="D359" s="17">
        <v>30</v>
      </c>
      <c r="E359" s="1" t="s">
        <v>145</v>
      </c>
      <c r="F359" s="3" t="s">
        <v>302</v>
      </c>
      <c r="G359" s="1" t="s">
        <v>9</v>
      </c>
      <c r="H359" s="16">
        <v>13</v>
      </c>
      <c r="I359" s="1" t="s">
        <v>21</v>
      </c>
      <c r="J359" s="8" t="str">
        <f>IF(Table1[[#This Row],[Location / Chainage]]="Precast",J358,IF(Table1[[#This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59" s="8" t="str">
        <f>IF(Table1[[#This Row],[Date]]="","",TEXT(Table1[[#This Row],[Date]],"mmm  yy"))</f>
        <v>Apr  26</v>
      </c>
    </row>
    <row r="360" spans="2:11" x14ac:dyDescent="0.3">
      <c r="B360" s="8">
        <f t="shared" si="5"/>
        <v>357</v>
      </c>
      <c r="C360" s="9">
        <v>46127</v>
      </c>
      <c r="D360" s="17">
        <v>10373</v>
      </c>
      <c r="E360" s="1" t="s">
        <v>14</v>
      </c>
      <c r="F360" s="3" t="s">
        <v>303</v>
      </c>
      <c r="G360" s="1" t="s">
        <v>9</v>
      </c>
      <c r="H360" s="16">
        <v>13</v>
      </c>
      <c r="I360" s="1" t="s">
        <v>21</v>
      </c>
      <c r="J360" s="8" t="str">
        <f>IF(Table1[[#This Row],[Location / Chainage]]="Precast",J359,IF(Table1[[#This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60" s="8" t="str">
        <f>IF(Table1[[#This Row],[Date]]="","",TEXT(Table1[[#This Row],[Date]],"mmm  yy"))</f>
        <v>Apr  26</v>
      </c>
    </row>
    <row r="361" spans="2:11" x14ac:dyDescent="0.3">
      <c r="B361" s="8">
        <f t="shared" si="5"/>
        <v>358</v>
      </c>
      <c r="C361" s="9">
        <v>46127</v>
      </c>
      <c r="D361" s="17">
        <v>10445</v>
      </c>
      <c r="E361" s="1" t="s">
        <v>14</v>
      </c>
      <c r="F361" s="3" t="s">
        <v>304</v>
      </c>
      <c r="G361" s="1" t="s">
        <v>9</v>
      </c>
      <c r="H361" s="16">
        <v>11</v>
      </c>
      <c r="I361" s="1" t="s">
        <v>21</v>
      </c>
      <c r="J361" s="8" t="str">
        <f>IF(Table1[[#This Row],[Location / Chainage]]="Precast",J360,IF(Table1[[#This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61" s="8" t="str">
        <f>IF(Table1[[#This Row],[Date]]="","",TEXT(Table1[[#This Row],[Date]],"mmm  yy"))</f>
        <v>Apr  26</v>
      </c>
    </row>
    <row r="362" spans="2:11" x14ac:dyDescent="0.3">
      <c r="B362" s="8">
        <f t="shared" si="5"/>
        <v>359</v>
      </c>
      <c r="C362" s="9">
        <v>46127</v>
      </c>
      <c r="D362" s="17">
        <v>13930</v>
      </c>
      <c r="E362" s="1" t="s">
        <v>13</v>
      </c>
      <c r="F362" s="3" t="s">
        <v>205</v>
      </c>
      <c r="G362" s="1" t="s">
        <v>16</v>
      </c>
      <c r="H362" s="16">
        <v>36</v>
      </c>
      <c r="I362" s="1" t="s">
        <v>21</v>
      </c>
      <c r="J362" s="8" t="str">
        <f>IF(Table1[[#This Row],[Location / Chainage]]="Precast",J361,IF(Table1[[#This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62" s="8" t="str">
        <f>IF(Table1[[#This Row],[Date]]="","",TEXT(Table1[[#This Row],[Date]],"mmm  yy"))</f>
        <v>Apr  26</v>
      </c>
    </row>
    <row r="363" spans="2:11" x14ac:dyDescent="0.3">
      <c r="B363" s="8">
        <f t="shared" si="5"/>
        <v>360</v>
      </c>
      <c r="C363" s="9">
        <v>46127</v>
      </c>
      <c r="D363" s="17">
        <v>9798</v>
      </c>
      <c r="E363" s="1" t="s">
        <v>33</v>
      </c>
      <c r="F363" s="3" t="s">
        <v>305</v>
      </c>
      <c r="G363" s="1" t="s">
        <v>62</v>
      </c>
      <c r="H363" s="16">
        <v>22</v>
      </c>
      <c r="I363" s="1" t="s">
        <v>21</v>
      </c>
      <c r="J363" s="8" t="str">
        <f>IF(Table1[[#This Row],[Location / Chainage]]="Precast",J362,IF(Table1[[#This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63" s="8" t="str">
        <f>IF(Table1[[#This Row],[Date]]="","",TEXT(Table1[[#This Row],[Date]],"mmm  yy"))</f>
        <v>Apr  26</v>
      </c>
    </row>
    <row r="364" spans="2:11" x14ac:dyDescent="0.3">
      <c r="B364" s="8">
        <f t="shared" si="5"/>
        <v>361</v>
      </c>
      <c r="C364" s="9">
        <v>46127</v>
      </c>
      <c r="D364" s="17">
        <v>8097</v>
      </c>
      <c r="E364" s="1" t="s">
        <v>33</v>
      </c>
      <c r="F364" s="3" t="s">
        <v>306</v>
      </c>
      <c r="G364" s="1" t="s">
        <v>62</v>
      </c>
      <c r="H364" s="16">
        <v>2</v>
      </c>
      <c r="I364" s="1" t="s">
        <v>21</v>
      </c>
      <c r="J364" s="8" t="str">
        <f>IF(Table1[[#This Row],[Location / Chainage]]="Precast",J363,IF(Table1[[#This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64" s="8" t="str">
        <f>IF(Table1[[#This Row],[Date]]="","",TEXT(Table1[[#This Row],[Date]],"mmm  yy"))</f>
        <v>Apr  26</v>
      </c>
    </row>
    <row r="365" spans="2:11" x14ac:dyDescent="0.3">
      <c r="B365" s="8">
        <f t="shared" si="5"/>
        <v>362</v>
      </c>
      <c r="C365" s="9">
        <v>46128</v>
      </c>
      <c r="D365" s="17">
        <v>3407</v>
      </c>
      <c r="E365" s="1" t="s">
        <v>13</v>
      </c>
      <c r="F365" s="3" t="s">
        <v>278</v>
      </c>
      <c r="G365" s="1" t="s">
        <v>9</v>
      </c>
      <c r="H365" s="1">
        <v>10</v>
      </c>
      <c r="I365" s="1" t="s">
        <v>21</v>
      </c>
      <c r="J365" s="8" t="str">
        <f>IF(Table1[[#This Row],[Location / Chainage]]="Precast",J364,IF(Table1[[#This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65" s="8" t="str">
        <f>IF(Table1[[#This Row],[Date]]="","",TEXT(Table1[[#This Row],[Date]],"mmm  yy"))</f>
        <v>Apr  26</v>
      </c>
    </row>
    <row r="366" spans="2:11" x14ac:dyDescent="0.3">
      <c r="B366" s="8">
        <f t="shared" si="5"/>
        <v>363</v>
      </c>
      <c r="C366" s="9">
        <v>46128</v>
      </c>
      <c r="D366" s="17">
        <v>10385</v>
      </c>
      <c r="E366" s="1" t="s">
        <v>14</v>
      </c>
      <c r="F366" s="3" t="s">
        <v>307</v>
      </c>
      <c r="G366" s="1" t="s">
        <v>9</v>
      </c>
      <c r="H366" s="16">
        <v>13</v>
      </c>
      <c r="I366" s="1" t="s">
        <v>21</v>
      </c>
      <c r="J366" s="8" t="str">
        <f>IF(Table1[[#This Row],[Location / Chainage]]="Precast",J365,IF(Table1[[#This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66" s="8" t="str">
        <f>IF(Table1[[#This Row],[Date]]="","",TEXT(Table1[[#This Row],[Date]],"mmm  yy"))</f>
        <v>Apr  26</v>
      </c>
    </row>
    <row r="367" spans="2:11" x14ac:dyDescent="0.3">
      <c r="B367" s="8">
        <f t="shared" si="5"/>
        <v>364</v>
      </c>
      <c r="C367" s="9">
        <v>46128</v>
      </c>
      <c r="D367" s="17">
        <v>11326</v>
      </c>
      <c r="E367" s="1" t="s">
        <v>13</v>
      </c>
      <c r="F367" s="3" t="s">
        <v>308</v>
      </c>
      <c r="G367" s="1" t="s">
        <v>16</v>
      </c>
      <c r="H367" s="16">
        <v>81</v>
      </c>
      <c r="I367" s="1" t="s">
        <v>21</v>
      </c>
      <c r="J367" s="8" t="str">
        <f>IF(Table1[[#This Row],[Location / Chainage]]="Precast",J366,IF(Table1[[#This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67" s="8" t="str">
        <f>IF(Table1[[#This Row],[Date]]="","",TEXT(Table1[[#This Row],[Date]],"mmm  yy"))</f>
        <v>Apr  26</v>
      </c>
    </row>
    <row r="368" spans="2:11" x14ac:dyDescent="0.3">
      <c r="B368" s="8">
        <f t="shared" si="5"/>
        <v>365</v>
      </c>
      <c r="C368" s="9">
        <v>46128</v>
      </c>
      <c r="D368" s="17">
        <v>10469</v>
      </c>
      <c r="E368" s="1" t="s">
        <v>14</v>
      </c>
      <c r="F368" s="3" t="s">
        <v>309</v>
      </c>
      <c r="G368" s="1" t="s">
        <v>9</v>
      </c>
      <c r="H368" s="16">
        <v>17</v>
      </c>
      <c r="I368" s="1" t="s">
        <v>21</v>
      </c>
      <c r="J368" s="8" t="str">
        <f>IF(Table1[[#This Row],[Location / Chainage]]="Precast",J367,IF(Table1[[#This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68" s="8" t="str">
        <f>IF(Table1[[#This Row],[Date]]="","",TEXT(Table1[[#This Row],[Date]],"mmm  yy"))</f>
        <v>Apr  26</v>
      </c>
    </row>
    <row r="369" spans="2:11" x14ac:dyDescent="0.3">
      <c r="B369" s="8">
        <f t="shared" si="5"/>
        <v>366</v>
      </c>
      <c r="C369" s="9">
        <v>46128</v>
      </c>
      <c r="D369" s="17">
        <v>10287</v>
      </c>
      <c r="E369" s="1" t="s">
        <v>33</v>
      </c>
      <c r="F369" s="3" t="s">
        <v>310</v>
      </c>
      <c r="G369" s="1" t="s">
        <v>9</v>
      </c>
      <c r="H369" s="1">
        <v>4.5</v>
      </c>
      <c r="I369" s="1" t="s">
        <v>21</v>
      </c>
      <c r="J369" s="8" t="str">
        <f>IF(Table1[[#This Row],[Location / Chainage]]="Precast",J368,IF(Table1[[#This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69" s="8" t="str">
        <f>IF(Table1[[#This Row],[Date]]="","",TEXT(Table1[[#This Row],[Date]],"mmm  yy"))</f>
        <v>Apr  26</v>
      </c>
    </row>
    <row r="370" spans="2:11" x14ac:dyDescent="0.3">
      <c r="B370" s="8">
        <f t="shared" si="5"/>
        <v>367</v>
      </c>
      <c r="C370" s="9">
        <v>46128</v>
      </c>
      <c r="D370" s="17">
        <v>9780</v>
      </c>
      <c r="E370" s="1" t="s">
        <v>33</v>
      </c>
      <c r="F370" s="3" t="s">
        <v>311</v>
      </c>
      <c r="G370" s="1" t="s">
        <v>62</v>
      </c>
      <c r="H370" s="16">
        <v>6</v>
      </c>
      <c r="I370" s="1" t="s">
        <v>21</v>
      </c>
      <c r="J370" s="8" t="str">
        <f>IF(Table1[[#This Row],[Location / Chainage]]="Precast",J369,IF(Table1[[#This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70" s="8" t="str">
        <f>IF(Table1[[#This Row],[Date]]="","",TEXT(Table1[[#This Row],[Date]],"mmm  yy"))</f>
        <v>Apr  26</v>
      </c>
    </row>
    <row r="371" spans="2:11" x14ac:dyDescent="0.3">
      <c r="B371" s="8">
        <f t="shared" si="5"/>
        <v>368</v>
      </c>
      <c r="C371" s="9">
        <v>46128</v>
      </c>
      <c r="D371" s="17">
        <v>10701</v>
      </c>
      <c r="E371" s="1" t="s">
        <v>14</v>
      </c>
      <c r="F371" s="3" t="s">
        <v>312</v>
      </c>
      <c r="G371" s="1" t="s">
        <v>11</v>
      </c>
      <c r="H371" s="16">
        <v>10</v>
      </c>
      <c r="I371" s="1" t="s">
        <v>21</v>
      </c>
      <c r="J371" s="8" t="str">
        <f>IF(Table1[[#This Row],[Location / Chainage]]="Precast",J370,IF(Table1[[#This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71" s="8" t="str">
        <f>IF(Table1[[#This Row],[Date]]="","",TEXT(Table1[[#This Row],[Date]],"mmm  yy"))</f>
        <v>Apr  26</v>
      </c>
    </row>
    <row r="372" spans="2:11" x14ac:dyDescent="0.3">
      <c r="B372" s="8">
        <f t="shared" si="5"/>
        <v>369</v>
      </c>
      <c r="C372" s="9">
        <v>46130</v>
      </c>
      <c r="D372" s="17">
        <v>10421</v>
      </c>
      <c r="E372" s="1" t="s">
        <v>14</v>
      </c>
      <c r="F372" s="3" t="s">
        <v>313</v>
      </c>
      <c r="G372" s="1" t="s">
        <v>9</v>
      </c>
      <c r="H372" s="16">
        <v>13</v>
      </c>
      <c r="I372" s="1" t="s">
        <v>21</v>
      </c>
      <c r="J372" s="8" t="str">
        <f>IF(Table1[[#This Row],[Location / Chainage]]="Precast",J371,IF(Table1[[#This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72" s="8" t="str">
        <f>IF(Table1[[#This Row],[Date]]="","",TEXT(Table1[[#This Row],[Date]],"mmm  yy"))</f>
        <v>Apr  26</v>
      </c>
    </row>
    <row r="373" spans="2:11" x14ac:dyDescent="0.3">
      <c r="B373" s="8">
        <f t="shared" si="5"/>
        <v>370</v>
      </c>
      <c r="C373" s="9">
        <v>46130</v>
      </c>
      <c r="D373" s="17">
        <v>10655</v>
      </c>
      <c r="E373" s="1" t="s">
        <v>14</v>
      </c>
      <c r="F373" s="3" t="s">
        <v>314</v>
      </c>
      <c r="G373" s="1" t="s">
        <v>9</v>
      </c>
      <c r="H373" s="16">
        <v>11</v>
      </c>
      <c r="I373" s="1" t="s">
        <v>21</v>
      </c>
      <c r="J373" s="8" t="str">
        <f>IF(Table1[[#This Row],[Location / Chainage]]="Precast",J372,IF(Table1[[#This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73" s="8" t="str">
        <f>IF(Table1[[#This Row],[Date]]="","",TEXT(Table1[[#This Row],[Date]],"mmm  yy"))</f>
        <v>Apr  26</v>
      </c>
    </row>
    <row r="374" spans="2:11" x14ac:dyDescent="0.3">
      <c r="B374" s="8">
        <f t="shared" si="5"/>
        <v>371</v>
      </c>
      <c r="C374" s="9">
        <v>46130</v>
      </c>
      <c r="D374" s="17">
        <v>10955</v>
      </c>
      <c r="E374" s="1" t="s">
        <v>14</v>
      </c>
      <c r="F374" s="3" t="s">
        <v>317</v>
      </c>
      <c r="G374" s="1" t="s">
        <v>11</v>
      </c>
      <c r="H374" s="16">
        <v>9.5</v>
      </c>
      <c r="I374" s="1" t="s">
        <v>21</v>
      </c>
      <c r="J374" s="8" t="str">
        <f>IF(Table1[[#This Row],[Location / Chainage]]="Precast",J373,IF(Table1[[#This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74" s="8" t="str">
        <f>IF(Table1[[#This Row],[Date]]="","",TEXT(Table1[[#This Row],[Date]],"mmm  yy"))</f>
        <v>Apr  26</v>
      </c>
    </row>
    <row r="375" spans="2:11" x14ac:dyDescent="0.3">
      <c r="B375" s="8">
        <f t="shared" si="5"/>
        <v>372</v>
      </c>
      <c r="C375" s="9">
        <v>46131</v>
      </c>
      <c r="D375" s="17">
        <v>12172</v>
      </c>
      <c r="E375" s="1" t="s">
        <v>13</v>
      </c>
      <c r="F375" s="3" t="s">
        <v>164</v>
      </c>
      <c r="G375" s="1" t="s">
        <v>16</v>
      </c>
      <c r="H375" s="16">
        <v>5</v>
      </c>
      <c r="I375" s="1" t="s">
        <v>21</v>
      </c>
      <c r="J375" s="8" t="str">
        <f>IF(Table1[[#This Row],[Location / Chainage]]="Precast",J374,IF(Table1[[#This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75" s="8" t="str">
        <f>IF(Table1[[#This Row],[Date]]="","",TEXT(Table1[[#This Row],[Date]],"mmm  yy"))</f>
        <v>Apr  26</v>
      </c>
    </row>
    <row r="376" spans="2:11" x14ac:dyDescent="0.3">
      <c r="B376" s="8">
        <f t="shared" si="5"/>
        <v>373</v>
      </c>
      <c r="C376" s="9">
        <v>46131</v>
      </c>
      <c r="D376" s="17">
        <v>10276</v>
      </c>
      <c r="E376" s="1" t="s">
        <v>33</v>
      </c>
      <c r="F376" s="3" t="s">
        <v>315</v>
      </c>
      <c r="G376" s="1" t="s">
        <v>9</v>
      </c>
      <c r="H376" s="16">
        <v>5</v>
      </c>
      <c r="I376" s="1" t="s">
        <v>21</v>
      </c>
      <c r="J376" s="16" t="str">
        <f>IF(Table1[[#This Row],[Location / Chainage]]="Precast",J375,IF(Table1[[#This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76" s="16" t="str">
        <f>IF(Table1[[#This Row],[Date]]="","",TEXT(Table1[[#This Row],[Date]],"mmm  yy"))</f>
        <v>Apr  26</v>
      </c>
    </row>
    <row r="377" spans="2:11" x14ac:dyDescent="0.3">
      <c r="B377" s="8">
        <f t="shared" si="5"/>
        <v>374</v>
      </c>
      <c r="C377" s="9">
        <v>46131</v>
      </c>
      <c r="D377" s="17">
        <v>10433</v>
      </c>
      <c r="E377" s="1" t="s">
        <v>14</v>
      </c>
      <c r="F377" s="3" t="s">
        <v>316</v>
      </c>
      <c r="G377" s="1" t="s">
        <v>9</v>
      </c>
      <c r="H377" s="16">
        <v>13</v>
      </c>
      <c r="I377" s="1" t="s">
        <v>21</v>
      </c>
      <c r="J377" s="16" t="str">
        <f>IF(Table1[[#This Row],[Location / Chainage]]="Precast",J376,IF(Table1[[#This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77" s="16" t="str">
        <f>IF(Table1[[#This Row],[Date]]="","",TEXT(Table1[[#This Row],[Date]],"mmm  yy"))</f>
        <v>Apr  26</v>
      </c>
    </row>
    <row r="378" spans="2:11" x14ac:dyDescent="0.3">
      <c r="B378" s="8">
        <f t="shared" si="5"/>
        <v>375</v>
      </c>
      <c r="C378" s="9">
        <v>46132</v>
      </c>
      <c r="D378" s="17">
        <v>13276</v>
      </c>
      <c r="E378" s="1" t="s">
        <v>13</v>
      </c>
      <c r="F378" s="3" t="s">
        <v>185</v>
      </c>
      <c r="G378" s="1" t="s">
        <v>16</v>
      </c>
      <c r="H378" s="16">
        <v>38</v>
      </c>
      <c r="I378" s="1" t="s">
        <v>21</v>
      </c>
      <c r="J378" s="16" t="str">
        <f>IF(Table1[[#This Row],[Location / Chainage]]="Precast",J377,IF(Table1[[#This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78" s="16" t="str">
        <f>IF(Table1[[#This Row],[Date]]="","",TEXT(Table1[[#This Row],[Date]],"mmm  yy"))</f>
        <v>Apr  26</v>
      </c>
    </row>
    <row r="379" spans="2:11" x14ac:dyDescent="0.3">
      <c r="B379" s="8">
        <f t="shared" si="5"/>
        <v>376</v>
      </c>
      <c r="C379" s="9">
        <v>46132</v>
      </c>
      <c r="D379" s="17">
        <v>10469</v>
      </c>
      <c r="E379" s="1" t="s">
        <v>14</v>
      </c>
      <c r="F379" s="3" t="s">
        <v>318</v>
      </c>
      <c r="G379" s="1" t="s">
        <v>9</v>
      </c>
      <c r="H379" s="16">
        <v>13</v>
      </c>
      <c r="I379" s="1" t="s">
        <v>21</v>
      </c>
      <c r="J379" s="16" t="str">
        <f>IF(Table1[[#This Row],[Location / Chainage]]="Precast",J378,IF(Table1[[#This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79" s="16" t="str">
        <f>IF(Table1[[#This Row],[Date]]="","",TEXT(Table1[[#This Row],[Date]],"mmm  yy"))</f>
        <v>Apr  26</v>
      </c>
    </row>
    <row r="380" spans="2:11" x14ac:dyDescent="0.3">
      <c r="B380" s="8">
        <f t="shared" si="5"/>
        <v>377</v>
      </c>
      <c r="C380" s="9">
        <v>46132</v>
      </c>
      <c r="D380" s="21"/>
      <c r="E380" s="16"/>
      <c r="F380" s="20"/>
      <c r="G380" s="16"/>
      <c r="H380" s="16">
        <v>9.5</v>
      </c>
      <c r="I380" s="1" t="s">
        <v>21</v>
      </c>
      <c r="J380" s="16" t="str">
        <f>IF(Table1[[#This Row],[Location / Chainage]]="Precast",J379,IF(Table1[[#This Row],[Location / Chainage]]="","",IF(Table1[[#This Row],[Location / Chainage]]&lt;20000,"Khasab",IF(Table1[[#This Row],[Location / Chainage]]&lt;50000, "Lima",IF(Table1[[#This Row],[Location / Chainage]]&lt;72000,"Daba")))))</f>
        <v/>
      </c>
      <c r="K380" s="16" t="str">
        <f>IF(Table1[[#This Row],[Date]]="","",TEXT(Table1[[#This Row],[Date]],"mmm  yy"))</f>
        <v>Apr  26</v>
      </c>
    </row>
    <row r="381" spans="2:11" x14ac:dyDescent="0.3">
      <c r="B381" s="8">
        <f t="shared" si="5"/>
        <v>378</v>
      </c>
      <c r="C381" s="9">
        <v>46133</v>
      </c>
      <c r="D381" s="17">
        <v>6700</v>
      </c>
      <c r="E381" s="1" t="s">
        <v>13</v>
      </c>
      <c r="F381" s="3" t="s">
        <v>28</v>
      </c>
      <c r="G381" s="1" t="s">
        <v>16</v>
      </c>
      <c r="H381" s="16">
        <v>24</v>
      </c>
      <c r="I381" s="1" t="s">
        <v>21</v>
      </c>
      <c r="J381" s="16" t="str">
        <f>IF(Table1[[#This Row],[Location / Chainage]]="Precast",J380,IF(Table1[[#This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81" s="16" t="str">
        <f>IF(Table1[[#This Row],[Date]]="","",TEXT(Table1[[#This Row],[Date]],"mmm  yy"))</f>
        <v>Apr  26</v>
      </c>
    </row>
    <row r="382" spans="2:11" x14ac:dyDescent="0.3">
      <c r="B382" s="8">
        <f t="shared" si="5"/>
        <v>379</v>
      </c>
      <c r="C382" s="9">
        <v>46133</v>
      </c>
      <c r="D382" s="17">
        <v>12341</v>
      </c>
      <c r="E382" s="1" t="s">
        <v>33</v>
      </c>
      <c r="F382" s="3" t="s">
        <v>319</v>
      </c>
      <c r="G382" s="1" t="s">
        <v>62</v>
      </c>
      <c r="H382" s="16">
        <v>16</v>
      </c>
      <c r="I382" s="1" t="s">
        <v>21</v>
      </c>
      <c r="J382" s="16" t="str">
        <f>IF(Table1[[#This Row],[Location / Chainage]]="Precast",J381,IF(Table1[[#This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82" s="16" t="str">
        <f>IF(Table1[[#This Row],[Date]]="","",TEXT(Table1[[#This Row],[Date]],"mmm  yy"))</f>
        <v>Apr  26</v>
      </c>
    </row>
    <row r="383" spans="2:11" x14ac:dyDescent="0.3">
      <c r="B383" s="8">
        <f t="shared" si="5"/>
        <v>380</v>
      </c>
      <c r="C383" s="9">
        <v>46133</v>
      </c>
      <c r="D383" s="17">
        <v>12325</v>
      </c>
      <c r="E383" s="1" t="s">
        <v>33</v>
      </c>
      <c r="F383" s="3" t="s">
        <v>320</v>
      </c>
      <c r="G383" s="1" t="s">
        <v>62</v>
      </c>
      <c r="H383" s="16">
        <v>20</v>
      </c>
      <c r="I383" s="1" t="s">
        <v>21</v>
      </c>
      <c r="J383" s="16" t="str">
        <f>IF(Table1[[#This Row],[Location / Chainage]]="Precast",J382,IF(Table1[[#This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83" s="16" t="str">
        <f>IF(Table1[[#This Row],[Date]]="","",TEXT(Table1[[#This Row],[Date]],"mmm  yy"))</f>
        <v>Apr  26</v>
      </c>
    </row>
    <row r="384" spans="2:11" x14ac:dyDescent="0.3">
      <c r="B384" s="8">
        <f t="shared" si="5"/>
        <v>381</v>
      </c>
      <c r="C384" s="9">
        <v>46133</v>
      </c>
      <c r="D384" s="17">
        <v>10691</v>
      </c>
      <c r="E384" s="1" t="s">
        <v>14</v>
      </c>
      <c r="F384" s="3" t="s">
        <v>321</v>
      </c>
      <c r="G384" s="1" t="s">
        <v>9</v>
      </c>
      <c r="H384" s="16">
        <v>26</v>
      </c>
      <c r="I384" s="1" t="s">
        <v>21</v>
      </c>
      <c r="J384" s="16" t="str">
        <f>IF(Table1[[#This Row],[Location / Chainage]]="Precast",J383,IF(Table1[[#This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84" s="16" t="str">
        <f>IF(Table1[[#This Row],[Date]]="","",TEXT(Table1[[#This Row],[Date]],"mmm  yy"))</f>
        <v>Apr  26</v>
      </c>
    </row>
    <row r="385" spans="2:11" x14ac:dyDescent="0.3">
      <c r="B385" s="8">
        <f t="shared" si="5"/>
        <v>382</v>
      </c>
      <c r="C385" s="9">
        <v>46133</v>
      </c>
      <c r="D385" s="17">
        <v>10481</v>
      </c>
      <c r="E385" s="1" t="s">
        <v>14</v>
      </c>
      <c r="F385" s="3" t="s">
        <v>322</v>
      </c>
      <c r="G385" s="1" t="s">
        <v>9</v>
      </c>
      <c r="H385" s="16">
        <v>8</v>
      </c>
      <c r="I385" s="1" t="s">
        <v>21</v>
      </c>
      <c r="J385" s="16" t="str">
        <f>IF(Table1[[#This Row],[Location / Chainage]]="Precast",J384,IF(Table1[[#This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85" s="16" t="str">
        <f>IF(Table1[[#This Row],[Date]]="","",TEXT(Table1[[#This Row],[Date]],"mmm  yy"))</f>
        <v>Apr  26</v>
      </c>
    </row>
    <row r="386" spans="2:11" x14ac:dyDescent="0.3">
      <c r="B386" s="8">
        <f t="shared" si="5"/>
        <v>383</v>
      </c>
      <c r="C386" s="9">
        <v>46134</v>
      </c>
      <c r="D386" s="17">
        <v>12319</v>
      </c>
      <c r="E386" s="1" t="s">
        <v>33</v>
      </c>
      <c r="F386" s="3" t="s">
        <v>323</v>
      </c>
      <c r="G386" s="1" t="s">
        <v>62</v>
      </c>
      <c r="H386" s="16">
        <v>8</v>
      </c>
      <c r="I386" s="1" t="s">
        <v>21</v>
      </c>
      <c r="J386" s="16" t="str">
        <f>IF(Table1[[#This Row],[Location / Chainage]]="Precast",J385,IF(Table1[[#This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86" s="16" t="str">
        <f>IF(Table1[[#This Row],[Date]]="","",TEXT(Table1[[#This Row],[Date]],"mmm  yy"))</f>
        <v>Apr  26</v>
      </c>
    </row>
    <row r="387" spans="2:11" x14ac:dyDescent="0.3">
      <c r="B387" s="8">
        <f t="shared" si="5"/>
        <v>384</v>
      </c>
      <c r="C387" s="9">
        <v>46134</v>
      </c>
      <c r="D387" s="17">
        <v>12360</v>
      </c>
      <c r="E387" s="1" t="s">
        <v>33</v>
      </c>
      <c r="F387" s="3" t="s">
        <v>324</v>
      </c>
      <c r="G387" s="1" t="s">
        <v>9</v>
      </c>
      <c r="H387" s="16">
        <v>10</v>
      </c>
      <c r="I387" s="1" t="s">
        <v>21</v>
      </c>
      <c r="J387" s="16" t="str">
        <f>IF(Table1[[#This Row],[Location / Chainage]]="Precast",J386,IF(Table1[[#This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87" s="16" t="str">
        <f>IF(Table1[[#This Row],[Date]]="","",TEXT(Table1[[#This Row],[Date]],"mmm  yy"))</f>
        <v>Apr  26</v>
      </c>
    </row>
    <row r="388" spans="2:11" x14ac:dyDescent="0.3">
      <c r="B388" s="8">
        <f t="shared" si="5"/>
        <v>385</v>
      </c>
      <c r="C388" s="9">
        <v>46135</v>
      </c>
      <c r="D388" s="17">
        <v>13379</v>
      </c>
      <c r="E388" s="1" t="s">
        <v>13</v>
      </c>
      <c r="F388" s="3" t="s">
        <v>205</v>
      </c>
      <c r="G388" s="1" t="s">
        <v>16</v>
      </c>
      <c r="H388" s="16">
        <v>15</v>
      </c>
      <c r="I388" s="1" t="s">
        <v>21</v>
      </c>
      <c r="J388" s="16" t="str">
        <f>IF(Table1[[#This Row],[Location / Chainage]]="Precast",J387,IF(Table1[[#This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88" s="16" t="str">
        <f>IF(Table1[[#This Row],[Date]]="","",TEXT(Table1[[#This Row],[Date]],"mmm  yy"))</f>
        <v>Apr  26</v>
      </c>
    </row>
    <row r="389" spans="2:11" x14ac:dyDescent="0.3">
      <c r="B389" s="8">
        <f t="shared" si="5"/>
        <v>386</v>
      </c>
      <c r="C389" s="9">
        <v>46135</v>
      </c>
      <c r="D389" s="17">
        <v>10655</v>
      </c>
      <c r="E389" s="1" t="s">
        <v>14</v>
      </c>
      <c r="F389" s="3" t="s">
        <v>325</v>
      </c>
      <c r="G389" s="1" t="s">
        <v>9</v>
      </c>
      <c r="H389" s="16">
        <v>12</v>
      </c>
      <c r="I389" s="1" t="s">
        <v>21</v>
      </c>
      <c r="J389" s="16" t="str">
        <f>IF(Table1[[#This Row],[Location / Chainage]]="Precast",J388,IF(Table1[[#This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89" s="16" t="str">
        <f>IF(Table1[[#This Row],[Date]]="","",TEXT(Table1[[#This Row],[Date]],"mmm  yy"))</f>
        <v>Apr  26</v>
      </c>
    </row>
    <row r="390" spans="2:11" x14ac:dyDescent="0.3">
      <c r="B390" s="8">
        <f t="shared" ref="B390:B422" si="6">1+B389</f>
        <v>387</v>
      </c>
      <c r="C390" s="9">
        <v>46135</v>
      </c>
      <c r="D390" s="2">
        <v>13276</v>
      </c>
      <c r="E390" s="1" t="s">
        <v>13</v>
      </c>
      <c r="F390" s="3" t="s">
        <v>27</v>
      </c>
      <c r="G390" s="1" t="s">
        <v>16</v>
      </c>
      <c r="H390" s="16">
        <v>13</v>
      </c>
      <c r="I390" s="1" t="s">
        <v>21</v>
      </c>
      <c r="J390" s="16" t="str">
        <f>IF(Table1[[#This Row],[Location / Chainage]]="Precast",J389,IF(Table1[[#This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90" s="16" t="str">
        <f>IF(Table1[[#This Row],[Date]]="","",TEXT(Table1[[#This Row],[Date]],"mmm  yy"))</f>
        <v>Apr  26</v>
      </c>
    </row>
    <row r="391" spans="2:11" x14ac:dyDescent="0.3">
      <c r="B391" s="8">
        <f t="shared" si="6"/>
        <v>388</v>
      </c>
      <c r="C391" s="9">
        <v>46135</v>
      </c>
      <c r="D391" s="17">
        <v>10739</v>
      </c>
      <c r="E391" s="1" t="s">
        <v>14</v>
      </c>
      <c r="F391" s="3" t="s">
        <v>326</v>
      </c>
      <c r="G391" s="1" t="s">
        <v>9</v>
      </c>
      <c r="H391" s="16">
        <v>16</v>
      </c>
      <c r="I391" s="1" t="s">
        <v>21</v>
      </c>
      <c r="J391" s="16" t="str">
        <f>IF(Table1[[#This Row],[Location / Chainage]]="Precast",J390,IF(Table1[[#This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91" s="16" t="str">
        <f>IF(Table1[[#This Row],[Date]]="","",TEXT(Table1[[#This Row],[Date]],"mmm  yy"))</f>
        <v>Apr  26</v>
      </c>
    </row>
    <row r="392" spans="2:11" x14ac:dyDescent="0.3">
      <c r="B392" s="8">
        <f t="shared" si="6"/>
        <v>389</v>
      </c>
      <c r="C392" s="9">
        <v>46135</v>
      </c>
      <c r="D392" s="17">
        <v>12365</v>
      </c>
      <c r="E392" s="1" t="s">
        <v>33</v>
      </c>
      <c r="F392" s="3" t="s">
        <v>327</v>
      </c>
      <c r="G392" s="1" t="s">
        <v>9</v>
      </c>
      <c r="H392" s="16">
        <v>8</v>
      </c>
      <c r="I392" s="1" t="s">
        <v>21</v>
      </c>
      <c r="J392" s="16" t="str">
        <f>IF(Table1[[#This Row],[Location / Chainage]]="Precast",J391,IF(Table1[[#This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92" s="16" t="str">
        <f>IF(Table1[[#This Row],[Date]]="","",TEXT(Table1[[#This Row],[Date]],"mmm  yy"))</f>
        <v>Apr  26</v>
      </c>
    </row>
    <row r="393" spans="2:11" x14ac:dyDescent="0.3">
      <c r="B393" s="8">
        <f t="shared" si="6"/>
        <v>390</v>
      </c>
      <c r="C393" s="9">
        <v>46135</v>
      </c>
      <c r="D393" s="17">
        <v>9787</v>
      </c>
      <c r="E393" s="1" t="s">
        <v>33</v>
      </c>
      <c r="F393" s="3" t="s">
        <v>328</v>
      </c>
      <c r="G393" s="1" t="s">
        <v>62</v>
      </c>
      <c r="H393" s="16">
        <v>15</v>
      </c>
      <c r="I393" s="1" t="s">
        <v>21</v>
      </c>
      <c r="J393" s="16" t="str">
        <f>IF(Table1[[#This Row],[Location / Chainage]]="Precast",J392,IF(Table1[[#This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93" s="16" t="str">
        <f>IF(Table1[[#This Row],[Date]]="","",TEXT(Table1[[#This Row],[Date]],"mmm  yy"))</f>
        <v>Apr  26</v>
      </c>
    </row>
    <row r="394" spans="2:11" x14ac:dyDescent="0.3">
      <c r="B394" s="8">
        <f t="shared" si="6"/>
        <v>391</v>
      </c>
      <c r="C394" s="9">
        <v>46135</v>
      </c>
      <c r="D394" s="17">
        <v>7303</v>
      </c>
      <c r="E394" s="1" t="s">
        <v>13</v>
      </c>
      <c r="F394" s="3" t="s">
        <v>329</v>
      </c>
      <c r="G394" s="1" t="s">
        <v>9</v>
      </c>
      <c r="H394" s="16">
        <v>4</v>
      </c>
      <c r="I394" s="1" t="s">
        <v>21</v>
      </c>
      <c r="J394" s="16" t="str">
        <f>IF(Table1[[#This Row],[Location / Chainage]]="Precast",J393,IF(Table1[[#This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94" s="16" t="str">
        <f>IF(Table1[[#This Row],[Date]]="","",TEXT(Table1[[#This Row],[Date]],"mmm  yy"))</f>
        <v>Apr  26</v>
      </c>
    </row>
    <row r="395" spans="2:11" x14ac:dyDescent="0.3">
      <c r="B395" s="8">
        <f t="shared" si="6"/>
        <v>392</v>
      </c>
      <c r="C395" s="9">
        <v>46135</v>
      </c>
      <c r="D395" s="17">
        <v>11189</v>
      </c>
      <c r="E395" s="1" t="s">
        <v>14</v>
      </c>
      <c r="F395" s="3" t="s">
        <v>330</v>
      </c>
      <c r="G395" s="1" t="s">
        <v>11</v>
      </c>
      <c r="H395" s="16">
        <v>6</v>
      </c>
      <c r="I395" s="1" t="s">
        <v>21</v>
      </c>
      <c r="J395" s="16" t="str">
        <f>IF(Table1[[#This Row],[Location / Chainage]]="Precast",J394,IF(Table1[[#This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95" s="16" t="str">
        <f>IF(Table1[[#This Row],[Date]]="","",TEXT(Table1[[#This Row],[Date]],"mmm  yy"))</f>
        <v>Apr  26</v>
      </c>
    </row>
    <row r="396" spans="2:11" x14ac:dyDescent="0.3">
      <c r="B396" s="8">
        <f t="shared" si="6"/>
        <v>393</v>
      </c>
      <c r="C396" s="9">
        <v>46136</v>
      </c>
      <c r="D396" s="17">
        <v>11326</v>
      </c>
      <c r="E396" s="1" t="s">
        <v>13</v>
      </c>
      <c r="F396" s="3" t="s">
        <v>32</v>
      </c>
      <c r="G396" s="1" t="s">
        <v>16</v>
      </c>
      <c r="H396" s="16">
        <v>77</v>
      </c>
      <c r="I396" s="1" t="s">
        <v>21</v>
      </c>
      <c r="J396" s="16" t="str">
        <f>IF(Table1[[#This Row],[Location / Chainage]]="Precast",J395,IF(Table1[[#This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96" s="16" t="str">
        <f>IF(Table1[[#This Row],[Date]]="","",TEXT(Table1[[#This Row],[Date]],"mmm  yy"))</f>
        <v>Apr  26</v>
      </c>
    </row>
    <row r="397" spans="2:11" x14ac:dyDescent="0.3">
      <c r="B397" s="8">
        <f t="shared" si="6"/>
        <v>394</v>
      </c>
      <c r="C397" s="9">
        <v>46137</v>
      </c>
      <c r="D397" s="17">
        <v>30</v>
      </c>
      <c r="E397" s="1" t="s">
        <v>145</v>
      </c>
      <c r="F397" s="3" t="s">
        <v>331</v>
      </c>
      <c r="G397" s="1" t="s">
        <v>9</v>
      </c>
      <c r="H397" s="16">
        <v>23</v>
      </c>
      <c r="I397" s="1" t="s">
        <v>21</v>
      </c>
      <c r="J397" s="16" t="str">
        <f>IF(Table1[[#This Row],[Location / Chainage]]="Precast",J396,IF(Table1[[#This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97" s="16" t="str">
        <f>IF(Table1[[#This Row],[Date]]="","",TEXT(Table1[[#This Row],[Date]],"mmm  yy"))</f>
        <v>Apr  26</v>
      </c>
    </row>
    <row r="398" spans="2:11" x14ac:dyDescent="0.3">
      <c r="B398" s="8">
        <f t="shared" si="6"/>
        <v>395</v>
      </c>
      <c r="C398" s="9">
        <v>46137</v>
      </c>
      <c r="D398" s="17">
        <v>7303</v>
      </c>
      <c r="E398" s="1" t="s">
        <v>13</v>
      </c>
      <c r="F398" s="3" t="s">
        <v>32</v>
      </c>
      <c r="G398" s="1" t="s">
        <v>16</v>
      </c>
      <c r="H398" s="16">
        <v>17</v>
      </c>
      <c r="I398" s="1" t="s">
        <v>21</v>
      </c>
      <c r="J398" s="16" t="str">
        <f>IF(Table1[[#This Row],[Location / Chainage]]="Precast",J397,IF(Table1[[#This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98" s="16" t="str">
        <f>IF(Table1[[#This Row],[Date]]="","",TEXT(Table1[[#This Row],[Date]],"mmm  yy"))</f>
        <v>Apr  26</v>
      </c>
    </row>
    <row r="399" spans="2:11" x14ac:dyDescent="0.3">
      <c r="B399" s="8">
        <f t="shared" si="6"/>
        <v>396</v>
      </c>
      <c r="C399" s="9">
        <v>46137</v>
      </c>
      <c r="D399" s="17">
        <v>10677</v>
      </c>
      <c r="E399" s="1" t="s">
        <v>14</v>
      </c>
      <c r="F399" s="3" t="s">
        <v>332</v>
      </c>
      <c r="G399" s="1" t="s">
        <v>9</v>
      </c>
      <c r="H399" s="16">
        <v>13</v>
      </c>
      <c r="I399" s="1" t="s">
        <v>21</v>
      </c>
      <c r="J399" s="16" t="str">
        <f>IF(Table1[[#This Row],[Location / Chainage]]="Precast",J398,IF(Table1[[#This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399" s="16" t="str">
        <f>IF(Table1[[#This Row],[Date]]="","",TEXT(Table1[[#This Row],[Date]],"mmm  yy"))</f>
        <v>Apr  26</v>
      </c>
    </row>
    <row r="400" spans="2:11" x14ac:dyDescent="0.3">
      <c r="B400" s="8">
        <f t="shared" si="6"/>
        <v>397</v>
      </c>
      <c r="C400" s="9">
        <v>46137</v>
      </c>
      <c r="D400" s="17">
        <v>10995</v>
      </c>
      <c r="E400" s="1" t="s">
        <v>14</v>
      </c>
      <c r="F400" s="3" t="s">
        <v>333</v>
      </c>
      <c r="G400" s="1" t="s">
        <v>9</v>
      </c>
      <c r="H400" s="16">
        <v>16.5</v>
      </c>
      <c r="I400" s="1" t="s">
        <v>21</v>
      </c>
      <c r="J400" s="16" t="str">
        <f>IF(Table1[[#This Row],[Location / Chainage]]="Precast",J399,IF(Table1[[#This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00" s="16" t="str">
        <f>IF(Table1[[#This Row],[Date]]="","",TEXT(Table1[[#This Row],[Date]],"mmm  yy"))</f>
        <v>Apr  26</v>
      </c>
    </row>
    <row r="401" spans="2:11" x14ac:dyDescent="0.3">
      <c r="B401" s="8">
        <f t="shared" si="6"/>
        <v>398</v>
      </c>
      <c r="C401" s="9">
        <v>46137</v>
      </c>
      <c r="D401" s="17">
        <v>12354</v>
      </c>
      <c r="E401" s="1" t="s">
        <v>33</v>
      </c>
      <c r="F401" s="3" t="s">
        <v>334</v>
      </c>
      <c r="G401" s="1" t="s">
        <v>62</v>
      </c>
      <c r="H401" s="16">
        <v>7</v>
      </c>
      <c r="I401" s="1" t="s">
        <v>21</v>
      </c>
      <c r="J401" s="16" t="str">
        <f>IF(Table1[[#This Row],[Location / Chainage]]="Precast",J400,IF(Table1[[#This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01" s="16" t="str">
        <f>IF(Table1[[#This Row],[Date]]="","",TEXT(Table1[[#This Row],[Date]],"mmm  yy"))</f>
        <v>Apr  26</v>
      </c>
    </row>
    <row r="402" spans="2:11" x14ac:dyDescent="0.3">
      <c r="B402" s="8">
        <f t="shared" si="6"/>
        <v>399</v>
      </c>
      <c r="C402" s="9">
        <v>46137</v>
      </c>
      <c r="D402" s="17">
        <v>13079</v>
      </c>
      <c r="E402" s="1" t="s">
        <v>33</v>
      </c>
      <c r="F402" s="3" t="s">
        <v>335</v>
      </c>
      <c r="G402" s="1" t="s">
        <v>9</v>
      </c>
      <c r="H402" s="16">
        <v>29</v>
      </c>
      <c r="I402" s="1" t="s">
        <v>21</v>
      </c>
      <c r="J402" s="16" t="str">
        <f>IF(Table1[[#This Row],[Location / Chainage]]="Precast",J401,IF(Table1[[#This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02" s="16" t="str">
        <f>IF(Table1[[#This Row],[Date]]="","",TEXT(Table1[[#This Row],[Date]],"mmm  yy"))</f>
        <v>Apr  26</v>
      </c>
    </row>
    <row r="403" spans="2:11" x14ac:dyDescent="0.3">
      <c r="B403" s="8">
        <f t="shared" si="6"/>
        <v>400</v>
      </c>
      <c r="C403" s="9">
        <v>46137</v>
      </c>
      <c r="D403" s="17">
        <v>13379</v>
      </c>
      <c r="E403" s="1" t="s">
        <v>13</v>
      </c>
      <c r="F403" s="3" t="s">
        <v>32</v>
      </c>
      <c r="G403" s="1" t="s">
        <v>9</v>
      </c>
      <c r="H403" s="16">
        <v>5</v>
      </c>
      <c r="I403" s="1" t="s">
        <v>21</v>
      </c>
      <c r="J403" s="16" t="str">
        <f>IF(Table1[[#This Row],[Location / Chainage]]="Precast",J402,IF(Table1[[#This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03" s="16" t="str">
        <f>IF(Table1[[#This Row],[Date]]="","",TEXT(Table1[[#This Row],[Date]],"mmm  yy"))</f>
        <v>Apr  26</v>
      </c>
    </row>
    <row r="404" spans="2:11" x14ac:dyDescent="0.3">
      <c r="B404" s="8">
        <f t="shared" si="6"/>
        <v>401</v>
      </c>
      <c r="C404" s="9">
        <v>46138</v>
      </c>
      <c r="D404" s="17">
        <v>1400</v>
      </c>
      <c r="E404" s="1" t="s">
        <v>13</v>
      </c>
      <c r="F404" s="3" t="s">
        <v>336</v>
      </c>
      <c r="G404" s="1" t="s">
        <v>9</v>
      </c>
      <c r="H404" s="16">
        <v>19</v>
      </c>
      <c r="I404" s="1" t="s">
        <v>21</v>
      </c>
      <c r="J404" s="16" t="str">
        <f>IF(Table1[[#This Row],[Location / Chainage]]="Precast",J403,IF(Table1[[#This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04" s="16" t="str">
        <f>IF(Table1[[#This Row],[Date]]="","",TEXT(Table1[[#This Row],[Date]],"mmm  yy"))</f>
        <v>Apr  26</v>
      </c>
    </row>
    <row r="405" spans="2:11" x14ac:dyDescent="0.3">
      <c r="B405" s="8">
        <f t="shared" si="6"/>
        <v>402</v>
      </c>
      <c r="C405" s="9">
        <v>46138</v>
      </c>
      <c r="D405" s="17">
        <v>10703</v>
      </c>
      <c r="E405" s="1" t="s">
        <v>14</v>
      </c>
      <c r="F405" s="3" t="s">
        <v>337</v>
      </c>
      <c r="G405" s="1" t="s">
        <v>9</v>
      </c>
      <c r="H405" s="16">
        <v>13</v>
      </c>
      <c r="I405" s="1" t="s">
        <v>21</v>
      </c>
      <c r="J405" s="16" t="str">
        <f>IF(Table1[[#This Row],[Location / Chainage]]="Precast",J404,IF(Table1[[#This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05" s="16" t="str">
        <f>IF(Table1[[#This Row],[Date]]="","",TEXT(Table1[[#This Row],[Date]],"mmm  yy"))</f>
        <v>Apr  26</v>
      </c>
    </row>
    <row r="406" spans="2:11" x14ac:dyDescent="0.3">
      <c r="B406" s="8">
        <f t="shared" si="6"/>
        <v>403</v>
      </c>
      <c r="C406" s="9">
        <v>46138</v>
      </c>
      <c r="D406" s="17">
        <v>12310</v>
      </c>
      <c r="E406" s="1" t="s">
        <v>33</v>
      </c>
      <c r="F406" s="3" t="s">
        <v>338</v>
      </c>
      <c r="G406" s="1" t="s">
        <v>62</v>
      </c>
      <c r="H406" s="16">
        <v>8</v>
      </c>
      <c r="I406" s="1" t="s">
        <v>21</v>
      </c>
      <c r="J406" s="16" t="str">
        <f>IF(Table1[[#This Row],[Location / Chainage]]="Precast",J405,IF(Table1[[#This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06" s="16" t="str">
        <f>IF(Table1[[#This Row],[Date]]="","",TEXT(Table1[[#This Row],[Date]],"mmm  yy"))</f>
        <v>Apr  26</v>
      </c>
    </row>
    <row r="407" spans="2:11" x14ac:dyDescent="0.3">
      <c r="B407" s="8">
        <f t="shared" si="6"/>
        <v>404</v>
      </c>
      <c r="C407" s="9">
        <v>46138</v>
      </c>
      <c r="D407" s="17">
        <v>6700</v>
      </c>
      <c r="E407" s="1" t="s">
        <v>13</v>
      </c>
      <c r="F407" s="3" t="s">
        <v>339</v>
      </c>
      <c r="G407" s="1" t="s">
        <v>9</v>
      </c>
      <c r="H407" s="16">
        <v>8.5</v>
      </c>
      <c r="I407" s="1" t="s">
        <v>21</v>
      </c>
      <c r="J407" s="16" t="str">
        <f>IF(Table1[[#This Row],[Location / Chainage]]="Precast",J406,IF(Table1[[#This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07" s="16" t="str">
        <f>IF(Table1[[#This Row],[Date]]="","",TEXT(Table1[[#This Row],[Date]],"mmm  yy"))</f>
        <v>Apr  26</v>
      </c>
    </row>
    <row r="408" spans="2:11" x14ac:dyDescent="0.3">
      <c r="B408" s="8">
        <f t="shared" si="6"/>
        <v>405</v>
      </c>
      <c r="C408" s="9">
        <v>46139</v>
      </c>
      <c r="D408" s="17">
        <v>1415</v>
      </c>
      <c r="E408" s="1" t="s">
        <v>13</v>
      </c>
      <c r="F408" s="3" t="s">
        <v>340</v>
      </c>
      <c r="G408" s="1" t="s">
        <v>9</v>
      </c>
      <c r="H408" s="16">
        <v>17</v>
      </c>
      <c r="I408" s="1" t="s">
        <v>21</v>
      </c>
      <c r="J408" s="16" t="str">
        <f>IF(Table1[[#This Row],[Location / Chainage]]="Precast",J407,IF(Table1[[#This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08" s="16" t="str">
        <f>IF(Table1[[#This Row],[Date]]="","",TEXT(Table1[[#This Row],[Date]],"mmm  yy"))</f>
        <v>Apr  26</v>
      </c>
    </row>
    <row r="409" spans="2:11" x14ac:dyDescent="0.3">
      <c r="B409" s="8">
        <f t="shared" si="6"/>
        <v>406</v>
      </c>
      <c r="C409" s="9">
        <v>46139</v>
      </c>
      <c r="D409" s="17">
        <v>7303</v>
      </c>
      <c r="E409" s="1" t="s">
        <v>13</v>
      </c>
      <c r="F409" s="3" t="s">
        <v>31</v>
      </c>
      <c r="G409" s="16" t="s">
        <v>16</v>
      </c>
      <c r="H409" s="16">
        <v>19</v>
      </c>
      <c r="I409" s="1" t="s">
        <v>21</v>
      </c>
      <c r="J409" s="16" t="str">
        <f>IF(Table1[[#This Row],[Location / Chainage]]="Precast",J408,IF(Table1[[#This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09" s="16" t="str">
        <f>IF(Table1[[#This Row],[Date]]="","",TEXT(Table1[[#This Row],[Date]],"mmm  yy"))</f>
        <v>Apr  26</v>
      </c>
    </row>
    <row r="410" spans="2:11" x14ac:dyDescent="0.3">
      <c r="B410" s="8">
        <f t="shared" si="6"/>
        <v>407</v>
      </c>
      <c r="C410" s="9">
        <v>46139</v>
      </c>
      <c r="D410" s="17">
        <v>11141</v>
      </c>
      <c r="E410" s="1" t="s">
        <v>14</v>
      </c>
      <c r="F410" s="3" t="s">
        <v>341</v>
      </c>
      <c r="G410" s="1" t="s">
        <v>9</v>
      </c>
      <c r="H410" s="16">
        <v>17</v>
      </c>
      <c r="I410" s="1" t="s">
        <v>21</v>
      </c>
      <c r="J410" s="16" t="str">
        <f>IF(Table1[[#This Row],[Location / Chainage]]="Precast",J409,IF(Table1[[#This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10" s="16" t="str">
        <f>IF(Table1[[#This Row],[Date]]="","",TEXT(Table1[[#This Row],[Date]],"mmm  yy"))</f>
        <v>Apr  26</v>
      </c>
    </row>
    <row r="411" spans="2:11" x14ac:dyDescent="0.3">
      <c r="B411" s="8">
        <f t="shared" si="6"/>
        <v>408</v>
      </c>
      <c r="C411" s="9">
        <v>46139</v>
      </c>
      <c r="D411" s="17">
        <v>12300</v>
      </c>
      <c r="E411" s="1" t="s">
        <v>33</v>
      </c>
      <c r="F411" s="3" t="s">
        <v>342</v>
      </c>
      <c r="G411" s="1" t="s">
        <v>62</v>
      </c>
      <c r="H411" s="16">
        <v>10.5</v>
      </c>
      <c r="I411" s="1" t="s">
        <v>21</v>
      </c>
      <c r="J411" s="16" t="str">
        <f>IF(Table1[[#This Row],[Location / Chainage]]="Precast",J410,IF(Table1[[#This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11" s="16" t="str">
        <f>IF(Table1[[#This Row],[Date]]="","",TEXT(Table1[[#This Row],[Date]],"mmm  yy"))</f>
        <v>Apr  26</v>
      </c>
    </row>
    <row r="412" spans="2:11" x14ac:dyDescent="0.3">
      <c r="B412" s="8">
        <f t="shared" si="6"/>
        <v>409</v>
      </c>
      <c r="C412" s="9">
        <v>46139</v>
      </c>
      <c r="D412" s="17">
        <v>12331</v>
      </c>
      <c r="E412" s="1" t="s">
        <v>33</v>
      </c>
      <c r="F412" s="3" t="s">
        <v>343</v>
      </c>
      <c r="G412" s="1" t="s">
        <v>62</v>
      </c>
      <c r="H412" s="16">
        <v>10.5</v>
      </c>
      <c r="I412" s="1" t="s">
        <v>21</v>
      </c>
      <c r="J412" s="16" t="str">
        <f>IF(Table1[[#This Row],[Location / Chainage]]="Precast",J411,IF(Table1[[#This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12" s="16" t="str">
        <f>IF(Table1[[#This Row],[Date]]="","",TEXT(Table1[[#This Row],[Date]],"mmm  yy"))</f>
        <v>Apr  26</v>
      </c>
    </row>
    <row r="413" spans="2:11" x14ac:dyDescent="0.3">
      <c r="B413" s="8">
        <f t="shared" si="6"/>
        <v>410</v>
      </c>
      <c r="C413" s="9">
        <v>46140</v>
      </c>
      <c r="D413" s="17">
        <v>1430</v>
      </c>
      <c r="E413" s="1" t="s">
        <v>13</v>
      </c>
      <c r="F413" s="3" t="s">
        <v>344</v>
      </c>
      <c r="G413" s="1" t="s">
        <v>9</v>
      </c>
      <c r="H413" s="16">
        <v>24</v>
      </c>
      <c r="I413" s="1" t="s">
        <v>21</v>
      </c>
      <c r="J413" s="16" t="str">
        <f>IF(Table1[[#This Row],[Location / Chainage]]="Precast",J412,IF(Table1[[#This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13" s="16" t="str">
        <f>IF(Table1[[#This Row],[Date]]="","",TEXT(Table1[[#This Row],[Date]],"mmm  yy"))</f>
        <v>Apr  26</v>
      </c>
    </row>
    <row r="414" spans="2:11" x14ac:dyDescent="0.3">
      <c r="B414" s="8">
        <f t="shared" si="6"/>
        <v>411</v>
      </c>
      <c r="C414" s="9">
        <v>46140</v>
      </c>
      <c r="D414" s="17">
        <v>13379</v>
      </c>
      <c r="E414" s="1" t="s">
        <v>13</v>
      </c>
      <c r="F414" s="3" t="s">
        <v>32</v>
      </c>
      <c r="G414" s="1" t="s">
        <v>16</v>
      </c>
      <c r="H414" s="16">
        <v>10</v>
      </c>
      <c r="I414" s="1" t="s">
        <v>21</v>
      </c>
      <c r="J414" s="16" t="str">
        <f>IF(Table1[[#This Row],[Location / Chainage]]="Precast",J413,IF(Table1[[#This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14" s="16" t="str">
        <f>IF(Table1[[#This Row],[Date]]="","",TEXT(Table1[[#This Row],[Date]],"mmm  yy"))</f>
        <v>Apr  26</v>
      </c>
    </row>
    <row r="415" spans="2:11" x14ac:dyDescent="0.3">
      <c r="B415" s="8">
        <f t="shared" si="6"/>
        <v>412</v>
      </c>
      <c r="C415" s="9">
        <v>46140</v>
      </c>
      <c r="D415" s="17">
        <v>11165</v>
      </c>
      <c r="E415" s="1" t="s">
        <v>14</v>
      </c>
      <c r="F415" s="3" t="s">
        <v>345</v>
      </c>
      <c r="G415" s="1" t="s">
        <v>9</v>
      </c>
      <c r="H415" s="16">
        <v>11</v>
      </c>
      <c r="I415" s="1" t="s">
        <v>21</v>
      </c>
      <c r="J415" s="16" t="str">
        <f>IF(Table1[[#This Row],[Location / Chainage]]="Precast",J414,IF(Table1[[#This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15" s="16" t="str">
        <f>IF(Table1[[#This Row],[Date]]="","",TEXT(Table1[[#This Row],[Date]],"mmm  yy"))</f>
        <v>Apr  26</v>
      </c>
    </row>
    <row r="416" spans="2:11" x14ac:dyDescent="0.3">
      <c r="B416" s="8">
        <f t="shared" si="6"/>
        <v>413</v>
      </c>
      <c r="C416" s="9">
        <v>46140</v>
      </c>
      <c r="D416" s="17">
        <v>7149</v>
      </c>
      <c r="E416" s="1" t="s">
        <v>13</v>
      </c>
      <c r="F416" s="3" t="s">
        <v>10</v>
      </c>
      <c r="G416" s="1" t="s">
        <v>9</v>
      </c>
      <c r="H416" s="16">
        <v>6</v>
      </c>
      <c r="I416" s="1" t="s">
        <v>21</v>
      </c>
      <c r="J416" s="16" t="str">
        <f>IF(Table1[[#This Row],[Location / Chainage]]="Precast",J415,IF(Table1[[#This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16" s="16" t="str">
        <f>IF(Table1[[#This Row],[Date]]="","",TEXT(Table1[[#This Row],[Date]],"mmm  yy"))</f>
        <v>Apr  26</v>
      </c>
    </row>
    <row r="417" spans="2:11" x14ac:dyDescent="0.3">
      <c r="B417" s="8">
        <f t="shared" si="6"/>
        <v>414</v>
      </c>
      <c r="C417" s="9">
        <v>46140</v>
      </c>
      <c r="D417" s="17">
        <v>10955</v>
      </c>
      <c r="E417" s="1" t="s">
        <v>14</v>
      </c>
      <c r="F417" s="3" t="s">
        <v>346</v>
      </c>
      <c r="G417" s="1" t="s">
        <v>9</v>
      </c>
      <c r="H417" s="16">
        <v>12</v>
      </c>
      <c r="I417" s="1" t="s">
        <v>21</v>
      </c>
      <c r="J417" s="16" t="str">
        <f>IF(Table1[[#This Row],[Location / Chainage]]="Precast",J416,IF(Table1[[#This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17" s="16" t="str">
        <f>IF(Table1[[#This Row],[Date]]="","",TEXT(Table1[[#This Row],[Date]],"mmm  yy"))</f>
        <v>Apr  26</v>
      </c>
    </row>
    <row r="418" spans="2:11" x14ac:dyDescent="0.3">
      <c r="B418" s="8">
        <f t="shared" si="6"/>
        <v>415</v>
      </c>
      <c r="C418" s="9">
        <v>46141</v>
      </c>
      <c r="D418" s="17">
        <v>6700</v>
      </c>
      <c r="E418" s="1" t="s">
        <v>13</v>
      </c>
      <c r="F418" s="3" t="s">
        <v>36</v>
      </c>
      <c r="G418" s="1" t="s">
        <v>16</v>
      </c>
      <c r="H418" s="16">
        <v>15</v>
      </c>
      <c r="I418" s="1" t="s">
        <v>21</v>
      </c>
      <c r="J418" s="16" t="str">
        <f>IF(Table1[[#This Row],[Location / Chainage]]="Precast",J417,IF(Table1[[#This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18" s="16" t="str">
        <f>IF(Table1[[#This Row],[Date]]="","",TEXT(Table1[[#This Row],[Date]],"mmm  yy"))</f>
        <v>Apr  26</v>
      </c>
    </row>
    <row r="419" spans="2:11" x14ac:dyDescent="0.3">
      <c r="B419" s="8">
        <f t="shared" si="6"/>
        <v>416</v>
      </c>
      <c r="C419" s="9">
        <v>46141</v>
      </c>
      <c r="D419" s="2" t="s">
        <v>12</v>
      </c>
      <c r="E419" s="1" t="s">
        <v>13</v>
      </c>
      <c r="F419" s="3" t="s">
        <v>347</v>
      </c>
      <c r="G419" s="1" t="s">
        <v>16</v>
      </c>
      <c r="H419" s="16">
        <v>10</v>
      </c>
      <c r="I419" s="1" t="s">
        <v>21</v>
      </c>
      <c r="J419" s="16" t="str">
        <f>IF(Table1[[#This Row],[Location / Chainage]]="Precast",J418,IF(Table1[[#This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19" s="16" t="str">
        <f>IF(Table1[[#This Row],[Date]]="","",TEXT(Table1[[#This Row],[Date]],"mmm  yy"))</f>
        <v>Apr  26</v>
      </c>
    </row>
    <row r="420" spans="2:11" x14ac:dyDescent="0.3">
      <c r="B420" s="8">
        <f t="shared" si="6"/>
        <v>417</v>
      </c>
      <c r="C420" s="9">
        <v>46141</v>
      </c>
      <c r="D420" s="17">
        <v>10967</v>
      </c>
      <c r="E420" s="1" t="s">
        <v>14</v>
      </c>
      <c r="F420" s="3" t="s">
        <v>348</v>
      </c>
      <c r="G420" s="1" t="s">
        <v>9</v>
      </c>
      <c r="H420" s="16">
        <v>10</v>
      </c>
      <c r="I420" s="1" t="s">
        <v>21</v>
      </c>
      <c r="J420" s="16" t="str">
        <f>IF(Table1[[#This Row],[Location / Chainage]]="Precast",J419,IF(Table1[[#This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20" s="16" t="str">
        <f>IF(Table1[[#This Row],[Date]]="","",TEXT(Table1[[#This Row],[Date]],"mmm  yy"))</f>
        <v>Apr  26</v>
      </c>
    </row>
    <row r="421" spans="2:11" x14ac:dyDescent="0.3">
      <c r="B421" s="8">
        <f t="shared" si="6"/>
        <v>418</v>
      </c>
      <c r="C421" s="9">
        <v>46141</v>
      </c>
      <c r="D421" s="17">
        <v>12325</v>
      </c>
      <c r="E421" s="1" t="s">
        <v>33</v>
      </c>
      <c r="F421" s="3" t="s">
        <v>349</v>
      </c>
      <c r="G421" s="1" t="s">
        <v>62</v>
      </c>
      <c r="H421" s="16">
        <v>10</v>
      </c>
      <c r="I421" s="1" t="s">
        <v>21</v>
      </c>
      <c r="J421" s="16" t="str">
        <f>IF(Table1[[#This Row],[Location / Chainage]]="Precast",J420,IF(Table1[[#This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21" s="16" t="str">
        <f>IF(Table1[[#This Row],[Date]]="","",TEXT(Table1[[#This Row],[Date]],"mmm  yy"))</f>
        <v>Apr  26</v>
      </c>
    </row>
    <row r="422" spans="2:11" x14ac:dyDescent="0.3">
      <c r="B422" s="8">
        <f t="shared" si="6"/>
        <v>419</v>
      </c>
      <c r="C422" s="9">
        <v>46141</v>
      </c>
      <c r="D422" s="17">
        <v>12300</v>
      </c>
      <c r="E422" s="1" t="s">
        <v>33</v>
      </c>
      <c r="F422" s="3" t="s">
        <v>350</v>
      </c>
      <c r="G422" s="1" t="s">
        <v>62</v>
      </c>
      <c r="H422" s="16">
        <v>5</v>
      </c>
      <c r="I422" s="1" t="s">
        <v>21</v>
      </c>
      <c r="J422" s="16" t="str">
        <f>IF(Table1[[#This Row],[Location / Chainage]]="Precast",J421,IF(Table1[[#This Row],[Location / Chainage]]="","",IF(Table1[[#This Row],[Location / Chainage]]&lt;20000,"Khasab",IF(Table1[[#This Row],[Location / Chainage]]&lt;50000, "Lima",IF(Table1[[#This Row],[Location / Chainage]]&lt;72000,"Daba")))))</f>
        <v>Khasab</v>
      </c>
      <c r="K422" s="16" t="str">
        <f>IF(Table1[[#This Row],[Date]]="","",TEXT(Table1[[#This Row],[Date]],"mmm  yy"))</f>
        <v>Apr  26</v>
      </c>
    </row>
    <row r="423" spans="2:11" x14ac:dyDescent="0.3">
      <c r="B423" s="16"/>
      <c r="C423" s="19"/>
      <c r="D423" s="17"/>
      <c r="E423" s="16"/>
      <c r="F423" s="20"/>
      <c r="G423" s="16"/>
      <c r="H423" s="16"/>
      <c r="I423" s="16"/>
      <c r="J423" s="16" t="str">
        <f>IF(Table1[[#This Row],[Location / Chainage]]="Precast",J422,IF(Table1[[#This Row],[Location / Chainage]]="","",IF(Table1[[#This Row],[Location / Chainage]]&lt;20000,"Khasab",IF(Table1[[#This Row],[Location / Chainage]]&lt;50000, "Lima",IF(Table1[[#This Row],[Location / Chainage]]&lt;72000,"Daba")))))</f>
        <v/>
      </c>
      <c r="K423" s="16" t="str">
        <f>IF(Table1[[#This Row],[Date]]="","",TEXT(Table1[[#This Row],[Date]],"mmm  yy"))</f>
        <v/>
      </c>
    </row>
    <row r="424" spans="2:11" x14ac:dyDescent="0.3">
      <c r="B424" s="16"/>
      <c r="C424" s="19"/>
      <c r="D424" s="17"/>
      <c r="E424" s="16"/>
      <c r="F424" s="20"/>
      <c r="G424" s="16"/>
      <c r="H424" s="16"/>
      <c r="I424" s="16"/>
      <c r="J424" s="16" t="str">
        <f>IF(Table1[[#This Row],[Location / Chainage]]="Precast",J423,IF(Table1[[#This Row],[Location / Chainage]]="","",IF(Table1[[#This Row],[Location / Chainage]]&lt;20000,"Khasab",IF(Table1[[#This Row],[Location / Chainage]]&lt;50000, "Lima",IF(Table1[[#This Row],[Location / Chainage]]&lt;72000,"Daba")))))</f>
        <v/>
      </c>
      <c r="K424" s="16" t="str">
        <f>IF(Table1[[#This Row],[Date]]="","",TEXT(Table1[[#This Row],[Date]],"mmm  yy"))</f>
        <v/>
      </c>
    </row>
    <row r="425" spans="2:11" x14ac:dyDescent="0.3">
      <c r="B425" s="16"/>
      <c r="C425" s="19"/>
      <c r="D425" s="17"/>
      <c r="E425" s="16"/>
      <c r="F425" s="20"/>
      <c r="G425" s="16"/>
      <c r="H425" s="16"/>
      <c r="I425" s="16"/>
      <c r="J425" s="16" t="str">
        <f>IF(Table1[[#This Row],[Location / Chainage]]="Precast",J424,IF(Table1[[#This Row],[Location / Chainage]]="","",IF(Table1[[#This Row],[Location / Chainage]]&lt;20000,"Khasab",IF(Table1[[#This Row],[Location / Chainage]]&lt;50000, "Lima",IF(Table1[[#This Row],[Location / Chainage]]&lt;72000,"Daba")))))</f>
        <v/>
      </c>
      <c r="K425" s="16" t="str">
        <f>IF(Table1[[#This Row],[Date]]="","",TEXT(Table1[[#This Row],[Date]],"mmm  yy"))</f>
        <v/>
      </c>
    </row>
    <row r="426" spans="2:11" x14ac:dyDescent="0.3">
      <c r="B426" s="16"/>
      <c r="C426" s="19"/>
      <c r="D426" s="17"/>
      <c r="E426" s="16"/>
      <c r="F426" s="20"/>
      <c r="G426" s="16"/>
      <c r="H426" s="16"/>
      <c r="I426" s="16"/>
      <c r="J426" s="16" t="str">
        <f>IF(Table1[[#This Row],[Location / Chainage]]="Precast",J425,IF(Table1[[#This Row],[Location / Chainage]]="","",IF(Table1[[#This Row],[Location / Chainage]]&lt;20000,"Khasab",IF(Table1[[#This Row],[Location / Chainage]]&lt;50000, "Lima",IF(Table1[[#This Row],[Location / Chainage]]&lt;72000,"Daba")))))</f>
        <v/>
      </c>
      <c r="K426" s="16" t="str">
        <f>IF(Table1[[#This Row],[Date]]="","",TEXT(Table1[[#This Row],[Date]],"mmm  yy"))</f>
        <v/>
      </c>
    </row>
    <row r="427" spans="2:11" x14ac:dyDescent="0.3">
      <c r="B427" s="16"/>
      <c r="C427" s="19"/>
      <c r="D427" s="17"/>
      <c r="E427" s="16"/>
      <c r="F427" s="20"/>
      <c r="G427" s="16"/>
      <c r="H427" s="16"/>
      <c r="I427" s="16"/>
      <c r="J427" s="16" t="str">
        <f>IF(Table1[[#This Row],[Location / Chainage]]="Precast",J426,IF(Table1[[#This Row],[Location / Chainage]]="","",IF(Table1[[#This Row],[Location / Chainage]]&lt;20000,"Khasab",IF(Table1[[#This Row],[Location / Chainage]]&lt;50000, "Lima",IF(Table1[[#This Row],[Location / Chainage]]&lt;72000,"Daba")))))</f>
        <v/>
      </c>
      <c r="K427" s="16" t="str">
        <f>IF(Table1[[#This Row],[Date]]="","",TEXT(Table1[[#This Row],[Date]],"mmm  yy"))</f>
        <v/>
      </c>
    </row>
    <row r="428" spans="2:11" x14ac:dyDescent="0.3">
      <c r="B428" s="16"/>
      <c r="C428" s="19"/>
      <c r="D428" s="17"/>
      <c r="E428" s="16"/>
      <c r="F428" s="20"/>
      <c r="G428" s="16"/>
      <c r="H428" s="16"/>
      <c r="I428" s="16"/>
      <c r="J428" s="16" t="str">
        <f>IF(Table1[[#This Row],[Location / Chainage]]="Precast",J427,IF(Table1[[#This Row],[Location / Chainage]]="","",IF(Table1[[#This Row],[Location / Chainage]]&lt;20000,"Khasab",IF(Table1[[#This Row],[Location / Chainage]]&lt;50000, "Lima",IF(Table1[[#This Row],[Location / Chainage]]&lt;72000,"Daba")))))</f>
        <v/>
      </c>
      <c r="K428" s="16" t="str">
        <f>IF(Table1[[#This Row],[Date]]="","",TEXT(Table1[[#This Row],[Date]],"mmm  yy"))</f>
        <v/>
      </c>
    </row>
    <row r="429" spans="2:11" x14ac:dyDescent="0.3">
      <c r="B429" s="8"/>
      <c r="C429" s="9"/>
      <c r="D429" s="17"/>
      <c r="E429" s="16"/>
      <c r="F429" s="20"/>
      <c r="G429" s="16"/>
      <c r="H429" s="16"/>
      <c r="I429" s="16"/>
      <c r="J429" s="16" t="str">
        <f>IF(Table1[[#This Row],[Location / Chainage]]="Precast",J428,IF(Table1[[#This Row],[Location / Chainage]]="","",IF(Table1[[#This Row],[Location / Chainage]]&lt;20000,"Khasab",IF(Table1[[#This Row],[Location / Chainage]]&lt;50000, "Lima",IF(Table1[[#This Row],[Location / Chainage]]&lt;72000,"Daba")))))</f>
        <v/>
      </c>
      <c r="K429" s="16" t="str">
        <f>IF(Table1[[#This Row],[Date]]="","",TEXT(Table1[[#This Row],[Date]],"mmm  yy"))</f>
        <v/>
      </c>
    </row>
    <row r="430" spans="2:11" x14ac:dyDescent="0.3">
      <c r="B430" s="16"/>
      <c r="C430" s="19"/>
      <c r="D430" s="17"/>
      <c r="E430" s="16"/>
      <c r="F430" s="20"/>
      <c r="G430" s="16"/>
      <c r="H430" s="16"/>
      <c r="I430" s="16"/>
      <c r="J430" s="16" t="str">
        <f>IF(Table1[[#This Row],[Location / Chainage]]="Precast",J429,IF(Table1[[#This Row],[Location / Chainage]]="","",IF(Table1[[#This Row],[Location / Chainage]]&lt;20000,"Khasab",IF(Table1[[#This Row],[Location / Chainage]]&lt;50000, "Lima",IF(Table1[[#This Row],[Location / Chainage]]&lt;72000,"Daba")))))</f>
        <v/>
      </c>
      <c r="K430" s="16" t="str">
        <f>IF(Table1[[#This Row],[Date]]="","",TEXT(Table1[[#This Row],[Date]],"mmm  yy"))</f>
        <v/>
      </c>
    </row>
    <row r="431" spans="2:11" x14ac:dyDescent="0.3">
      <c r="B431" s="16"/>
      <c r="C431" s="19"/>
      <c r="D431" s="17"/>
      <c r="E431" s="16"/>
      <c r="F431" s="20"/>
      <c r="G431" s="16"/>
      <c r="H431" s="16"/>
      <c r="I431" s="16"/>
      <c r="J431" s="16" t="str">
        <f>IF(Table1[[#This Row],[Location / Chainage]]="Precast",J430,IF(Table1[[#This Row],[Location / Chainage]]="","",IF(Table1[[#This Row],[Location / Chainage]]&lt;20000,"Khasab",IF(Table1[[#This Row],[Location / Chainage]]&lt;50000, "Lima",IF(Table1[[#This Row],[Location / Chainage]]&lt;72000,"Daba")))))</f>
        <v/>
      </c>
      <c r="K431" s="16" t="str">
        <f>IF(Table1[[#This Row],[Date]]="","",TEXT(Table1[[#This Row],[Date]],"mmm  yy"))</f>
        <v/>
      </c>
    </row>
    <row r="432" spans="2:11" x14ac:dyDescent="0.3">
      <c r="B432" s="8"/>
      <c r="C432" s="9"/>
      <c r="D432" s="10"/>
      <c r="E432" s="8"/>
      <c r="F432" s="3"/>
      <c r="G432" s="8"/>
      <c r="H432" s="8"/>
      <c r="I432" s="8"/>
      <c r="J432" s="16" t="str">
        <f>IF(Table1[[#This Row],[Location / Chainage]]="Precast",J431,IF(Table1[[#This Row],[Location / Chainage]]="","",IF(Table1[[#This Row],[Location / Chainage]]&lt;20000,"Khasab",IF(Table1[[#This Row],[Location / Chainage]]&lt;50000, "Lima",IF(Table1[[#This Row],[Location / Chainage]]&lt;72000,"Daba")))))</f>
        <v/>
      </c>
      <c r="K432" s="16" t="str">
        <f>IF(Table1[[#This Row],[Date]]="","",TEXT(Table1[[#This Row],[Date]],"mmm  yy"))</f>
        <v/>
      </c>
    </row>
    <row r="433" spans="2:11" x14ac:dyDescent="0.3">
      <c r="B433" s="8"/>
      <c r="C433" s="9"/>
      <c r="D433" s="10"/>
      <c r="E433" s="8"/>
      <c r="F433" s="3"/>
      <c r="G433" s="8"/>
      <c r="H433" s="8"/>
      <c r="I433" s="8"/>
      <c r="J433" s="16" t="str">
        <f>IF(Table1[[#This Row],[Location / Chainage]]="Precast",J432,IF(Table1[[#This Row],[Location / Chainage]]="","",IF(Table1[[#This Row],[Location / Chainage]]&lt;20000,"Khasab",IF(Table1[[#This Row],[Location / Chainage]]&lt;50000, "Lima",IF(Table1[[#This Row],[Location / Chainage]]&lt;72000,"Daba")))))</f>
        <v/>
      </c>
      <c r="K433" s="16" t="str">
        <f>IF(Table1[[#This Row],[Date]]="","",TEXT(Table1[[#This Row],[Date]],"mmm  yy"))</f>
        <v/>
      </c>
    </row>
  </sheetData>
  <mergeCells count="1">
    <mergeCell ref="B1:K2"/>
  </mergeCells>
  <phoneticPr fontId="4" type="noConversion"/>
  <dataValidations count="1">
    <dataValidation type="list" allowBlank="1" showInputMessage="1" showErrorMessage="1" sqref="G4:G433" xr:uid="{00000000-0002-0000-0000-000000000000}">
      <formula1>"C15, C25, C30,C35"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Khasab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Ujwal Kumar Shetty</dc:creator>
  <cp:lastModifiedBy>SaroojApps2</cp:lastModifiedBy>
  <dcterms:created xsi:type="dcterms:W3CDTF">2025-05-10T09:44:53Z</dcterms:created>
  <dcterms:modified xsi:type="dcterms:W3CDTF">2026-05-06T05:34:24Z</dcterms:modified>
</cp:coreProperties>
</file>